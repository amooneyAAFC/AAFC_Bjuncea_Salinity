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FOLDER\"/>
    </mc:Choice>
  </mc:AlternateContent>
  <xr:revisionPtr revIDLastSave="0" documentId="13_ncr:1_{6FEB49A9-F9C7-4805-BFD0-ABB8F57F53C9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Protocol" sheetId="9" r:id="rId1"/>
    <sheet name="Notes" sheetId="10" r:id="rId2"/>
    <sheet name="Randomization EW" sheetId="13" r:id="rId3"/>
    <sheet name="Randomization WW" sheetId="6" r:id="rId4"/>
    <sheet name="WW- Tank Plan" sheetId="4" r:id="rId5"/>
    <sheet name="EW-Tank Plan" sheetId="3" r:id="rId6"/>
    <sheet name="Tank Mixing" sheetId="14" r:id="rId7"/>
    <sheet name="EC pH Readings" sheetId="17" r:id="rId8"/>
    <sheet name="Water Top-Ups" sheetId="18" r:id="rId9"/>
    <sheet name="Emergence WW" sheetId="15" r:id="rId10"/>
    <sheet name="Emergence EW" sheetId="16" r:id="rId11"/>
    <sheet name="Heights &amp; Leaf WW" sheetId="21" r:id="rId12"/>
    <sheet name="Heights &amp; Leaf EW" sheetId="22" r:id="rId13"/>
    <sheet name="EC &amp; pH Graphs" sheetId="19" r:id="rId14"/>
    <sheet name="Water Graphs" sheetId="20" r:id="rId15"/>
    <sheet name="Pod Count &amp; Seed Wt. WW" sheetId="24" r:id="rId16"/>
    <sheet name="Pod Count &amp; Seed Wt. EW" sheetId="25" r:id="rId17"/>
    <sheet name="EC &amp;pH readings template" sheetId="23" r:id="rId18"/>
  </sheets>
  <definedNames>
    <definedName name="_xlnm.Print_Area" localSheetId="10">'Emergence EW'!$A:$H</definedName>
    <definedName name="_xlnm.Print_Area" localSheetId="16">'Pod Count &amp; Seed Wt. EW'!$A$1:$H$651</definedName>
    <definedName name="_xlnm.Print_Area" localSheetId="15">'Pod Count &amp; Seed Wt. WW'!$A$1:$H$327</definedName>
    <definedName name="_xlnm.Print_Titles" localSheetId="13">'EC &amp; pH Graphs'!$4:$5</definedName>
    <definedName name="_xlnm.Print_Titles" localSheetId="17">'EC &amp;pH readings template'!$1:$5</definedName>
    <definedName name="_xlnm.Print_Titles" localSheetId="7">'EC pH Readings'!$1:$6</definedName>
    <definedName name="_xlnm.Print_Titles" localSheetId="10">'Emergence EW'!$1:$3</definedName>
    <definedName name="_xlnm.Print_Titles" localSheetId="9">'Emergence WW'!$1:$3</definedName>
    <definedName name="_xlnm.Print_Titles" localSheetId="12">'Heights &amp; Leaf EW'!$1:$4</definedName>
    <definedName name="_xlnm.Print_Titles" localSheetId="11">'Heights &amp; Leaf WW'!$1:$4</definedName>
    <definedName name="_xlnm.Print_Titles" localSheetId="1">Notes!$1:$3</definedName>
    <definedName name="_xlnm.Print_Titles" localSheetId="16">'Pod Count &amp; Seed Wt. EW'!$1:$3</definedName>
    <definedName name="_xlnm.Print_Titles" localSheetId="15">'Pod Count &amp; Seed Wt. WW'!$1:$3</definedName>
    <definedName name="_xlnm.Print_Titles" localSheetId="2">'Randomization EW'!$1:$1</definedName>
    <definedName name="_xlnm.Print_Titles" localSheetId="3">'Randomization WW'!$1:$1</definedName>
    <definedName name="_xlnm.Print_Titles" localSheetId="6">'Tank Mixing'!$5:$6</definedName>
    <definedName name="_xlnm.Print_Titles" localSheetId="8">'Water Top-Ups'!$1:$5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9" i="25" l="1"/>
  <c r="J129" i="25" s="1"/>
  <c r="N3" i="24"/>
  <c r="N2" i="24"/>
  <c r="J628" i="25"/>
  <c r="J550" i="25"/>
  <c r="I651" i="25"/>
  <c r="J651" i="25" s="1"/>
  <c r="I650" i="25"/>
  <c r="J650" i="25" s="1"/>
  <c r="I649" i="25"/>
  <c r="J649" i="25" s="1"/>
  <c r="I648" i="25"/>
  <c r="J648" i="25" s="1"/>
  <c r="I647" i="25"/>
  <c r="J647" i="25" s="1"/>
  <c r="I646" i="25"/>
  <c r="J646" i="25" s="1"/>
  <c r="I645" i="25"/>
  <c r="J645" i="25" s="1"/>
  <c r="I644" i="25"/>
  <c r="J644" i="25" s="1"/>
  <c r="I643" i="25"/>
  <c r="J643" i="25" s="1"/>
  <c r="I642" i="25"/>
  <c r="J642" i="25" s="1"/>
  <c r="I641" i="25"/>
  <c r="J641" i="25" s="1"/>
  <c r="I640" i="25"/>
  <c r="J640" i="25" s="1"/>
  <c r="I639" i="25"/>
  <c r="J639" i="25" s="1"/>
  <c r="I638" i="25"/>
  <c r="J638" i="25" s="1"/>
  <c r="I637" i="25"/>
  <c r="J637" i="25" s="1"/>
  <c r="I636" i="25"/>
  <c r="J636" i="25" s="1"/>
  <c r="I635" i="25"/>
  <c r="J635" i="25" s="1"/>
  <c r="I634" i="25"/>
  <c r="J634" i="25" s="1"/>
  <c r="I633" i="25"/>
  <c r="J633" i="25" s="1"/>
  <c r="I632" i="25"/>
  <c r="J632" i="25" s="1"/>
  <c r="I631" i="25"/>
  <c r="J631" i="25" s="1"/>
  <c r="I630" i="25"/>
  <c r="J630" i="25" s="1"/>
  <c r="I629" i="25"/>
  <c r="J629" i="25" s="1"/>
  <c r="I627" i="25"/>
  <c r="J627" i="25" s="1"/>
  <c r="I626" i="25"/>
  <c r="J626" i="25" s="1"/>
  <c r="I625" i="25"/>
  <c r="J625" i="25" s="1"/>
  <c r="I624" i="25"/>
  <c r="J624" i="25" s="1"/>
  <c r="I623" i="25"/>
  <c r="J623" i="25" s="1"/>
  <c r="I622" i="25"/>
  <c r="J622" i="25" s="1"/>
  <c r="I621" i="25"/>
  <c r="J621" i="25" s="1"/>
  <c r="I620" i="25"/>
  <c r="J620" i="25" s="1"/>
  <c r="J619" i="25"/>
  <c r="I618" i="25"/>
  <c r="J618" i="25" s="1"/>
  <c r="I617" i="25"/>
  <c r="J617" i="25" s="1"/>
  <c r="I616" i="25"/>
  <c r="J616" i="25" s="1"/>
  <c r="I615" i="25"/>
  <c r="J615" i="25" s="1"/>
  <c r="I614" i="25"/>
  <c r="J614" i="25" s="1"/>
  <c r="I613" i="25"/>
  <c r="J613" i="25" s="1"/>
  <c r="I612" i="25"/>
  <c r="J612" i="25" s="1"/>
  <c r="I611" i="25"/>
  <c r="J611" i="25" s="1"/>
  <c r="I610" i="25"/>
  <c r="J610" i="25" s="1"/>
  <c r="I609" i="25"/>
  <c r="J609" i="25" s="1"/>
  <c r="I608" i="25"/>
  <c r="J608" i="25" s="1"/>
  <c r="I607" i="25"/>
  <c r="J607" i="25" s="1"/>
  <c r="I606" i="25"/>
  <c r="J606" i="25" s="1"/>
  <c r="I605" i="25"/>
  <c r="J605" i="25" s="1"/>
  <c r="I604" i="25"/>
  <c r="J604" i="25" s="1"/>
  <c r="I603" i="25"/>
  <c r="J603" i="25" s="1"/>
  <c r="I602" i="25"/>
  <c r="J602" i="25" s="1"/>
  <c r="I601" i="25"/>
  <c r="J601" i="25" s="1"/>
  <c r="I600" i="25"/>
  <c r="J600" i="25" s="1"/>
  <c r="I599" i="25"/>
  <c r="J599" i="25" s="1"/>
  <c r="I598" i="25"/>
  <c r="J598" i="25" s="1"/>
  <c r="I597" i="25"/>
  <c r="J597" i="25" s="1"/>
  <c r="I596" i="25"/>
  <c r="J596" i="25" s="1"/>
  <c r="I595" i="25"/>
  <c r="J595" i="25" s="1"/>
  <c r="I594" i="25"/>
  <c r="J594" i="25" s="1"/>
  <c r="I593" i="25"/>
  <c r="J593" i="25" s="1"/>
  <c r="I592" i="25"/>
  <c r="J592" i="25" s="1"/>
  <c r="I591" i="25"/>
  <c r="J591" i="25" s="1"/>
  <c r="I590" i="25"/>
  <c r="J590" i="25" s="1"/>
  <c r="I589" i="25"/>
  <c r="J589" i="25" s="1"/>
  <c r="I588" i="25"/>
  <c r="J588" i="25" s="1"/>
  <c r="I587" i="25"/>
  <c r="J587" i="25" s="1"/>
  <c r="I586" i="25"/>
  <c r="J586" i="25" s="1"/>
  <c r="I585" i="25"/>
  <c r="J585" i="25" s="1"/>
  <c r="I584" i="25"/>
  <c r="J584" i="25" s="1"/>
  <c r="I583" i="25"/>
  <c r="J583" i="25" s="1"/>
  <c r="I582" i="25"/>
  <c r="J582" i="25" s="1"/>
  <c r="I581" i="25"/>
  <c r="J581" i="25" s="1"/>
  <c r="I580" i="25"/>
  <c r="J580" i="25" s="1"/>
  <c r="I579" i="25"/>
  <c r="J579" i="25" s="1"/>
  <c r="I578" i="25"/>
  <c r="J578" i="25" s="1"/>
  <c r="I577" i="25"/>
  <c r="J577" i="25" s="1"/>
  <c r="I576" i="25"/>
  <c r="J576" i="25" s="1"/>
  <c r="I575" i="25"/>
  <c r="J575" i="25" s="1"/>
  <c r="I574" i="25"/>
  <c r="J574" i="25" s="1"/>
  <c r="I573" i="25"/>
  <c r="J573" i="25" s="1"/>
  <c r="I572" i="25"/>
  <c r="J572" i="25" s="1"/>
  <c r="I571" i="25"/>
  <c r="J571" i="25" s="1"/>
  <c r="I570" i="25"/>
  <c r="J570" i="25" s="1"/>
  <c r="I569" i="25"/>
  <c r="J569" i="25" s="1"/>
  <c r="I568" i="25"/>
  <c r="J568" i="25" s="1"/>
  <c r="I567" i="25"/>
  <c r="J567" i="25" s="1"/>
  <c r="I566" i="25"/>
  <c r="J566" i="25" s="1"/>
  <c r="I565" i="25"/>
  <c r="J565" i="25" s="1"/>
  <c r="I564" i="25"/>
  <c r="J564" i="25" s="1"/>
  <c r="I563" i="25"/>
  <c r="J563" i="25" s="1"/>
  <c r="I562" i="25"/>
  <c r="J562" i="25" s="1"/>
  <c r="I561" i="25"/>
  <c r="J561" i="25" s="1"/>
  <c r="I560" i="25"/>
  <c r="J560" i="25" s="1"/>
  <c r="I559" i="25"/>
  <c r="J559" i="25" s="1"/>
  <c r="I558" i="25"/>
  <c r="J558" i="25" s="1"/>
  <c r="I557" i="25"/>
  <c r="J557" i="25" s="1"/>
  <c r="I556" i="25"/>
  <c r="J556" i="25" s="1"/>
  <c r="I555" i="25"/>
  <c r="J555" i="25" s="1"/>
  <c r="I554" i="25"/>
  <c r="J554" i="25" s="1"/>
  <c r="I553" i="25"/>
  <c r="J553" i="25" s="1"/>
  <c r="I552" i="25"/>
  <c r="J552" i="25" s="1"/>
  <c r="I551" i="25"/>
  <c r="J551" i="25" s="1"/>
  <c r="I549" i="25"/>
  <c r="J549" i="25" s="1"/>
  <c r="I548" i="25"/>
  <c r="J548" i="25" s="1"/>
  <c r="I547" i="25"/>
  <c r="J547" i="25" s="1"/>
  <c r="I546" i="25"/>
  <c r="J546" i="25" s="1"/>
  <c r="I545" i="25"/>
  <c r="J545" i="25" s="1"/>
  <c r="I544" i="25"/>
  <c r="J544" i="25" s="1"/>
  <c r="I543" i="25"/>
  <c r="J543" i="25" s="1"/>
  <c r="I542" i="25"/>
  <c r="J542" i="25" s="1"/>
  <c r="I541" i="25"/>
  <c r="J541" i="25" s="1"/>
  <c r="I540" i="25"/>
  <c r="J540" i="25" s="1"/>
  <c r="I539" i="25"/>
  <c r="J539" i="25" s="1"/>
  <c r="I538" i="25"/>
  <c r="J538" i="25" s="1"/>
  <c r="I537" i="25"/>
  <c r="J537" i="25" s="1"/>
  <c r="I536" i="25"/>
  <c r="J536" i="25" s="1"/>
  <c r="I535" i="25"/>
  <c r="J535" i="25" s="1"/>
  <c r="I534" i="25"/>
  <c r="J534" i="25" s="1"/>
  <c r="I533" i="25"/>
  <c r="J533" i="25" s="1"/>
  <c r="I532" i="25"/>
  <c r="J532" i="25" s="1"/>
  <c r="I531" i="25"/>
  <c r="J531" i="25" s="1"/>
  <c r="I530" i="25"/>
  <c r="J530" i="25" s="1"/>
  <c r="I529" i="25"/>
  <c r="J529" i="25" s="1"/>
  <c r="I528" i="25"/>
  <c r="J528" i="25" s="1"/>
  <c r="I527" i="25"/>
  <c r="J527" i="25" s="1"/>
  <c r="I526" i="25"/>
  <c r="J526" i="25" s="1"/>
  <c r="I525" i="25"/>
  <c r="J525" i="25" s="1"/>
  <c r="I524" i="25"/>
  <c r="J524" i="25" s="1"/>
  <c r="I523" i="25"/>
  <c r="J523" i="25" s="1"/>
  <c r="I522" i="25"/>
  <c r="J522" i="25" s="1"/>
  <c r="I521" i="25"/>
  <c r="J521" i="25" s="1"/>
  <c r="I520" i="25"/>
  <c r="J520" i="25" s="1"/>
  <c r="I519" i="25"/>
  <c r="J519" i="25" s="1"/>
  <c r="I518" i="25"/>
  <c r="J518" i="25" s="1"/>
  <c r="I517" i="25"/>
  <c r="J517" i="25" s="1"/>
  <c r="I516" i="25"/>
  <c r="J516" i="25" s="1"/>
  <c r="I515" i="25"/>
  <c r="J515" i="25" s="1"/>
  <c r="I514" i="25"/>
  <c r="J514" i="25" s="1"/>
  <c r="I513" i="25"/>
  <c r="J513" i="25" s="1"/>
  <c r="I512" i="25"/>
  <c r="J512" i="25" s="1"/>
  <c r="I511" i="25"/>
  <c r="J511" i="25" s="1"/>
  <c r="I510" i="25"/>
  <c r="J510" i="25" s="1"/>
  <c r="I509" i="25"/>
  <c r="J509" i="25" s="1"/>
  <c r="I508" i="25"/>
  <c r="J508" i="25" s="1"/>
  <c r="I507" i="25"/>
  <c r="J507" i="25" s="1"/>
  <c r="I506" i="25"/>
  <c r="J506" i="25" s="1"/>
  <c r="I505" i="25"/>
  <c r="J505" i="25" s="1"/>
  <c r="I504" i="25"/>
  <c r="J504" i="25" s="1"/>
  <c r="I503" i="25"/>
  <c r="J503" i="25" s="1"/>
  <c r="I502" i="25"/>
  <c r="J502" i="25" s="1"/>
  <c r="I501" i="25"/>
  <c r="J501" i="25" s="1"/>
  <c r="I500" i="25"/>
  <c r="J500" i="25" s="1"/>
  <c r="I499" i="25"/>
  <c r="J499" i="25" s="1"/>
  <c r="I498" i="25"/>
  <c r="J498" i="25" s="1"/>
  <c r="I497" i="25"/>
  <c r="J497" i="25" s="1"/>
  <c r="I496" i="25"/>
  <c r="J496" i="25" s="1"/>
  <c r="I495" i="25"/>
  <c r="J495" i="25" s="1"/>
  <c r="I494" i="25"/>
  <c r="J494" i="25" s="1"/>
  <c r="I493" i="25"/>
  <c r="J493" i="25" s="1"/>
  <c r="I492" i="25"/>
  <c r="J492" i="25" s="1"/>
  <c r="I491" i="25"/>
  <c r="J491" i="25" s="1"/>
  <c r="I490" i="25"/>
  <c r="J490" i="25" s="1"/>
  <c r="I489" i="25"/>
  <c r="J489" i="25" s="1"/>
  <c r="I488" i="25"/>
  <c r="J488" i="25" s="1"/>
  <c r="I487" i="25"/>
  <c r="J487" i="25" s="1"/>
  <c r="I486" i="25"/>
  <c r="J486" i="25" s="1"/>
  <c r="I485" i="25"/>
  <c r="J485" i="25" s="1"/>
  <c r="I484" i="25"/>
  <c r="J484" i="25" s="1"/>
  <c r="I483" i="25"/>
  <c r="J483" i="25" s="1"/>
  <c r="I482" i="25"/>
  <c r="J482" i="25" s="1"/>
  <c r="I481" i="25"/>
  <c r="J481" i="25" s="1"/>
  <c r="I480" i="25"/>
  <c r="J480" i="25" s="1"/>
  <c r="I479" i="25"/>
  <c r="J479" i="25" s="1"/>
  <c r="I478" i="25"/>
  <c r="J478" i="25" s="1"/>
  <c r="I477" i="25"/>
  <c r="J477" i="25" s="1"/>
  <c r="I476" i="25"/>
  <c r="J476" i="25" s="1"/>
  <c r="I475" i="25"/>
  <c r="J475" i="25" s="1"/>
  <c r="I474" i="25"/>
  <c r="J474" i="25" s="1"/>
  <c r="I473" i="25"/>
  <c r="J473" i="25" s="1"/>
  <c r="I472" i="25"/>
  <c r="J472" i="25" s="1"/>
  <c r="I471" i="25"/>
  <c r="J471" i="25" s="1"/>
  <c r="I470" i="25"/>
  <c r="J470" i="25" s="1"/>
  <c r="I469" i="25"/>
  <c r="J469" i="25" s="1"/>
  <c r="I468" i="25"/>
  <c r="J468" i="25" s="1"/>
  <c r="I467" i="25"/>
  <c r="J467" i="25" s="1"/>
  <c r="I466" i="25"/>
  <c r="J466" i="25" s="1"/>
  <c r="I465" i="25"/>
  <c r="J465" i="25" s="1"/>
  <c r="I464" i="25"/>
  <c r="J464" i="25" s="1"/>
  <c r="I463" i="25"/>
  <c r="J463" i="25" s="1"/>
  <c r="I462" i="25"/>
  <c r="J462" i="25" s="1"/>
  <c r="I461" i="25"/>
  <c r="J461" i="25" s="1"/>
  <c r="I460" i="25"/>
  <c r="J460" i="25" s="1"/>
  <c r="I459" i="25"/>
  <c r="J459" i="25" s="1"/>
  <c r="I458" i="25"/>
  <c r="J458" i="25" s="1"/>
  <c r="I457" i="25"/>
  <c r="J457" i="25" s="1"/>
  <c r="I456" i="25"/>
  <c r="J456" i="25" s="1"/>
  <c r="I455" i="25"/>
  <c r="J455" i="25" s="1"/>
  <c r="I454" i="25"/>
  <c r="J454" i="25" s="1"/>
  <c r="I453" i="25"/>
  <c r="J453" i="25" s="1"/>
  <c r="I452" i="25"/>
  <c r="J452" i="25" s="1"/>
  <c r="I451" i="25"/>
  <c r="J451" i="25" s="1"/>
  <c r="I450" i="25"/>
  <c r="J450" i="25" s="1"/>
  <c r="I449" i="25"/>
  <c r="J449" i="25" s="1"/>
  <c r="I448" i="25"/>
  <c r="J448" i="25" s="1"/>
  <c r="I447" i="25"/>
  <c r="J447" i="25" s="1"/>
  <c r="I446" i="25"/>
  <c r="J446" i="25" s="1"/>
  <c r="I445" i="25"/>
  <c r="J445" i="25" s="1"/>
  <c r="I444" i="25"/>
  <c r="J444" i="25" s="1"/>
  <c r="I443" i="25"/>
  <c r="J443" i="25" s="1"/>
  <c r="I442" i="25"/>
  <c r="J442" i="25" s="1"/>
  <c r="I441" i="25"/>
  <c r="J441" i="25" s="1"/>
  <c r="I440" i="25"/>
  <c r="J440" i="25" s="1"/>
  <c r="I439" i="25"/>
  <c r="J439" i="25" s="1"/>
  <c r="I438" i="25"/>
  <c r="J438" i="25" s="1"/>
  <c r="I437" i="25"/>
  <c r="J437" i="25" s="1"/>
  <c r="I436" i="25"/>
  <c r="J436" i="25" s="1"/>
  <c r="I435" i="25"/>
  <c r="J435" i="25" s="1"/>
  <c r="I434" i="25"/>
  <c r="J434" i="25" s="1"/>
  <c r="I433" i="25"/>
  <c r="J433" i="25" s="1"/>
  <c r="I432" i="25"/>
  <c r="J432" i="25" s="1"/>
  <c r="I431" i="25"/>
  <c r="J431" i="25" s="1"/>
  <c r="I430" i="25"/>
  <c r="J430" i="25" s="1"/>
  <c r="I429" i="25"/>
  <c r="J429" i="25" s="1"/>
  <c r="I428" i="25"/>
  <c r="J428" i="25" s="1"/>
  <c r="I427" i="25"/>
  <c r="J427" i="25" s="1"/>
  <c r="I426" i="25"/>
  <c r="J426" i="25" s="1"/>
  <c r="I425" i="25"/>
  <c r="J425" i="25" s="1"/>
  <c r="I424" i="25"/>
  <c r="J424" i="25" s="1"/>
  <c r="I423" i="25"/>
  <c r="J423" i="25" s="1"/>
  <c r="I422" i="25"/>
  <c r="J422" i="25" s="1"/>
  <c r="I421" i="25"/>
  <c r="J421" i="25" s="1"/>
  <c r="I420" i="25"/>
  <c r="J420" i="25" s="1"/>
  <c r="I419" i="25"/>
  <c r="J419" i="25" s="1"/>
  <c r="I418" i="25"/>
  <c r="J418" i="25" s="1"/>
  <c r="I417" i="25"/>
  <c r="J417" i="25" s="1"/>
  <c r="I416" i="25"/>
  <c r="J416" i="25" s="1"/>
  <c r="I415" i="25"/>
  <c r="J415" i="25" s="1"/>
  <c r="I414" i="25"/>
  <c r="J414" i="25" s="1"/>
  <c r="I413" i="25"/>
  <c r="J413" i="25" s="1"/>
  <c r="I412" i="25"/>
  <c r="J412" i="25" s="1"/>
  <c r="I411" i="25"/>
  <c r="J411" i="25" s="1"/>
  <c r="I410" i="25"/>
  <c r="J410" i="25" s="1"/>
  <c r="I409" i="25"/>
  <c r="J409" i="25" s="1"/>
  <c r="I408" i="25"/>
  <c r="J408" i="25" s="1"/>
  <c r="I407" i="25"/>
  <c r="J407" i="25" s="1"/>
  <c r="I406" i="25"/>
  <c r="J406" i="25" s="1"/>
  <c r="I405" i="25"/>
  <c r="J405" i="25" s="1"/>
  <c r="I404" i="25"/>
  <c r="J404" i="25" s="1"/>
  <c r="I403" i="25"/>
  <c r="J403" i="25" s="1"/>
  <c r="I402" i="25"/>
  <c r="J402" i="25" s="1"/>
  <c r="I401" i="25"/>
  <c r="J401" i="25" s="1"/>
  <c r="I400" i="25"/>
  <c r="J400" i="25" s="1"/>
  <c r="I399" i="25"/>
  <c r="J399" i="25" s="1"/>
  <c r="I398" i="25"/>
  <c r="J398" i="25" s="1"/>
  <c r="I397" i="25"/>
  <c r="J397" i="25" s="1"/>
  <c r="I396" i="25"/>
  <c r="J396" i="25" s="1"/>
  <c r="I395" i="25"/>
  <c r="J395" i="25" s="1"/>
  <c r="I394" i="25"/>
  <c r="J394" i="25" s="1"/>
  <c r="I393" i="25"/>
  <c r="J393" i="25" s="1"/>
  <c r="I392" i="25"/>
  <c r="J392" i="25" s="1"/>
  <c r="I391" i="25"/>
  <c r="J391" i="25" s="1"/>
  <c r="I390" i="25"/>
  <c r="J390" i="25" s="1"/>
  <c r="I389" i="25"/>
  <c r="J389" i="25" s="1"/>
  <c r="I388" i="25"/>
  <c r="J388" i="25" s="1"/>
  <c r="I387" i="25"/>
  <c r="J387" i="25" s="1"/>
  <c r="I386" i="25"/>
  <c r="J386" i="25" s="1"/>
  <c r="I385" i="25"/>
  <c r="J385" i="25" s="1"/>
  <c r="I384" i="25"/>
  <c r="J384" i="25" s="1"/>
  <c r="I383" i="25"/>
  <c r="J383" i="25" s="1"/>
  <c r="I382" i="25"/>
  <c r="J382" i="25" s="1"/>
  <c r="I381" i="25"/>
  <c r="J381" i="25" s="1"/>
  <c r="I380" i="25"/>
  <c r="J380" i="25" s="1"/>
  <c r="I379" i="25"/>
  <c r="J379" i="25" s="1"/>
  <c r="I378" i="25"/>
  <c r="J378" i="25" s="1"/>
  <c r="I377" i="25"/>
  <c r="J377" i="25" s="1"/>
  <c r="I376" i="25"/>
  <c r="J376" i="25" s="1"/>
  <c r="I375" i="25"/>
  <c r="J375" i="25" s="1"/>
  <c r="I374" i="25"/>
  <c r="J374" i="25" s="1"/>
  <c r="I373" i="25"/>
  <c r="J373" i="25" s="1"/>
  <c r="I372" i="25"/>
  <c r="J372" i="25" s="1"/>
  <c r="I371" i="25"/>
  <c r="J371" i="25" s="1"/>
  <c r="I370" i="25"/>
  <c r="J370" i="25" s="1"/>
  <c r="I369" i="25"/>
  <c r="J369" i="25" s="1"/>
  <c r="I368" i="25"/>
  <c r="J368" i="25" s="1"/>
  <c r="I367" i="25"/>
  <c r="J367" i="25" s="1"/>
  <c r="I366" i="25"/>
  <c r="J366" i="25" s="1"/>
  <c r="I365" i="25"/>
  <c r="J365" i="25" s="1"/>
  <c r="I364" i="25"/>
  <c r="J364" i="25" s="1"/>
  <c r="I363" i="25"/>
  <c r="J363" i="25" s="1"/>
  <c r="I362" i="25"/>
  <c r="J362" i="25" s="1"/>
  <c r="I361" i="25"/>
  <c r="J361" i="25" s="1"/>
  <c r="I360" i="25"/>
  <c r="J360" i="25" s="1"/>
  <c r="I359" i="25"/>
  <c r="J359" i="25" s="1"/>
  <c r="I358" i="25"/>
  <c r="J358" i="25" s="1"/>
  <c r="I357" i="25"/>
  <c r="J357" i="25" s="1"/>
  <c r="I356" i="25"/>
  <c r="J356" i="25" s="1"/>
  <c r="I355" i="25"/>
  <c r="J355" i="25" s="1"/>
  <c r="I354" i="25"/>
  <c r="J354" i="25" s="1"/>
  <c r="I353" i="25"/>
  <c r="J353" i="25" s="1"/>
  <c r="I352" i="25"/>
  <c r="J352" i="25" s="1"/>
  <c r="I351" i="25"/>
  <c r="J351" i="25" s="1"/>
  <c r="I350" i="25"/>
  <c r="J350" i="25" s="1"/>
  <c r="I349" i="25"/>
  <c r="J349" i="25" s="1"/>
  <c r="I348" i="25"/>
  <c r="J348" i="25" s="1"/>
  <c r="I347" i="25"/>
  <c r="J347" i="25" s="1"/>
  <c r="I346" i="25"/>
  <c r="J346" i="25" s="1"/>
  <c r="I345" i="25"/>
  <c r="J345" i="25" s="1"/>
  <c r="I344" i="25"/>
  <c r="J344" i="25" s="1"/>
  <c r="I343" i="25"/>
  <c r="J343" i="25" s="1"/>
  <c r="I342" i="25"/>
  <c r="J342" i="25" s="1"/>
  <c r="I341" i="25"/>
  <c r="J341" i="25" s="1"/>
  <c r="I340" i="25"/>
  <c r="J340" i="25" s="1"/>
  <c r="I339" i="25"/>
  <c r="J339" i="25" s="1"/>
  <c r="I338" i="25"/>
  <c r="J338" i="25" s="1"/>
  <c r="I337" i="25"/>
  <c r="J337" i="25" s="1"/>
  <c r="I336" i="25"/>
  <c r="J336" i="25" s="1"/>
  <c r="I335" i="25"/>
  <c r="J335" i="25" s="1"/>
  <c r="I334" i="25"/>
  <c r="J334" i="25" s="1"/>
  <c r="I333" i="25"/>
  <c r="J333" i="25" s="1"/>
  <c r="I332" i="25"/>
  <c r="J332" i="25" s="1"/>
  <c r="I331" i="25"/>
  <c r="J331" i="25" s="1"/>
  <c r="I330" i="25"/>
  <c r="J330" i="25" s="1"/>
  <c r="I329" i="25"/>
  <c r="J329" i="25" s="1"/>
  <c r="I328" i="25"/>
  <c r="J328" i="25" s="1"/>
  <c r="I327" i="25"/>
  <c r="J327" i="25" s="1"/>
  <c r="I326" i="25"/>
  <c r="J326" i="25" s="1"/>
  <c r="I325" i="25"/>
  <c r="J325" i="25" s="1"/>
  <c r="I324" i="25"/>
  <c r="J324" i="25" s="1"/>
  <c r="I323" i="25"/>
  <c r="J323" i="25" s="1"/>
  <c r="I322" i="25"/>
  <c r="J322" i="25" s="1"/>
  <c r="I321" i="25"/>
  <c r="J321" i="25" s="1"/>
  <c r="I320" i="25"/>
  <c r="J320" i="25" s="1"/>
  <c r="I319" i="25"/>
  <c r="J319" i="25" s="1"/>
  <c r="I318" i="25"/>
  <c r="J318" i="25" s="1"/>
  <c r="I317" i="25"/>
  <c r="J317" i="25" s="1"/>
  <c r="I316" i="25"/>
  <c r="J316" i="25" s="1"/>
  <c r="I315" i="25"/>
  <c r="J315" i="25" s="1"/>
  <c r="I314" i="25"/>
  <c r="J314" i="25" s="1"/>
  <c r="I313" i="25"/>
  <c r="J313" i="25" s="1"/>
  <c r="I312" i="25"/>
  <c r="J312" i="25" s="1"/>
  <c r="I311" i="25"/>
  <c r="J311" i="25" s="1"/>
  <c r="I310" i="25"/>
  <c r="J310" i="25" s="1"/>
  <c r="I309" i="25"/>
  <c r="J309" i="25" s="1"/>
  <c r="I308" i="25"/>
  <c r="J308" i="25" s="1"/>
  <c r="I307" i="25"/>
  <c r="J307" i="25" s="1"/>
  <c r="I306" i="25"/>
  <c r="J306" i="25" s="1"/>
  <c r="I305" i="25"/>
  <c r="J305" i="25" s="1"/>
  <c r="I304" i="25"/>
  <c r="J304" i="25" s="1"/>
  <c r="I303" i="25"/>
  <c r="J303" i="25" s="1"/>
  <c r="I302" i="25"/>
  <c r="J302" i="25" s="1"/>
  <c r="I301" i="25"/>
  <c r="J301" i="25" s="1"/>
  <c r="I300" i="25"/>
  <c r="J300" i="25" s="1"/>
  <c r="I299" i="25"/>
  <c r="J299" i="25" s="1"/>
  <c r="I298" i="25"/>
  <c r="J298" i="25" s="1"/>
  <c r="I297" i="25"/>
  <c r="J297" i="25" s="1"/>
  <c r="I296" i="25"/>
  <c r="J296" i="25" s="1"/>
  <c r="I295" i="25"/>
  <c r="J295" i="25" s="1"/>
  <c r="I294" i="25"/>
  <c r="J294" i="25" s="1"/>
  <c r="I293" i="25"/>
  <c r="J293" i="25" s="1"/>
  <c r="I292" i="25"/>
  <c r="J292" i="25" s="1"/>
  <c r="I291" i="25"/>
  <c r="J291" i="25" s="1"/>
  <c r="I290" i="25"/>
  <c r="J290" i="25" s="1"/>
  <c r="I289" i="25"/>
  <c r="J289" i="25" s="1"/>
  <c r="I288" i="25"/>
  <c r="J288" i="25" s="1"/>
  <c r="I287" i="25"/>
  <c r="J287" i="25" s="1"/>
  <c r="I286" i="25"/>
  <c r="J286" i="25" s="1"/>
  <c r="I285" i="25"/>
  <c r="J285" i="25" s="1"/>
  <c r="I284" i="25"/>
  <c r="J284" i="25" s="1"/>
  <c r="I283" i="25"/>
  <c r="J283" i="25" s="1"/>
  <c r="I282" i="25"/>
  <c r="J282" i="25" s="1"/>
  <c r="I281" i="25"/>
  <c r="J281" i="25" s="1"/>
  <c r="I280" i="25"/>
  <c r="J280" i="25" s="1"/>
  <c r="I279" i="25"/>
  <c r="J279" i="25" s="1"/>
  <c r="I278" i="25"/>
  <c r="J278" i="25" s="1"/>
  <c r="I277" i="25"/>
  <c r="J277" i="25" s="1"/>
  <c r="I276" i="25"/>
  <c r="J276" i="25" s="1"/>
  <c r="I275" i="25"/>
  <c r="J275" i="25" s="1"/>
  <c r="I274" i="25"/>
  <c r="J274" i="25" s="1"/>
  <c r="I273" i="25"/>
  <c r="J273" i="25" s="1"/>
  <c r="I272" i="25"/>
  <c r="J272" i="25" s="1"/>
  <c r="I271" i="25"/>
  <c r="J271" i="25" s="1"/>
  <c r="I270" i="25"/>
  <c r="J270" i="25" s="1"/>
  <c r="I269" i="25"/>
  <c r="J269" i="25" s="1"/>
  <c r="I268" i="25"/>
  <c r="J268" i="25" s="1"/>
  <c r="I267" i="25"/>
  <c r="J267" i="25" s="1"/>
  <c r="I266" i="25"/>
  <c r="J266" i="25" s="1"/>
  <c r="I265" i="25"/>
  <c r="J265" i="25" s="1"/>
  <c r="I264" i="25"/>
  <c r="J264" i="25" s="1"/>
  <c r="I263" i="25"/>
  <c r="J263" i="25" s="1"/>
  <c r="I262" i="25"/>
  <c r="J262" i="25" s="1"/>
  <c r="I261" i="25"/>
  <c r="J261" i="25" s="1"/>
  <c r="I260" i="25"/>
  <c r="J260" i="25" s="1"/>
  <c r="I259" i="25"/>
  <c r="J259" i="25" s="1"/>
  <c r="I258" i="25"/>
  <c r="J258" i="25" s="1"/>
  <c r="I257" i="25"/>
  <c r="J257" i="25" s="1"/>
  <c r="I256" i="25"/>
  <c r="J256" i="25" s="1"/>
  <c r="I255" i="25"/>
  <c r="J255" i="25" s="1"/>
  <c r="I254" i="25"/>
  <c r="J254" i="25" s="1"/>
  <c r="I253" i="25"/>
  <c r="J253" i="25" s="1"/>
  <c r="I252" i="25"/>
  <c r="J252" i="25" s="1"/>
  <c r="I251" i="25"/>
  <c r="J251" i="25" s="1"/>
  <c r="I250" i="25"/>
  <c r="J250" i="25" s="1"/>
  <c r="I249" i="25"/>
  <c r="J249" i="25" s="1"/>
  <c r="I248" i="25"/>
  <c r="J248" i="25" s="1"/>
  <c r="I247" i="25"/>
  <c r="J247" i="25" s="1"/>
  <c r="I246" i="25"/>
  <c r="J246" i="25" s="1"/>
  <c r="I245" i="25"/>
  <c r="J245" i="25" s="1"/>
  <c r="I244" i="25"/>
  <c r="J244" i="25" s="1"/>
  <c r="I243" i="25"/>
  <c r="J243" i="25" s="1"/>
  <c r="I242" i="25"/>
  <c r="J242" i="25" s="1"/>
  <c r="I241" i="25"/>
  <c r="J241" i="25" s="1"/>
  <c r="I240" i="25"/>
  <c r="J240" i="25" s="1"/>
  <c r="I239" i="25"/>
  <c r="J239" i="25" s="1"/>
  <c r="I238" i="25"/>
  <c r="J238" i="25" s="1"/>
  <c r="I237" i="25"/>
  <c r="J237" i="25" s="1"/>
  <c r="I236" i="25"/>
  <c r="J236" i="25" s="1"/>
  <c r="I235" i="25"/>
  <c r="J235" i="25" s="1"/>
  <c r="I234" i="25"/>
  <c r="J234" i="25" s="1"/>
  <c r="I233" i="25"/>
  <c r="J233" i="25" s="1"/>
  <c r="I232" i="25"/>
  <c r="J232" i="25" s="1"/>
  <c r="I231" i="25"/>
  <c r="J231" i="25" s="1"/>
  <c r="I230" i="25"/>
  <c r="J230" i="25" s="1"/>
  <c r="I229" i="25"/>
  <c r="J229" i="25" s="1"/>
  <c r="I228" i="25"/>
  <c r="J228" i="25" s="1"/>
  <c r="I227" i="25"/>
  <c r="J227" i="25" s="1"/>
  <c r="I226" i="25"/>
  <c r="J226" i="25" s="1"/>
  <c r="I225" i="25"/>
  <c r="J225" i="25" s="1"/>
  <c r="I224" i="25"/>
  <c r="J224" i="25" s="1"/>
  <c r="I223" i="25"/>
  <c r="J223" i="25" s="1"/>
  <c r="I222" i="25"/>
  <c r="J222" i="25" s="1"/>
  <c r="I221" i="25"/>
  <c r="J221" i="25" s="1"/>
  <c r="I220" i="25"/>
  <c r="J220" i="25" s="1"/>
  <c r="I219" i="25"/>
  <c r="J219" i="25" s="1"/>
  <c r="I218" i="25"/>
  <c r="J218" i="25" s="1"/>
  <c r="I217" i="25"/>
  <c r="J217" i="25" s="1"/>
  <c r="I216" i="25"/>
  <c r="J216" i="25" s="1"/>
  <c r="I215" i="25"/>
  <c r="J215" i="25" s="1"/>
  <c r="I214" i="25"/>
  <c r="J214" i="25" s="1"/>
  <c r="I213" i="25"/>
  <c r="J213" i="25" s="1"/>
  <c r="I212" i="25"/>
  <c r="J212" i="25" s="1"/>
  <c r="I211" i="25"/>
  <c r="J211" i="25" s="1"/>
  <c r="I210" i="25"/>
  <c r="J210" i="25" s="1"/>
  <c r="I209" i="25"/>
  <c r="J209" i="25" s="1"/>
  <c r="I208" i="25"/>
  <c r="J208" i="25" s="1"/>
  <c r="I207" i="25"/>
  <c r="J207" i="25" s="1"/>
  <c r="I206" i="25"/>
  <c r="J206" i="25" s="1"/>
  <c r="I205" i="25"/>
  <c r="J205" i="25" s="1"/>
  <c r="I204" i="25"/>
  <c r="J204" i="25" s="1"/>
  <c r="I203" i="25"/>
  <c r="J203" i="25" s="1"/>
  <c r="I202" i="25"/>
  <c r="J202" i="25" s="1"/>
  <c r="I201" i="25"/>
  <c r="J201" i="25" s="1"/>
  <c r="J200" i="25"/>
  <c r="I199" i="25"/>
  <c r="J199" i="25" s="1"/>
  <c r="I198" i="25"/>
  <c r="J198" i="25" s="1"/>
  <c r="I197" i="25"/>
  <c r="J197" i="25" s="1"/>
  <c r="I196" i="25"/>
  <c r="J196" i="25" s="1"/>
  <c r="I195" i="25"/>
  <c r="J195" i="25" s="1"/>
  <c r="I194" i="25"/>
  <c r="J194" i="25" s="1"/>
  <c r="I193" i="25"/>
  <c r="J193" i="25" s="1"/>
  <c r="I192" i="25"/>
  <c r="J192" i="25" s="1"/>
  <c r="I191" i="25"/>
  <c r="J191" i="25" s="1"/>
  <c r="I190" i="25"/>
  <c r="J190" i="25" s="1"/>
  <c r="I189" i="25"/>
  <c r="J189" i="25" s="1"/>
  <c r="I188" i="25"/>
  <c r="J188" i="25" s="1"/>
  <c r="I187" i="25"/>
  <c r="J187" i="25" s="1"/>
  <c r="I186" i="25"/>
  <c r="J186" i="25" s="1"/>
  <c r="I185" i="25"/>
  <c r="J185" i="25" s="1"/>
  <c r="I184" i="25"/>
  <c r="J184" i="25" s="1"/>
  <c r="I183" i="25"/>
  <c r="J183" i="25" s="1"/>
  <c r="I182" i="25"/>
  <c r="J182" i="25" s="1"/>
  <c r="I181" i="25"/>
  <c r="J181" i="25" s="1"/>
  <c r="I180" i="25"/>
  <c r="J180" i="25" s="1"/>
  <c r="I179" i="25"/>
  <c r="J179" i="25" s="1"/>
  <c r="I178" i="25"/>
  <c r="J178" i="25" s="1"/>
  <c r="I177" i="25"/>
  <c r="J177" i="25" s="1"/>
  <c r="I176" i="25"/>
  <c r="J176" i="25" s="1"/>
  <c r="I175" i="25"/>
  <c r="J175" i="25" s="1"/>
  <c r="I174" i="25"/>
  <c r="J174" i="25" s="1"/>
  <c r="I173" i="25"/>
  <c r="J173" i="25" s="1"/>
  <c r="I172" i="25"/>
  <c r="J172" i="25" s="1"/>
  <c r="I171" i="25"/>
  <c r="J171" i="25" s="1"/>
  <c r="I170" i="25"/>
  <c r="J170" i="25" s="1"/>
  <c r="I169" i="25"/>
  <c r="J169" i="25" s="1"/>
  <c r="I168" i="25"/>
  <c r="J168" i="25" s="1"/>
  <c r="I167" i="25"/>
  <c r="J167" i="25" s="1"/>
  <c r="I166" i="25"/>
  <c r="J166" i="25" s="1"/>
  <c r="I165" i="25"/>
  <c r="J165" i="25" s="1"/>
  <c r="I164" i="25"/>
  <c r="J164" i="25" s="1"/>
  <c r="I163" i="25"/>
  <c r="J163" i="25" s="1"/>
  <c r="I162" i="25"/>
  <c r="J162" i="25" s="1"/>
  <c r="I161" i="25"/>
  <c r="J161" i="25" s="1"/>
  <c r="I160" i="25"/>
  <c r="J160" i="25" s="1"/>
  <c r="I159" i="25"/>
  <c r="J159" i="25" s="1"/>
  <c r="I158" i="25"/>
  <c r="J158" i="25" s="1"/>
  <c r="I157" i="25"/>
  <c r="J157" i="25" s="1"/>
  <c r="I156" i="25"/>
  <c r="J156" i="25" s="1"/>
  <c r="I155" i="25"/>
  <c r="J155" i="25" s="1"/>
  <c r="I154" i="25"/>
  <c r="J154" i="25" s="1"/>
  <c r="I153" i="25"/>
  <c r="J153" i="25" s="1"/>
  <c r="I152" i="25"/>
  <c r="J152" i="25" s="1"/>
  <c r="I151" i="25"/>
  <c r="J151" i="25" s="1"/>
  <c r="I150" i="25"/>
  <c r="J150" i="25" s="1"/>
  <c r="I149" i="25"/>
  <c r="J149" i="25" s="1"/>
  <c r="I148" i="25"/>
  <c r="J148" i="25" s="1"/>
  <c r="I147" i="25"/>
  <c r="J147" i="25" s="1"/>
  <c r="I146" i="25"/>
  <c r="J146" i="25" s="1"/>
  <c r="I145" i="25"/>
  <c r="J145" i="25" s="1"/>
  <c r="I144" i="25"/>
  <c r="J144" i="25" s="1"/>
  <c r="I143" i="25"/>
  <c r="J143" i="25" s="1"/>
  <c r="I142" i="25"/>
  <c r="J142" i="25" s="1"/>
  <c r="I141" i="25"/>
  <c r="J141" i="25" s="1"/>
  <c r="I140" i="25"/>
  <c r="J140" i="25" s="1"/>
  <c r="I139" i="25"/>
  <c r="J139" i="25" s="1"/>
  <c r="I138" i="25"/>
  <c r="J138" i="25" s="1"/>
  <c r="I137" i="25"/>
  <c r="J137" i="25" s="1"/>
  <c r="I136" i="25"/>
  <c r="J136" i="25" s="1"/>
  <c r="I135" i="25"/>
  <c r="J135" i="25" s="1"/>
  <c r="I134" i="25"/>
  <c r="J134" i="25" s="1"/>
  <c r="I133" i="25"/>
  <c r="J133" i="25" s="1"/>
  <c r="I132" i="25"/>
  <c r="J132" i="25" s="1"/>
  <c r="I131" i="25"/>
  <c r="J131" i="25" s="1"/>
  <c r="I130" i="25"/>
  <c r="J130" i="25" s="1"/>
  <c r="I128" i="25"/>
  <c r="J128" i="25" s="1"/>
  <c r="I127" i="25"/>
  <c r="J127" i="25" s="1"/>
  <c r="I126" i="25"/>
  <c r="J126" i="25" s="1"/>
  <c r="I125" i="25"/>
  <c r="J125" i="25" s="1"/>
  <c r="I124" i="25"/>
  <c r="J124" i="25" s="1"/>
  <c r="I123" i="25"/>
  <c r="J123" i="25" s="1"/>
  <c r="I122" i="25"/>
  <c r="J122" i="25" s="1"/>
  <c r="I121" i="25"/>
  <c r="J121" i="25" s="1"/>
  <c r="I120" i="25"/>
  <c r="J120" i="25" s="1"/>
  <c r="I119" i="25"/>
  <c r="J119" i="25" s="1"/>
  <c r="I118" i="25"/>
  <c r="J118" i="25" s="1"/>
  <c r="I117" i="25"/>
  <c r="J117" i="25" s="1"/>
  <c r="I116" i="25"/>
  <c r="J116" i="25" s="1"/>
  <c r="I115" i="25"/>
  <c r="J115" i="25" s="1"/>
  <c r="I114" i="25"/>
  <c r="J114" i="25" s="1"/>
  <c r="I113" i="25"/>
  <c r="J113" i="25" s="1"/>
  <c r="I112" i="25"/>
  <c r="J112" i="25" s="1"/>
  <c r="I111" i="25"/>
  <c r="J111" i="25" s="1"/>
  <c r="I110" i="25"/>
  <c r="J110" i="25" s="1"/>
  <c r="I109" i="25"/>
  <c r="J109" i="25" s="1"/>
  <c r="I108" i="25"/>
  <c r="J108" i="25" s="1"/>
  <c r="I107" i="25"/>
  <c r="J107" i="25" s="1"/>
  <c r="I106" i="25"/>
  <c r="J106" i="25" s="1"/>
  <c r="I105" i="25"/>
  <c r="J105" i="25" s="1"/>
  <c r="I104" i="25"/>
  <c r="J104" i="25" s="1"/>
  <c r="I103" i="25"/>
  <c r="J103" i="25" s="1"/>
  <c r="I102" i="25"/>
  <c r="J102" i="25" s="1"/>
  <c r="I101" i="25"/>
  <c r="J101" i="25" s="1"/>
  <c r="I100" i="25"/>
  <c r="J100" i="25" s="1"/>
  <c r="I99" i="25"/>
  <c r="J99" i="25" s="1"/>
  <c r="I98" i="25"/>
  <c r="J98" i="25" s="1"/>
  <c r="I97" i="25"/>
  <c r="J97" i="25" s="1"/>
  <c r="I96" i="25"/>
  <c r="J96" i="25" s="1"/>
  <c r="I95" i="25"/>
  <c r="J95" i="25" s="1"/>
  <c r="I94" i="25"/>
  <c r="J94" i="25" s="1"/>
  <c r="I93" i="25"/>
  <c r="J93" i="25" s="1"/>
  <c r="I92" i="25"/>
  <c r="J92" i="25" s="1"/>
  <c r="I91" i="25"/>
  <c r="J91" i="25" s="1"/>
  <c r="I90" i="25"/>
  <c r="J90" i="25" s="1"/>
  <c r="I89" i="25"/>
  <c r="J89" i="25" s="1"/>
  <c r="I88" i="25"/>
  <c r="J88" i="25" s="1"/>
  <c r="I87" i="25"/>
  <c r="J87" i="25" s="1"/>
  <c r="I86" i="25"/>
  <c r="J86" i="25" s="1"/>
  <c r="I85" i="25"/>
  <c r="J85" i="25" s="1"/>
  <c r="I84" i="25"/>
  <c r="J84" i="25" s="1"/>
  <c r="I83" i="25"/>
  <c r="J83" i="25" s="1"/>
  <c r="I82" i="25"/>
  <c r="J82" i="25" s="1"/>
  <c r="I81" i="25"/>
  <c r="J81" i="25" s="1"/>
  <c r="I80" i="25"/>
  <c r="J80" i="25" s="1"/>
  <c r="I79" i="25"/>
  <c r="J79" i="25" s="1"/>
  <c r="I78" i="25"/>
  <c r="J78" i="25" s="1"/>
  <c r="I77" i="25"/>
  <c r="J77" i="25" s="1"/>
  <c r="I76" i="25"/>
  <c r="J76" i="25" s="1"/>
  <c r="I75" i="25"/>
  <c r="J75" i="25" s="1"/>
  <c r="I74" i="25"/>
  <c r="J74" i="25" s="1"/>
  <c r="I73" i="25"/>
  <c r="J73" i="25" s="1"/>
  <c r="I72" i="25"/>
  <c r="J72" i="25" s="1"/>
  <c r="I71" i="25"/>
  <c r="J71" i="25" s="1"/>
  <c r="I70" i="25"/>
  <c r="J70" i="25" s="1"/>
  <c r="I69" i="25"/>
  <c r="J69" i="25" s="1"/>
  <c r="I68" i="25"/>
  <c r="J68" i="25" s="1"/>
  <c r="I67" i="25"/>
  <c r="J67" i="25" s="1"/>
  <c r="I66" i="25"/>
  <c r="J66" i="25" s="1"/>
  <c r="I65" i="25"/>
  <c r="J65" i="25" s="1"/>
  <c r="I64" i="25"/>
  <c r="J64" i="25" s="1"/>
  <c r="I63" i="25"/>
  <c r="J63" i="25" s="1"/>
  <c r="I62" i="25"/>
  <c r="J62" i="25" s="1"/>
  <c r="I61" i="25"/>
  <c r="J61" i="25" s="1"/>
  <c r="I60" i="25"/>
  <c r="J60" i="25" s="1"/>
  <c r="I59" i="25"/>
  <c r="J59" i="25" s="1"/>
  <c r="I58" i="25"/>
  <c r="J58" i="25" s="1"/>
  <c r="I57" i="25"/>
  <c r="J57" i="25" s="1"/>
  <c r="I56" i="25"/>
  <c r="J56" i="25" s="1"/>
  <c r="I55" i="25"/>
  <c r="J55" i="25" s="1"/>
  <c r="I54" i="25"/>
  <c r="J54" i="25" s="1"/>
  <c r="I53" i="25"/>
  <c r="J53" i="25" s="1"/>
  <c r="I52" i="25"/>
  <c r="J52" i="25" s="1"/>
  <c r="I51" i="25"/>
  <c r="J51" i="25" s="1"/>
  <c r="I50" i="25"/>
  <c r="J50" i="25" s="1"/>
  <c r="I49" i="25"/>
  <c r="J49" i="25" s="1"/>
  <c r="I48" i="25"/>
  <c r="J48" i="25" s="1"/>
  <c r="I47" i="25"/>
  <c r="J47" i="25" s="1"/>
  <c r="I46" i="25"/>
  <c r="J46" i="25" s="1"/>
  <c r="I45" i="25"/>
  <c r="J45" i="25" s="1"/>
  <c r="I44" i="25"/>
  <c r="J44" i="25" s="1"/>
  <c r="I43" i="25"/>
  <c r="J43" i="25" s="1"/>
  <c r="I42" i="25"/>
  <c r="J42" i="25" s="1"/>
  <c r="I41" i="25"/>
  <c r="J41" i="25" s="1"/>
  <c r="I40" i="25"/>
  <c r="J40" i="25" s="1"/>
  <c r="I39" i="25"/>
  <c r="J39" i="25" s="1"/>
  <c r="I38" i="25"/>
  <c r="J38" i="25" s="1"/>
  <c r="I37" i="25"/>
  <c r="J37" i="25" s="1"/>
  <c r="I36" i="25"/>
  <c r="J36" i="25" s="1"/>
  <c r="I35" i="25"/>
  <c r="J35" i="25" s="1"/>
  <c r="I34" i="25"/>
  <c r="J34" i="25" s="1"/>
  <c r="I33" i="25"/>
  <c r="J33" i="25" s="1"/>
  <c r="I32" i="25"/>
  <c r="J32" i="25" s="1"/>
  <c r="I31" i="25"/>
  <c r="J31" i="25" s="1"/>
  <c r="I30" i="25"/>
  <c r="J30" i="25" s="1"/>
  <c r="I29" i="25"/>
  <c r="J29" i="25" s="1"/>
  <c r="I28" i="25"/>
  <c r="J28" i="25" s="1"/>
  <c r="I27" i="25"/>
  <c r="J27" i="25" s="1"/>
  <c r="I26" i="25"/>
  <c r="J26" i="25" s="1"/>
  <c r="I25" i="25"/>
  <c r="J25" i="25" s="1"/>
  <c r="I24" i="25"/>
  <c r="J24" i="25" s="1"/>
  <c r="I23" i="25"/>
  <c r="J23" i="25" s="1"/>
  <c r="I22" i="25"/>
  <c r="J22" i="25" s="1"/>
  <c r="I21" i="25"/>
  <c r="J21" i="25" s="1"/>
  <c r="I20" i="25"/>
  <c r="J20" i="25" s="1"/>
  <c r="I19" i="25"/>
  <c r="J19" i="25" s="1"/>
  <c r="I18" i="25"/>
  <c r="J18" i="25" s="1"/>
  <c r="I17" i="25"/>
  <c r="J17" i="25" s="1"/>
  <c r="I16" i="25"/>
  <c r="J16" i="25" s="1"/>
  <c r="I15" i="25"/>
  <c r="J15" i="25" s="1"/>
  <c r="I14" i="25"/>
  <c r="J14" i="25" s="1"/>
  <c r="I13" i="25"/>
  <c r="J13" i="25" s="1"/>
  <c r="I12" i="25"/>
  <c r="J12" i="25" s="1"/>
  <c r="I11" i="25"/>
  <c r="J11" i="25" s="1"/>
  <c r="I10" i="25"/>
  <c r="J10" i="25" s="1"/>
  <c r="I9" i="25"/>
  <c r="J9" i="25" s="1"/>
  <c r="I8" i="25"/>
  <c r="J8" i="25" s="1"/>
  <c r="I7" i="25"/>
  <c r="J7" i="25" s="1"/>
  <c r="I6" i="25"/>
  <c r="J6" i="25" s="1"/>
  <c r="I5" i="25"/>
  <c r="J5" i="25" s="1"/>
  <c r="I4" i="25"/>
  <c r="J4" i="25" s="1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58" i="24"/>
  <c r="J159" i="24"/>
  <c r="J160" i="24"/>
  <c r="J161" i="24"/>
  <c r="J162" i="24"/>
  <c r="J163" i="24"/>
  <c r="J164" i="24"/>
  <c r="J165" i="24"/>
  <c r="J166" i="24"/>
  <c r="J167" i="24"/>
  <c r="J168" i="24"/>
  <c r="J169" i="24"/>
  <c r="J170" i="24"/>
  <c r="J171" i="24"/>
  <c r="J172" i="24"/>
  <c r="J173" i="24"/>
  <c r="J174" i="24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J218" i="24"/>
  <c r="J219" i="24"/>
  <c r="J220" i="24"/>
  <c r="J221" i="24"/>
  <c r="J222" i="24"/>
  <c r="J223" i="24"/>
  <c r="J224" i="24"/>
  <c r="J225" i="24"/>
  <c r="J226" i="24"/>
  <c r="J227" i="24"/>
  <c r="J228" i="24"/>
  <c r="J229" i="24"/>
  <c r="J230" i="24"/>
  <c r="J231" i="24"/>
  <c r="J232" i="24"/>
  <c r="J233" i="24"/>
  <c r="J234" i="24"/>
  <c r="J235" i="24"/>
  <c r="J236" i="24"/>
  <c r="J237" i="24"/>
  <c r="J238" i="24"/>
  <c r="J239" i="24"/>
  <c r="J240" i="24"/>
  <c r="J241" i="24"/>
  <c r="J242" i="24"/>
  <c r="J243" i="24"/>
  <c r="J244" i="24"/>
  <c r="J245" i="24"/>
  <c r="J246" i="24"/>
  <c r="J247" i="24"/>
  <c r="J248" i="24"/>
  <c r="J249" i="24"/>
  <c r="J250" i="24"/>
  <c r="J251" i="24"/>
  <c r="J252" i="24"/>
  <c r="J253" i="24"/>
  <c r="J254" i="24"/>
  <c r="J255" i="24"/>
  <c r="J256" i="24"/>
  <c r="J257" i="24"/>
  <c r="J258" i="24"/>
  <c r="J259" i="24"/>
  <c r="J260" i="24"/>
  <c r="J261" i="24"/>
  <c r="J262" i="24"/>
  <c r="J263" i="24"/>
  <c r="J264" i="24"/>
  <c r="J265" i="24"/>
  <c r="J266" i="24"/>
  <c r="J267" i="24"/>
  <c r="J268" i="24"/>
  <c r="J269" i="24"/>
  <c r="J270" i="24"/>
  <c r="J271" i="24"/>
  <c r="J272" i="24"/>
  <c r="J273" i="24"/>
  <c r="J274" i="24"/>
  <c r="J275" i="24"/>
  <c r="J276" i="24"/>
  <c r="J277" i="24"/>
  <c r="J278" i="24"/>
  <c r="J279" i="24"/>
  <c r="J280" i="24"/>
  <c r="J281" i="24"/>
  <c r="J282" i="24"/>
  <c r="J283" i="24"/>
  <c r="J284" i="24"/>
  <c r="J285" i="24"/>
  <c r="J286" i="24"/>
  <c r="J287" i="24"/>
  <c r="J288" i="24"/>
  <c r="J289" i="24"/>
  <c r="J290" i="24"/>
  <c r="J291" i="24"/>
  <c r="J292" i="24"/>
  <c r="J293" i="24"/>
  <c r="J294" i="24"/>
  <c r="J295" i="24"/>
  <c r="J296" i="24"/>
  <c r="J297" i="24"/>
  <c r="J298" i="24"/>
  <c r="J299" i="24"/>
  <c r="J300" i="24"/>
  <c r="J301" i="24"/>
  <c r="J302" i="24"/>
  <c r="J303" i="24"/>
  <c r="J304" i="24"/>
  <c r="J305" i="24"/>
  <c r="J306" i="24"/>
  <c r="J307" i="24"/>
  <c r="J308" i="24"/>
  <c r="J309" i="24"/>
  <c r="J310" i="24"/>
  <c r="J311" i="24"/>
  <c r="J312" i="24"/>
  <c r="J313" i="24"/>
  <c r="J314" i="24"/>
  <c r="J315" i="24"/>
  <c r="J316" i="24"/>
  <c r="J317" i="24"/>
  <c r="J318" i="24"/>
  <c r="J319" i="24"/>
  <c r="J320" i="24"/>
  <c r="J321" i="24"/>
  <c r="J322" i="24"/>
  <c r="J323" i="24"/>
  <c r="J324" i="24"/>
  <c r="J325" i="24"/>
  <c r="J326" i="24"/>
  <c r="J327" i="24"/>
  <c r="J5" i="24"/>
  <c r="J6" i="24"/>
  <c r="J7" i="24"/>
  <c r="J8" i="24"/>
  <c r="J9" i="24"/>
  <c r="J10" i="24"/>
  <c r="J4" i="24"/>
  <c r="T5" i="19"/>
  <c r="R5" i="19"/>
  <c r="T81" i="19"/>
  <c r="S81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S128" i="19"/>
  <c r="S129" i="19"/>
  <c r="S70" i="19"/>
  <c r="S71" i="19"/>
  <c r="S72" i="19"/>
  <c r="S73" i="19"/>
  <c r="S74" i="19"/>
  <c r="S75" i="19"/>
  <c r="S76" i="19"/>
  <c r="S77" i="19"/>
  <c r="S78" i="19"/>
  <c r="S79" i="19"/>
  <c r="S80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T70" i="19"/>
  <c r="U106" i="19"/>
  <c r="AN65" i="14"/>
  <c r="AN62" i="14"/>
  <c r="AN60" i="14"/>
  <c r="AN58" i="14"/>
  <c r="AN57" i="14"/>
  <c r="AN55" i="14"/>
  <c r="AN53" i="14"/>
  <c r="AN52" i="14"/>
  <c r="AN50" i="14"/>
  <c r="AN49" i="14"/>
  <c r="AN43" i="14"/>
  <c r="AN41" i="14"/>
  <c r="AN37" i="14"/>
  <c r="AN34" i="14"/>
  <c r="AN33" i="14"/>
  <c r="AN32" i="14"/>
  <c r="AN24" i="14"/>
  <c r="AN20" i="14"/>
  <c r="AN13" i="14"/>
  <c r="AN8" i="14"/>
  <c r="AN7" i="14"/>
  <c r="U65" i="14"/>
  <c r="U64" i="14"/>
  <c r="U63" i="14"/>
  <c r="U62" i="14"/>
  <c r="U61" i="14"/>
  <c r="U60" i="14"/>
  <c r="U59" i="14"/>
  <c r="U58" i="14"/>
  <c r="U57" i="14"/>
  <c r="U56" i="14"/>
  <c r="U55" i="14"/>
  <c r="U54" i="14"/>
  <c r="U53" i="14"/>
  <c r="U52" i="14"/>
  <c r="U51" i="14"/>
  <c r="U50" i="14"/>
  <c r="U49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U43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30" i="14"/>
  <c r="U29" i="14"/>
  <c r="U28" i="14"/>
  <c r="U27" i="14"/>
  <c r="U26" i="14"/>
  <c r="U25" i="14"/>
  <c r="U24" i="14"/>
  <c r="U23" i="14"/>
  <c r="U22" i="14"/>
  <c r="U21" i="14"/>
  <c r="U20" i="14"/>
  <c r="U19" i="14"/>
  <c r="U18" i="14"/>
  <c r="U17" i="14"/>
  <c r="U16" i="14"/>
  <c r="U15" i="14"/>
  <c r="U14" i="14"/>
  <c r="U13" i="14"/>
  <c r="U12" i="14"/>
  <c r="U11" i="14"/>
  <c r="U10" i="14"/>
  <c r="U9" i="14"/>
  <c r="U8" i="14"/>
  <c r="U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7" i="14"/>
  <c r="U129" i="19"/>
  <c r="T129" i="19"/>
  <c r="U128" i="19"/>
  <c r="T128" i="19"/>
  <c r="U127" i="19"/>
  <c r="T127" i="19"/>
  <c r="U126" i="19"/>
  <c r="T126" i="19"/>
  <c r="U125" i="19"/>
  <c r="T125" i="19"/>
  <c r="U124" i="19"/>
  <c r="T124" i="19"/>
  <c r="U123" i="19"/>
  <c r="T123" i="19"/>
  <c r="U122" i="19"/>
  <c r="T122" i="19"/>
  <c r="U121" i="19"/>
  <c r="T121" i="19"/>
  <c r="U120" i="19"/>
  <c r="T120" i="19"/>
  <c r="U119" i="19"/>
  <c r="T119" i="19"/>
  <c r="U118" i="19"/>
  <c r="T118" i="19"/>
  <c r="U117" i="19"/>
  <c r="T117" i="19"/>
  <c r="U116" i="19"/>
  <c r="T116" i="19"/>
  <c r="U115" i="19"/>
  <c r="T115" i="19"/>
  <c r="U114" i="19"/>
  <c r="T114" i="19"/>
  <c r="U113" i="19"/>
  <c r="T113" i="19"/>
  <c r="U112" i="19"/>
  <c r="T112" i="19"/>
  <c r="U111" i="19"/>
  <c r="T111" i="19"/>
  <c r="U110" i="19"/>
  <c r="T110" i="19"/>
  <c r="U109" i="19"/>
  <c r="T109" i="19"/>
  <c r="U108" i="19"/>
  <c r="T108" i="19"/>
  <c r="U107" i="19"/>
  <c r="T107" i="19"/>
  <c r="T106" i="19"/>
  <c r="U105" i="19"/>
  <c r="T105" i="19"/>
  <c r="U104" i="19"/>
  <c r="T104" i="19"/>
  <c r="U103" i="19"/>
  <c r="T103" i="19"/>
  <c r="U102" i="19"/>
  <c r="T102" i="19"/>
  <c r="U101" i="19"/>
  <c r="T101" i="19"/>
  <c r="U100" i="19"/>
  <c r="T100" i="19"/>
  <c r="U99" i="19"/>
  <c r="T99" i="19"/>
  <c r="U98" i="19"/>
  <c r="T98" i="19"/>
  <c r="U97" i="19"/>
  <c r="T97" i="19"/>
  <c r="U96" i="19"/>
  <c r="T96" i="19"/>
  <c r="U95" i="19"/>
  <c r="T95" i="19"/>
  <c r="U94" i="19"/>
  <c r="T94" i="19"/>
  <c r="U93" i="19"/>
  <c r="T93" i="19"/>
  <c r="U92" i="19"/>
  <c r="T92" i="19"/>
  <c r="U91" i="19"/>
  <c r="T91" i="19"/>
  <c r="U90" i="19"/>
  <c r="T90" i="19"/>
  <c r="U89" i="19"/>
  <c r="T89" i="19"/>
  <c r="U88" i="19"/>
  <c r="T88" i="19"/>
  <c r="U87" i="19"/>
  <c r="T87" i="19"/>
  <c r="U86" i="19"/>
  <c r="T86" i="19"/>
  <c r="U85" i="19"/>
  <c r="T85" i="19"/>
  <c r="U84" i="19"/>
  <c r="T84" i="19"/>
  <c r="U83" i="19"/>
  <c r="T83" i="19"/>
  <c r="U82" i="19"/>
  <c r="T82" i="19"/>
  <c r="U81" i="19"/>
  <c r="U80" i="19"/>
  <c r="T80" i="19"/>
  <c r="U79" i="19"/>
  <c r="T79" i="19"/>
  <c r="U78" i="19"/>
  <c r="T78" i="19"/>
  <c r="U77" i="19"/>
  <c r="T77" i="19"/>
  <c r="U76" i="19"/>
  <c r="T76" i="19"/>
  <c r="U75" i="19"/>
  <c r="T75" i="19"/>
  <c r="U74" i="19"/>
  <c r="T74" i="19"/>
  <c r="U73" i="19"/>
  <c r="T73" i="19"/>
  <c r="U72" i="19"/>
  <c r="T72" i="19"/>
  <c r="U71" i="19"/>
  <c r="T71" i="19"/>
  <c r="U70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AP66" i="20"/>
  <c r="AQ66" i="20" s="1"/>
  <c r="AP67" i="20"/>
  <c r="AQ67" i="20" s="1"/>
  <c r="AP68" i="20"/>
  <c r="AQ68" i="20" s="1"/>
  <c r="AP69" i="20"/>
  <c r="AQ69" i="20" s="1"/>
  <c r="AP70" i="20"/>
  <c r="AQ70" i="20" s="1"/>
  <c r="AP65" i="20"/>
  <c r="AQ65" i="20" s="1"/>
  <c r="D7" i="18"/>
  <c r="D8" i="18" s="1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H1741" i="16"/>
  <c r="H1742" i="16"/>
  <c r="H1743" i="16"/>
  <c r="H1744" i="16"/>
  <c r="H1745" i="16"/>
  <c r="H1746" i="16"/>
  <c r="H1747" i="16"/>
  <c r="H1748" i="16"/>
  <c r="H1749" i="16"/>
  <c r="H1750" i="16"/>
  <c r="H1751" i="16"/>
  <c r="H1752" i="16"/>
  <c r="H1753" i="16"/>
  <c r="H1754" i="16"/>
  <c r="H1755" i="16"/>
  <c r="H1756" i="16"/>
  <c r="H1757" i="16"/>
  <c r="H1758" i="16"/>
  <c r="H1759" i="16"/>
  <c r="H1760" i="16"/>
  <c r="H1761" i="16"/>
  <c r="H1762" i="16"/>
  <c r="H1763" i="16"/>
  <c r="H1764" i="16"/>
  <c r="H1765" i="16"/>
  <c r="H1766" i="16"/>
  <c r="H1767" i="16"/>
  <c r="H1768" i="16"/>
  <c r="H1769" i="16"/>
  <c r="H1770" i="16"/>
  <c r="H1771" i="16"/>
  <c r="H1772" i="16"/>
  <c r="H1773" i="16"/>
  <c r="H1774" i="16"/>
  <c r="H1775" i="16"/>
  <c r="H1776" i="16"/>
  <c r="H1777" i="16"/>
  <c r="H1778" i="16"/>
  <c r="H1779" i="16"/>
  <c r="H1780" i="16"/>
  <c r="H1781" i="16"/>
  <c r="H1782" i="16"/>
  <c r="H1783" i="16"/>
  <c r="H1784" i="16"/>
  <c r="H1785" i="16"/>
  <c r="H1786" i="16"/>
  <c r="H1787" i="16"/>
  <c r="H1788" i="16"/>
  <c r="H1789" i="16"/>
  <c r="H1790" i="16"/>
  <c r="H1791" i="16"/>
  <c r="H1792" i="16"/>
  <c r="H1793" i="16"/>
  <c r="H1794" i="16"/>
  <c r="H1795" i="16"/>
  <c r="H1796" i="16"/>
  <c r="H1797" i="16"/>
  <c r="H1798" i="16"/>
  <c r="H1799" i="16"/>
  <c r="H1800" i="16"/>
  <c r="H1801" i="16"/>
  <c r="H1802" i="16"/>
  <c r="H1803" i="16"/>
  <c r="H1807" i="16"/>
  <c r="H1808" i="16"/>
  <c r="H1809" i="16"/>
  <c r="H1810" i="16"/>
  <c r="H1811" i="16"/>
  <c r="H1812" i="16"/>
  <c r="H1813" i="16"/>
  <c r="H1814" i="16"/>
  <c r="H1815" i="16"/>
  <c r="H1816" i="16"/>
  <c r="H1817" i="16"/>
  <c r="H1818" i="16"/>
  <c r="H1819" i="16"/>
  <c r="H1820" i="16"/>
  <c r="H1821" i="16"/>
  <c r="H1822" i="16"/>
  <c r="H1823" i="16"/>
  <c r="H1824" i="16"/>
  <c r="H1825" i="16"/>
  <c r="H1826" i="16"/>
  <c r="H1827" i="16"/>
  <c r="H1828" i="16"/>
  <c r="H1829" i="16"/>
  <c r="H1830" i="16"/>
  <c r="H1831" i="16"/>
  <c r="H1832" i="16"/>
  <c r="H1833" i="16"/>
  <c r="H1834" i="16"/>
  <c r="H1836" i="16"/>
  <c r="H1837" i="16"/>
  <c r="H1838" i="16"/>
  <c r="H1839" i="16"/>
  <c r="H1840" i="16"/>
  <c r="H1841" i="16"/>
  <c r="H1842" i="16"/>
  <c r="H1843" i="16"/>
  <c r="H1844" i="16"/>
  <c r="H1845" i="16"/>
  <c r="H1846" i="16"/>
  <c r="H1847" i="16"/>
  <c r="H1848" i="16"/>
  <c r="H1849" i="16"/>
  <c r="H1850" i="16"/>
  <c r="H1852" i="16"/>
  <c r="H1853" i="16"/>
  <c r="H1854" i="16"/>
  <c r="H1855" i="16"/>
  <c r="H1856" i="16"/>
  <c r="H1857" i="16"/>
  <c r="H1858" i="16"/>
  <c r="H1859" i="16"/>
  <c r="H1860" i="16"/>
  <c r="H1861" i="16"/>
  <c r="H1862" i="16"/>
  <c r="H1863" i="16"/>
  <c r="H1864" i="16"/>
  <c r="H1865" i="16"/>
  <c r="H1866" i="16"/>
  <c r="H1867" i="16"/>
  <c r="H1868" i="16"/>
  <c r="H1871" i="16"/>
  <c r="H1872" i="16"/>
  <c r="H1873" i="16"/>
  <c r="H1874" i="16"/>
  <c r="H1875" i="16"/>
  <c r="H1876" i="16"/>
  <c r="H1877" i="16"/>
  <c r="H1878" i="16"/>
  <c r="H1880" i="16"/>
  <c r="H1881" i="16"/>
  <c r="H1883" i="16"/>
  <c r="H1885" i="16"/>
  <c r="H1886" i="16"/>
  <c r="H1887" i="16"/>
  <c r="H1888" i="16"/>
  <c r="H1889" i="16"/>
  <c r="H1890" i="16"/>
  <c r="H1891" i="16"/>
  <c r="H1892" i="16"/>
  <c r="H1893" i="16"/>
  <c r="H1894" i="16"/>
  <c r="H1895" i="16"/>
  <c r="H1896" i="16"/>
  <c r="H1897" i="16"/>
  <c r="H1898" i="16"/>
  <c r="H1899" i="16"/>
  <c r="H1900" i="16"/>
  <c r="H1901" i="16"/>
  <c r="H1902" i="16"/>
  <c r="H1903" i="16"/>
  <c r="H1904" i="16"/>
  <c r="H1906" i="16"/>
  <c r="H1907" i="16"/>
  <c r="H1908" i="16"/>
  <c r="H1909" i="16"/>
  <c r="H1910" i="16"/>
  <c r="H1911" i="16"/>
  <c r="H1912" i="16"/>
  <c r="H1913" i="16"/>
  <c r="H1914" i="16"/>
  <c r="H1915" i="16"/>
  <c r="H1916" i="16"/>
  <c r="H1917" i="16"/>
  <c r="H1918" i="16"/>
  <c r="H1919" i="16"/>
  <c r="H1920" i="16"/>
  <c r="H1921" i="16"/>
  <c r="H1922" i="16"/>
  <c r="H1923" i="16"/>
  <c r="H1924" i="16"/>
  <c r="H1925" i="16"/>
  <c r="H1926" i="16"/>
  <c r="H1927" i="16"/>
  <c r="H1928" i="16"/>
  <c r="H1929" i="16"/>
  <c r="H1930" i="16"/>
  <c r="H1931" i="16"/>
  <c r="H1932" i="16"/>
  <c r="H1933" i="16"/>
  <c r="H1934" i="16"/>
  <c r="H1935" i="16"/>
  <c r="H1936" i="16"/>
  <c r="H1937" i="16"/>
  <c r="H1938" i="16"/>
  <c r="H1939" i="16"/>
  <c r="H1940" i="16"/>
  <c r="H1941" i="16"/>
  <c r="H1942" i="16"/>
  <c r="H1943" i="16"/>
  <c r="H1944" i="16"/>
  <c r="H1945" i="16"/>
  <c r="H1946" i="16"/>
  <c r="H1947" i="16"/>
  <c r="H1948" i="16"/>
  <c r="H1949" i="16"/>
  <c r="H1950" i="16"/>
  <c r="H1951" i="16"/>
  <c r="H1952" i="16"/>
  <c r="H1953" i="16"/>
  <c r="H1954" i="16"/>
  <c r="H1955" i="16"/>
  <c r="H1956" i="16"/>
  <c r="H1957" i="16"/>
  <c r="H1958" i="16"/>
  <c r="H1959" i="16"/>
  <c r="H1960" i="16"/>
  <c r="H1961" i="16"/>
  <c r="H1962" i="16"/>
  <c r="H1963" i="16"/>
  <c r="H1964" i="16"/>
  <c r="H1965" i="16"/>
  <c r="H1966" i="16"/>
  <c r="H1967" i="16"/>
  <c r="H1971" i="16"/>
  <c r="H1972" i="16"/>
  <c r="H1973" i="16"/>
  <c r="H1974" i="16"/>
  <c r="H1975" i="16"/>
  <c r="H1976" i="16"/>
  <c r="H1977" i="16"/>
  <c r="H1978" i="16"/>
  <c r="H1979" i="16"/>
  <c r="H1980" i="16"/>
  <c r="H1981" i="16"/>
  <c r="H1982" i="16"/>
  <c r="H1983" i="16"/>
  <c r="H1984" i="16"/>
  <c r="H1986" i="16"/>
  <c r="H1987" i="16"/>
  <c r="H1988" i="16"/>
  <c r="H1989" i="16"/>
  <c r="H1991" i="16"/>
  <c r="H1992" i="16"/>
  <c r="H1993" i="16"/>
  <c r="H1994" i="16"/>
  <c r="H1995" i="16"/>
  <c r="H1996" i="16"/>
  <c r="H1997" i="16"/>
  <c r="H1998" i="16"/>
  <c r="H1999" i="16"/>
  <c r="H2000" i="16"/>
  <c r="H2001" i="16"/>
  <c r="H2002" i="16"/>
  <c r="H2005" i="16"/>
  <c r="H2006" i="16"/>
  <c r="H2008" i="16"/>
  <c r="H2009" i="16"/>
  <c r="H2010" i="16"/>
  <c r="H2011" i="16"/>
  <c r="H2012" i="16"/>
  <c r="H2014" i="16"/>
  <c r="H2015" i="16"/>
  <c r="H2016" i="16"/>
  <c r="H2017" i="16"/>
  <c r="H2018" i="16"/>
  <c r="H2019" i="16"/>
  <c r="H2020" i="16"/>
  <c r="H2021" i="16"/>
  <c r="H2022" i="16"/>
  <c r="H2023" i="16"/>
  <c r="H2024" i="16"/>
  <c r="H2025" i="16"/>
  <c r="H2026" i="16"/>
  <c r="H2027" i="16"/>
  <c r="H2028" i="16"/>
  <c r="H2029" i="16"/>
  <c r="H2030" i="16"/>
  <c r="H2031" i="16"/>
  <c r="H2032" i="16"/>
  <c r="H2033" i="16"/>
  <c r="H2034" i="16"/>
  <c r="H2035" i="16"/>
  <c r="H2036" i="16"/>
  <c r="H2037" i="16"/>
  <c r="H2038" i="16"/>
  <c r="H2039" i="16"/>
  <c r="H2043" i="16"/>
  <c r="H2044" i="16"/>
  <c r="H2045" i="16"/>
  <c r="H2046" i="16"/>
  <c r="H2047" i="16"/>
  <c r="H2048" i="16"/>
  <c r="H2050" i="16"/>
  <c r="H2052" i="16"/>
  <c r="H2053" i="16"/>
  <c r="H2054" i="16"/>
  <c r="H2055" i="16"/>
  <c r="H2056" i="16"/>
  <c r="H2057" i="16"/>
  <c r="H2058" i="16"/>
  <c r="H2059" i="16"/>
  <c r="H2060" i="16"/>
  <c r="H2061" i="16"/>
  <c r="H2062" i="16"/>
  <c r="H2063" i="16"/>
  <c r="H2064" i="16"/>
  <c r="H2065" i="16"/>
  <c r="H2066" i="16"/>
  <c r="H2067" i="16"/>
  <c r="H2068" i="16"/>
  <c r="H2070" i="16"/>
  <c r="H2071" i="16"/>
  <c r="H2072" i="16"/>
  <c r="H2073" i="16"/>
  <c r="H2074" i="16"/>
  <c r="H2075" i="16"/>
  <c r="H2076" i="16"/>
  <c r="H2077" i="16"/>
  <c r="H2078" i="16"/>
  <c r="H2079" i="16"/>
  <c r="H2080" i="16"/>
  <c r="H2081" i="16"/>
  <c r="H2082" i="16"/>
  <c r="H2083" i="16"/>
  <c r="H2084" i="16"/>
  <c r="H2085" i="16"/>
  <c r="H2086" i="16"/>
  <c r="H2087" i="16"/>
  <c r="H2088" i="16"/>
  <c r="H2089" i="16"/>
  <c r="H2090" i="16"/>
  <c r="H2091" i="16"/>
  <c r="H2092" i="16"/>
  <c r="H2093" i="16"/>
  <c r="H2094" i="16"/>
  <c r="H2095" i="16"/>
  <c r="H2096" i="16"/>
  <c r="H2097" i="16"/>
  <c r="H2098" i="16"/>
  <c r="H2099" i="16"/>
  <c r="H2100" i="16"/>
  <c r="H2101" i="16"/>
  <c r="H2102" i="16"/>
  <c r="H2103" i="16"/>
  <c r="H2104" i="16"/>
  <c r="H2105" i="16"/>
  <c r="H2106" i="16"/>
  <c r="H2107" i="16"/>
  <c r="H2108" i="16"/>
  <c r="H2109" i="16"/>
  <c r="H2110" i="16"/>
  <c r="H2111" i="16"/>
  <c r="H2112" i="16"/>
  <c r="H2113" i="16"/>
  <c r="H2114" i="16"/>
  <c r="H2115" i="16"/>
  <c r="H2116" i="16"/>
  <c r="H2117" i="16"/>
  <c r="H2118" i="16"/>
  <c r="H2119" i="16"/>
  <c r="H2120" i="16"/>
  <c r="H2121" i="16"/>
  <c r="H2122" i="16"/>
  <c r="H2123" i="16"/>
  <c r="H2125" i="16"/>
  <c r="H2126" i="16"/>
  <c r="H2127" i="16"/>
  <c r="H2128" i="16"/>
  <c r="H2129" i="16"/>
  <c r="H2130" i="16"/>
  <c r="H2131" i="16"/>
  <c r="H2132" i="16"/>
  <c r="H2133" i="16"/>
  <c r="H2134" i="16"/>
  <c r="H2135" i="16"/>
  <c r="H2136" i="16"/>
  <c r="H2137" i="16"/>
  <c r="H2138" i="16"/>
  <c r="H2139" i="16"/>
  <c r="H2140" i="16"/>
  <c r="H2141" i="16"/>
  <c r="H2142" i="16"/>
  <c r="H2143" i="16"/>
  <c r="H2144" i="16"/>
  <c r="H2146" i="16"/>
  <c r="H2147" i="16"/>
  <c r="H2148" i="16"/>
  <c r="H2149" i="16"/>
  <c r="H2150" i="16"/>
  <c r="H2151" i="16"/>
  <c r="H2152" i="16"/>
  <c r="H2153" i="16"/>
  <c r="H2154" i="16"/>
  <c r="H2155" i="16"/>
  <c r="H2156" i="16"/>
  <c r="H2157" i="16"/>
  <c r="H2158" i="16"/>
  <c r="H2159" i="16"/>
  <c r="H2160" i="16"/>
  <c r="H2161" i="16"/>
  <c r="H2162" i="16"/>
  <c r="H2163" i="16"/>
  <c r="H2164" i="16"/>
  <c r="H2165" i="16"/>
  <c r="H2166" i="16"/>
  <c r="H2167" i="16"/>
  <c r="H2168" i="16"/>
  <c r="H2169" i="16"/>
  <c r="H2170" i="16"/>
  <c r="H2171" i="16"/>
  <c r="H2172" i="16"/>
  <c r="H2173" i="16"/>
  <c r="H2174" i="16"/>
  <c r="H2175" i="16"/>
  <c r="H2176" i="16"/>
  <c r="H2177" i="16"/>
  <c r="H2178" i="16"/>
  <c r="H2179" i="16"/>
  <c r="H2180" i="16"/>
  <c r="H2181" i="16"/>
  <c r="H2182" i="16"/>
  <c r="H2183" i="16"/>
  <c r="H2184" i="16"/>
  <c r="H2185" i="16"/>
  <c r="H2186" i="16"/>
  <c r="H2187" i="16"/>
  <c r="H2188" i="16"/>
  <c r="H2189" i="16"/>
  <c r="H2190" i="16"/>
  <c r="H2191" i="16"/>
  <c r="H2192" i="16"/>
  <c r="H2193" i="16"/>
  <c r="H2194" i="16"/>
  <c r="H2195" i="16"/>
  <c r="H2196" i="16"/>
  <c r="H2197" i="16"/>
  <c r="H2198" i="16"/>
  <c r="H2199" i="16"/>
  <c r="H2200" i="16"/>
  <c r="H2201" i="16"/>
  <c r="H2202" i="16"/>
  <c r="H2203" i="16"/>
  <c r="H2204" i="16"/>
  <c r="H2205" i="16"/>
  <c r="H2206" i="16"/>
  <c r="H2207" i="16"/>
  <c r="H2208" i="16"/>
  <c r="H2209" i="16"/>
  <c r="H2210" i="16"/>
  <c r="H2211" i="16"/>
  <c r="H2213" i="16"/>
  <c r="H2214" i="16"/>
  <c r="H2215" i="16"/>
  <c r="H2216" i="16"/>
  <c r="H2217" i="16"/>
  <c r="H2218" i="16"/>
  <c r="H2219" i="16"/>
  <c r="H2220" i="16"/>
  <c r="H2221" i="16"/>
  <c r="H2222" i="16"/>
  <c r="H2223" i="16"/>
  <c r="H2224" i="16"/>
  <c r="H2225" i="16"/>
  <c r="H2226" i="16"/>
  <c r="H2227" i="16"/>
  <c r="H2228" i="16"/>
  <c r="H2229" i="16"/>
  <c r="H2230" i="16"/>
  <c r="H2231" i="16"/>
  <c r="H2232" i="16"/>
  <c r="H2233" i="16"/>
  <c r="H2234" i="16"/>
  <c r="H2235" i="16"/>
  <c r="H2236" i="16"/>
  <c r="H2237" i="16"/>
  <c r="H2238" i="16"/>
  <c r="H2239" i="16"/>
  <c r="H2240" i="16"/>
  <c r="H2241" i="16"/>
  <c r="H2242" i="16"/>
  <c r="H2243" i="16"/>
  <c r="H2244" i="16"/>
  <c r="H2245" i="16"/>
  <c r="H2246" i="16"/>
  <c r="H2247" i="16"/>
  <c r="H2248" i="16"/>
  <c r="H2249" i="16"/>
  <c r="H2250" i="16"/>
  <c r="H2251" i="16"/>
  <c r="H2252" i="16"/>
  <c r="H2253" i="16"/>
  <c r="H2254" i="16"/>
  <c r="H2255" i="16"/>
  <c r="H2256" i="16"/>
  <c r="H2257" i="16"/>
  <c r="H2258" i="16"/>
  <c r="H2259" i="16"/>
  <c r="H2260" i="16"/>
  <c r="H2261" i="16"/>
  <c r="H2262" i="16"/>
  <c r="H2263" i="16"/>
  <c r="H2264" i="16"/>
  <c r="H2265" i="16"/>
  <c r="H2267" i="16"/>
  <c r="H2268" i="16"/>
  <c r="H2269" i="16"/>
  <c r="H2270" i="16"/>
  <c r="H2271" i="16"/>
  <c r="H2272" i="16"/>
  <c r="H2273" i="16"/>
  <c r="H2274" i="16"/>
  <c r="H2275" i="16"/>
  <c r="H2276" i="16"/>
  <c r="H2277" i="16"/>
  <c r="H2278" i="16"/>
  <c r="H2279" i="16"/>
  <c r="H2280" i="16"/>
  <c r="H2281" i="16"/>
  <c r="H2282" i="16"/>
  <c r="H2283" i="16"/>
  <c r="H2284" i="16"/>
  <c r="H2285" i="16"/>
  <c r="H2286" i="16"/>
  <c r="H2287" i="16"/>
  <c r="H2288" i="16"/>
  <c r="H2289" i="16"/>
  <c r="H2290" i="16"/>
  <c r="H2291" i="16"/>
  <c r="H2293" i="16"/>
  <c r="H2294" i="16"/>
  <c r="H2295" i="16"/>
  <c r="H2296" i="16"/>
  <c r="H2297" i="16"/>
  <c r="H2298" i="16"/>
  <c r="H2299" i="16"/>
  <c r="H2300" i="16"/>
  <c r="H2301" i="16"/>
  <c r="H2302" i="16"/>
  <c r="H2303" i="16"/>
  <c r="H2304" i="16"/>
  <c r="H2305" i="16"/>
  <c r="H2306" i="16"/>
  <c r="H2307" i="16"/>
  <c r="H2308" i="16"/>
  <c r="H2309" i="16"/>
  <c r="H2310" i="16"/>
  <c r="H2311" i="16"/>
  <c r="H2312" i="16"/>
  <c r="H2313" i="16"/>
  <c r="H2314" i="16"/>
  <c r="H2315" i="16"/>
  <c r="H2316" i="16"/>
  <c r="H2317" i="16"/>
  <c r="H2318" i="16"/>
  <c r="H2319" i="16"/>
  <c r="H2320" i="16"/>
  <c r="H2321" i="16"/>
  <c r="H2322" i="16"/>
  <c r="H2323" i="16"/>
  <c r="H2324" i="16"/>
  <c r="H2325" i="16"/>
  <c r="H2326" i="16"/>
  <c r="H2328" i="16"/>
  <c r="H2329" i="16"/>
  <c r="H2330" i="16"/>
  <c r="H2331" i="16"/>
  <c r="H2332" i="16"/>
  <c r="H2333" i="16"/>
  <c r="H2334" i="16"/>
  <c r="H2335" i="16"/>
  <c r="H2336" i="16"/>
  <c r="H2337" i="16"/>
  <c r="H2338" i="16"/>
  <c r="H2339" i="16"/>
  <c r="H2340" i="16"/>
  <c r="H2341" i="16"/>
  <c r="H2342" i="16"/>
  <c r="H2343" i="16"/>
  <c r="H2344" i="16"/>
  <c r="H2345" i="16"/>
  <c r="H2346" i="16"/>
  <c r="H2347" i="16"/>
  <c r="H2348" i="16"/>
  <c r="H2349" i="16"/>
  <c r="H2350" i="16"/>
  <c r="H2351" i="16"/>
  <c r="H2352" i="16"/>
  <c r="H2353" i="16"/>
  <c r="H2354" i="16"/>
  <c r="H2355" i="16"/>
  <c r="H2356" i="16"/>
  <c r="H2357" i="16"/>
  <c r="H2358" i="16"/>
  <c r="H2361" i="16"/>
  <c r="H2362" i="16"/>
  <c r="H2363" i="16"/>
  <c r="H2364" i="16"/>
  <c r="H2365" i="16"/>
  <c r="H2366" i="16"/>
  <c r="H2367" i="16"/>
  <c r="H2368" i="16"/>
  <c r="H2369" i="16"/>
  <c r="H2370" i="16"/>
  <c r="H2371" i="16"/>
  <c r="H2372" i="16"/>
  <c r="H2373" i="16"/>
  <c r="H2374" i="16"/>
  <c r="H2375" i="16"/>
  <c r="H2377" i="16"/>
  <c r="H2378" i="16"/>
  <c r="H2379" i="16"/>
  <c r="H2380" i="16"/>
  <c r="H2381" i="16"/>
  <c r="H2382" i="16"/>
  <c r="H2383" i="16"/>
  <c r="H2384" i="16"/>
  <c r="H2385" i="16"/>
  <c r="H2386" i="16"/>
  <c r="H2387" i="16"/>
  <c r="H2388" i="16"/>
  <c r="H2389" i="16"/>
  <c r="H2390" i="16"/>
  <c r="H2391" i="16"/>
  <c r="H2392" i="16"/>
  <c r="H2393" i="16"/>
  <c r="H2394" i="16"/>
  <c r="H2395" i="16"/>
  <c r="H2396" i="16"/>
  <c r="H2397" i="16"/>
  <c r="H2398" i="16"/>
  <c r="H2399" i="16"/>
  <c r="H2400" i="16"/>
  <c r="H2401" i="16"/>
  <c r="H2402" i="16"/>
  <c r="H2403" i="16"/>
  <c r="H2404" i="16"/>
  <c r="H2405" i="16"/>
  <c r="H2406" i="16"/>
  <c r="H2407" i="16"/>
  <c r="H2408" i="16"/>
  <c r="H2409" i="16"/>
  <c r="H2410" i="16"/>
  <c r="H2411" i="16"/>
  <c r="H2412" i="16"/>
  <c r="H2413" i="16"/>
  <c r="H2414" i="16"/>
  <c r="H2415" i="16"/>
  <c r="H2416" i="16"/>
  <c r="H2417" i="16"/>
  <c r="H2418" i="16"/>
  <c r="H2419" i="16"/>
  <c r="H2420" i="16"/>
  <c r="H2421" i="16"/>
  <c r="H2422" i="16"/>
  <c r="H2423" i="16"/>
  <c r="H2424" i="16"/>
  <c r="H2425" i="16"/>
  <c r="H2426" i="16"/>
  <c r="H2427" i="16"/>
  <c r="H2428" i="16"/>
  <c r="H2429" i="16"/>
  <c r="H2430" i="16"/>
  <c r="H2431" i="16"/>
  <c r="H2432" i="16"/>
  <c r="H2433" i="16"/>
  <c r="H2434" i="16"/>
  <c r="H2435" i="16"/>
  <c r="H2436" i="16"/>
  <c r="H2437" i="16"/>
  <c r="H2438" i="16"/>
  <c r="H2439" i="16"/>
  <c r="H2440" i="16"/>
  <c r="H2441" i="16"/>
  <c r="H2442" i="16"/>
  <c r="H2443" i="16"/>
  <c r="H2444" i="16"/>
  <c r="H2445" i="16"/>
  <c r="H2446" i="16"/>
  <c r="H2447" i="16"/>
  <c r="H2448" i="16"/>
  <c r="H2449" i="16"/>
  <c r="H2450" i="16"/>
  <c r="H2451" i="16"/>
  <c r="H2452" i="16"/>
  <c r="H2453" i="16"/>
  <c r="H2454" i="16"/>
  <c r="H2455" i="16"/>
  <c r="H2456" i="16"/>
  <c r="H2457" i="16"/>
  <c r="H2458" i="16"/>
  <c r="H2459" i="16"/>
  <c r="H2460" i="16"/>
  <c r="H2461" i="16"/>
  <c r="H2462" i="16"/>
  <c r="H2463" i="16"/>
  <c r="H2464" i="16"/>
  <c r="H2465" i="16"/>
  <c r="H2466" i="16"/>
  <c r="H2467" i="16"/>
  <c r="H2468" i="16"/>
  <c r="H2469" i="16"/>
  <c r="H2470" i="16"/>
  <c r="H2471" i="16"/>
  <c r="H2472" i="16"/>
  <c r="H2473" i="16"/>
  <c r="H2474" i="16"/>
  <c r="H2476" i="16"/>
  <c r="H2477" i="16"/>
  <c r="H2478" i="16"/>
  <c r="H2479" i="16"/>
  <c r="H2480" i="16"/>
  <c r="H2481" i="16"/>
  <c r="H2482" i="16"/>
  <c r="H2483" i="16"/>
  <c r="H2484" i="16"/>
  <c r="H2485" i="16"/>
  <c r="H2486" i="16"/>
  <c r="H2487" i="16"/>
  <c r="H2488" i="16"/>
  <c r="H2489" i="16"/>
  <c r="H2490" i="16"/>
  <c r="H2491" i="16"/>
  <c r="H2492" i="16"/>
  <c r="H2494" i="16"/>
  <c r="H2495" i="16"/>
  <c r="H2496" i="16"/>
  <c r="H2497" i="16"/>
  <c r="H2498" i="16"/>
  <c r="H2499" i="16"/>
  <c r="H2504" i="16"/>
  <c r="H2505" i="16"/>
  <c r="H2506" i="16"/>
  <c r="H2507" i="16"/>
  <c r="H2508" i="16"/>
  <c r="H2509" i="16"/>
  <c r="H2510" i="16"/>
  <c r="H2511" i="16"/>
  <c r="H2512" i="16"/>
  <c r="H2513" i="16"/>
  <c r="H2514" i="16"/>
  <c r="H2515" i="16"/>
  <c r="H2516" i="16"/>
  <c r="H2517" i="16"/>
  <c r="H2518" i="16"/>
  <c r="H2519" i="16"/>
  <c r="H2520" i="16"/>
  <c r="H2521" i="16"/>
  <c r="H2522" i="16"/>
  <c r="H2523" i="16"/>
  <c r="H2524" i="16"/>
  <c r="H2525" i="16"/>
  <c r="H2526" i="16"/>
  <c r="H2527" i="16"/>
  <c r="H2528" i="16"/>
  <c r="H2529" i="16"/>
  <c r="H2530" i="16"/>
  <c r="H2531" i="16"/>
  <c r="H2532" i="16"/>
  <c r="H2533" i="16"/>
  <c r="H2534" i="16"/>
  <c r="H2535" i="16"/>
  <c r="H2536" i="16"/>
  <c r="H2537" i="16"/>
  <c r="H2538" i="16"/>
  <c r="H2539" i="16"/>
  <c r="H2540" i="16"/>
  <c r="H2541" i="16"/>
  <c r="H2542" i="16"/>
  <c r="H2543" i="16"/>
  <c r="H2544" i="16"/>
  <c r="H2545" i="16"/>
  <c r="H2546" i="16"/>
  <c r="H2548" i="16"/>
  <c r="H2549" i="16"/>
  <c r="H2550" i="16"/>
  <c r="H2551" i="16"/>
  <c r="H2552" i="16"/>
  <c r="H2553" i="16"/>
  <c r="H2554" i="16"/>
  <c r="H2555" i="16"/>
  <c r="H2556" i="16"/>
  <c r="H2557" i="16"/>
  <c r="H2558" i="16"/>
  <c r="H2559" i="16"/>
  <c r="H2560" i="16"/>
  <c r="H2561" i="16"/>
  <c r="H2562" i="16"/>
  <c r="H2563" i="16"/>
  <c r="H2564" i="16"/>
  <c r="H2565" i="16"/>
  <c r="H2566" i="16"/>
  <c r="H2567" i="16"/>
  <c r="H2568" i="16"/>
  <c r="H2569" i="16"/>
  <c r="H2570" i="16"/>
  <c r="H2571" i="16"/>
  <c r="H2573" i="16"/>
  <c r="H2575" i="16"/>
  <c r="H2576" i="16"/>
  <c r="H2577" i="16"/>
  <c r="H2578" i="16"/>
  <c r="H2579" i="16"/>
  <c r="H2580" i="16"/>
  <c r="H2581" i="16"/>
  <c r="H2582" i="16"/>
  <c r="H2583" i="16"/>
  <c r="H2584" i="16"/>
  <c r="H2585" i="16"/>
  <c r="H2586" i="16"/>
  <c r="H2587" i="16"/>
  <c r="H2588" i="16"/>
  <c r="H2589" i="16"/>
  <c r="H2590" i="16"/>
  <c r="H2591" i="16"/>
  <c r="H2592" i="16"/>
  <c r="H2593" i="16"/>
  <c r="H2594" i="16"/>
  <c r="H2595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6" i="16"/>
  <c r="H1267" i="16"/>
  <c r="H1268" i="16"/>
  <c r="H1269" i="16"/>
  <c r="H1270" i="16"/>
  <c r="H1271" i="16"/>
  <c r="H1272" i="16"/>
  <c r="H1273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51" i="16"/>
  <c r="H1352" i="16"/>
  <c r="H1353" i="16"/>
  <c r="H1354" i="16"/>
  <c r="H1355" i="16"/>
  <c r="H1356" i="16"/>
  <c r="H1357" i="16"/>
  <c r="H1358" i="16"/>
  <c r="H1359" i="16"/>
  <c r="H1360" i="16"/>
  <c r="H1361" i="16"/>
  <c r="H1362" i="16"/>
  <c r="H1363" i="16"/>
  <c r="H1364" i="16"/>
  <c r="H1365" i="16"/>
  <c r="H1366" i="16"/>
  <c r="H1367" i="16"/>
  <c r="H1368" i="16"/>
  <c r="H1370" i="16"/>
  <c r="H1371" i="16"/>
  <c r="H1372" i="16"/>
  <c r="H1373" i="16"/>
  <c r="H1374" i="16"/>
  <c r="H1375" i="16"/>
  <c r="H1376" i="16"/>
  <c r="H1377" i="16"/>
  <c r="H1378" i="16"/>
  <c r="H1379" i="16"/>
  <c r="H1380" i="16"/>
  <c r="H1381" i="16"/>
  <c r="H1382" i="16"/>
  <c r="H1383" i="16"/>
  <c r="H1384" i="16"/>
  <c r="H1385" i="16"/>
  <c r="H1386" i="16"/>
  <c r="H1388" i="16"/>
  <c r="H1389" i="16"/>
  <c r="H1390" i="16"/>
  <c r="H1391" i="16"/>
  <c r="H1392" i="16"/>
  <c r="H1393" i="16"/>
  <c r="H1394" i="16"/>
  <c r="H1395" i="16"/>
  <c r="H1396" i="16"/>
  <c r="H1397" i="16"/>
  <c r="H1398" i="16"/>
  <c r="H1399" i="16"/>
  <c r="H1400" i="16"/>
  <c r="H1401" i="16"/>
  <c r="H1402" i="16"/>
  <c r="H1403" i="16"/>
  <c r="H1404" i="16"/>
  <c r="H1405" i="16"/>
  <c r="H1406" i="16"/>
  <c r="H1407" i="16"/>
  <c r="H1408" i="16"/>
  <c r="H1409" i="16"/>
  <c r="H1410" i="16"/>
  <c r="H1411" i="16"/>
  <c r="H1412" i="16"/>
  <c r="H1413" i="16"/>
  <c r="H1414" i="16"/>
  <c r="H1415" i="16"/>
  <c r="H1416" i="16"/>
  <c r="H1417" i="16"/>
  <c r="H1419" i="16"/>
  <c r="H1420" i="16"/>
  <c r="H1421" i="16"/>
  <c r="H1422" i="16"/>
  <c r="H1423" i="16"/>
  <c r="H1424" i="16"/>
  <c r="H1425" i="16"/>
  <c r="H1426" i="16"/>
  <c r="H1427" i="16"/>
  <c r="H1428" i="16"/>
  <c r="H1429" i="16"/>
  <c r="H1430" i="16"/>
  <c r="H1431" i="16"/>
  <c r="H1432" i="16"/>
  <c r="H1433" i="16"/>
  <c r="H1434" i="16"/>
  <c r="H1435" i="16"/>
  <c r="H1436" i="16"/>
  <c r="H1437" i="16"/>
  <c r="H1438" i="16"/>
  <c r="H1439" i="16"/>
  <c r="H1440" i="16"/>
  <c r="H1441" i="16"/>
  <c r="H1442" i="16"/>
  <c r="H1443" i="16"/>
  <c r="H1444" i="16"/>
  <c r="H1445" i="16"/>
  <c r="H1446" i="16"/>
  <c r="H1447" i="16"/>
  <c r="H1448" i="16"/>
  <c r="H1449" i="16"/>
  <c r="H1450" i="16"/>
  <c r="H1451" i="16"/>
  <c r="H1452" i="16"/>
  <c r="H1453" i="16"/>
  <c r="H1454" i="16"/>
  <c r="H1455" i="16"/>
  <c r="H1456" i="16"/>
  <c r="H1457" i="16"/>
  <c r="H1458" i="16"/>
  <c r="H1459" i="16"/>
  <c r="H1460" i="16"/>
  <c r="H1461" i="16"/>
  <c r="H1462" i="16"/>
  <c r="H1463" i="16"/>
  <c r="H1464" i="16"/>
  <c r="H1465" i="16"/>
  <c r="H1466" i="16"/>
  <c r="H1467" i="16"/>
  <c r="H1468" i="16"/>
  <c r="H1469" i="16"/>
  <c r="H1470" i="16"/>
  <c r="H1471" i="16"/>
  <c r="H1473" i="16"/>
  <c r="H1474" i="16"/>
  <c r="H1475" i="16"/>
  <c r="H1476" i="16"/>
  <c r="H1477" i="16"/>
  <c r="H1478" i="16"/>
  <c r="H1479" i="16"/>
  <c r="H1480" i="16"/>
  <c r="H1481" i="16"/>
  <c r="H1482" i="16"/>
  <c r="H1483" i="16"/>
  <c r="H1484" i="16"/>
  <c r="H1485" i="16"/>
  <c r="H1486" i="16"/>
  <c r="H1487" i="16"/>
  <c r="H1488" i="16"/>
  <c r="H1489" i="16"/>
  <c r="H1490" i="16"/>
  <c r="H1491" i="16"/>
  <c r="H1492" i="16"/>
  <c r="H1494" i="16"/>
  <c r="H1495" i="16"/>
  <c r="H1496" i="16"/>
  <c r="H1497" i="16"/>
  <c r="H1498" i="16"/>
  <c r="H1499" i="16"/>
  <c r="H1500" i="16"/>
  <c r="H1501" i="16"/>
  <c r="H1502" i="16"/>
  <c r="H1503" i="16"/>
  <c r="H1504" i="16"/>
  <c r="H1505" i="16"/>
  <c r="H1506" i="16"/>
  <c r="H1508" i="16"/>
  <c r="H1509" i="16"/>
  <c r="H1510" i="16"/>
  <c r="H1511" i="16"/>
  <c r="H1512" i="16"/>
  <c r="H1513" i="16"/>
  <c r="H1514" i="16"/>
  <c r="H1515" i="16"/>
  <c r="H1516" i="16"/>
  <c r="H1517" i="16"/>
  <c r="H1518" i="16"/>
  <c r="H1519" i="16"/>
  <c r="H1520" i="16"/>
  <c r="H1521" i="16"/>
  <c r="H1522" i="16"/>
  <c r="H1523" i="16"/>
  <c r="H1524" i="16"/>
  <c r="H1525" i="16"/>
  <c r="H1526" i="16"/>
  <c r="H1527" i="16"/>
  <c r="H1528" i="16"/>
  <c r="H1529" i="16"/>
  <c r="H1530" i="16"/>
  <c r="H1532" i="16"/>
  <c r="H1533" i="16"/>
  <c r="H1534" i="16"/>
  <c r="H1535" i="16"/>
  <c r="H1536" i="16"/>
  <c r="H1537" i="16"/>
  <c r="H1538" i="16"/>
  <c r="H1539" i="16"/>
  <c r="H1540" i="16"/>
  <c r="H1541" i="16"/>
  <c r="H1542" i="16"/>
  <c r="H1543" i="16"/>
  <c r="H1544" i="16"/>
  <c r="H1545" i="16"/>
  <c r="H1546" i="16"/>
  <c r="H1547" i="16"/>
  <c r="H1548" i="16"/>
  <c r="H1549" i="16"/>
  <c r="H1550" i="16"/>
  <c r="H1552" i="16"/>
  <c r="H1553" i="16"/>
  <c r="H1554" i="16"/>
  <c r="H1555" i="16"/>
  <c r="H1556" i="16"/>
  <c r="H1557" i="16"/>
  <c r="H1558" i="16"/>
  <c r="H1559" i="16"/>
  <c r="H1560" i="16"/>
  <c r="H1561" i="16"/>
  <c r="H1562" i="16"/>
  <c r="H1563" i="16"/>
  <c r="H1564" i="16"/>
  <c r="H1565" i="16"/>
  <c r="H1566" i="16"/>
  <c r="H1567" i="16"/>
  <c r="H1568" i="16"/>
  <c r="H1569" i="16"/>
  <c r="H1570" i="16"/>
  <c r="H1571" i="16"/>
  <c r="H1572" i="16"/>
  <c r="H1573" i="16"/>
  <c r="H1574" i="16"/>
  <c r="H1575" i="16"/>
  <c r="H1576" i="16"/>
  <c r="H1577" i="16"/>
  <c r="H1578" i="16"/>
  <c r="H1579" i="16"/>
  <c r="H1580" i="16"/>
  <c r="H1581" i="16"/>
  <c r="H1582" i="16"/>
  <c r="H1583" i="16"/>
  <c r="H1584" i="16"/>
  <c r="H1586" i="16"/>
  <c r="H1587" i="16"/>
  <c r="H1588" i="16"/>
  <c r="H1589" i="16"/>
  <c r="H1590" i="16"/>
  <c r="H1591" i="16"/>
  <c r="H1592" i="16"/>
  <c r="H1593" i="16"/>
  <c r="H1594" i="16"/>
  <c r="H1596" i="16"/>
  <c r="H1597" i="16"/>
  <c r="H1598" i="16"/>
  <c r="H1599" i="16"/>
  <c r="H1602" i="16"/>
  <c r="H1603" i="16"/>
  <c r="H1604" i="16"/>
  <c r="H1605" i="16"/>
  <c r="H1606" i="16"/>
  <c r="H1607" i="16"/>
  <c r="H1608" i="16"/>
  <c r="H1609" i="16"/>
  <c r="H1610" i="16"/>
  <c r="H1611" i="16"/>
  <c r="H1612" i="16"/>
  <c r="H1613" i="16"/>
  <c r="H1614" i="16"/>
  <c r="H1615" i="16"/>
  <c r="H1616" i="16"/>
  <c r="H1617" i="16"/>
  <c r="H1619" i="16"/>
  <c r="H1620" i="16"/>
  <c r="H1621" i="16"/>
  <c r="H1622" i="16"/>
  <c r="H1623" i="16"/>
  <c r="H1624" i="16"/>
  <c r="H1625" i="16"/>
  <c r="H1626" i="16"/>
  <c r="H1627" i="16"/>
  <c r="H1628" i="16"/>
  <c r="H1629" i="16"/>
  <c r="H1630" i="16"/>
  <c r="H1631" i="16"/>
  <c r="H1632" i="16"/>
  <c r="H1633" i="16"/>
  <c r="H1634" i="16"/>
  <c r="H1635" i="16"/>
  <c r="H1637" i="16"/>
  <c r="H1638" i="16"/>
  <c r="H1639" i="16"/>
  <c r="H1640" i="16"/>
  <c r="H1641" i="16"/>
  <c r="H1642" i="16"/>
  <c r="H1643" i="16"/>
  <c r="H1644" i="16"/>
  <c r="H1645" i="16"/>
  <c r="H1646" i="16"/>
  <c r="H1647" i="16"/>
  <c r="H1648" i="16"/>
  <c r="H1649" i="16"/>
  <c r="H1650" i="16"/>
  <c r="H1651" i="16"/>
  <c r="H1652" i="16"/>
  <c r="H1653" i="16"/>
  <c r="H1654" i="16"/>
  <c r="H1655" i="16"/>
  <c r="H1656" i="16"/>
  <c r="H1657" i="16"/>
  <c r="H1658" i="16"/>
  <c r="H1659" i="16"/>
  <c r="H1660" i="16"/>
  <c r="H1661" i="16"/>
  <c r="H1662" i="16"/>
  <c r="H1663" i="16"/>
  <c r="H1664" i="16"/>
  <c r="H1665" i="16"/>
  <c r="H1666" i="16"/>
  <c r="H1667" i="16"/>
  <c r="H1668" i="16"/>
  <c r="H1669" i="16"/>
  <c r="H1670" i="16"/>
  <c r="H1671" i="16"/>
  <c r="H1672" i="16"/>
  <c r="H1673" i="16"/>
  <c r="H1674" i="16"/>
  <c r="H1675" i="16"/>
  <c r="H1676" i="16"/>
  <c r="H1677" i="16"/>
  <c r="H1678" i="16"/>
  <c r="H1680" i="16"/>
  <c r="H1681" i="16"/>
  <c r="H1683" i="16"/>
  <c r="H1684" i="16"/>
  <c r="H1685" i="16"/>
  <c r="H1686" i="16"/>
  <c r="H1687" i="16"/>
  <c r="H1688" i="16"/>
  <c r="H1689" i="16"/>
  <c r="H1690" i="16"/>
  <c r="H1691" i="16"/>
  <c r="H1692" i="16"/>
  <c r="H1693" i="16"/>
  <c r="H1694" i="16"/>
  <c r="H1695" i="16"/>
  <c r="H1696" i="16"/>
  <c r="H1697" i="16"/>
  <c r="H1698" i="16"/>
  <c r="H1699" i="16"/>
  <c r="H1700" i="16"/>
  <c r="H1701" i="16"/>
  <c r="H1702" i="16"/>
  <c r="H1703" i="16"/>
  <c r="H1704" i="16"/>
  <c r="H1705" i="16"/>
  <c r="H1706" i="16"/>
  <c r="H1707" i="16"/>
  <c r="H1708" i="16"/>
  <c r="H1709" i="16"/>
  <c r="H1710" i="16"/>
  <c r="H1711" i="16"/>
  <c r="H1712" i="16"/>
  <c r="H1713" i="16"/>
  <c r="H1715" i="16"/>
  <c r="H1716" i="16"/>
  <c r="H1718" i="16"/>
  <c r="H1719" i="16"/>
  <c r="H1720" i="16"/>
  <c r="H1721" i="16"/>
  <c r="H1722" i="16"/>
  <c r="H1723" i="16"/>
  <c r="H1724" i="16"/>
  <c r="H1725" i="16"/>
  <c r="H1726" i="16"/>
  <c r="H1727" i="16"/>
  <c r="H1728" i="16"/>
  <c r="H1729" i="16"/>
  <c r="H1730" i="16"/>
  <c r="H1731" i="16"/>
  <c r="H1732" i="16"/>
  <c r="H1733" i="16"/>
  <c r="H1734" i="16"/>
  <c r="H1735" i="16"/>
  <c r="H1736" i="16"/>
  <c r="H1737" i="16"/>
  <c r="H1738" i="16"/>
  <c r="H1739" i="16"/>
  <c r="H174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3" i="16"/>
  <c r="H694" i="16"/>
  <c r="H695" i="16"/>
  <c r="H696" i="16"/>
  <c r="H698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3" i="16"/>
  <c r="H874" i="16"/>
  <c r="H876" i="16"/>
  <c r="H877" i="16"/>
  <c r="H878" i="16"/>
  <c r="H879" i="16"/>
  <c r="H880" i="16"/>
  <c r="H881" i="16"/>
  <c r="H882" i="16"/>
  <c r="H883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2" i="16"/>
  <c r="H923" i="16"/>
  <c r="H924" i="16"/>
  <c r="H925" i="16"/>
  <c r="H926" i="16"/>
  <c r="H927" i="16"/>
  <c r="H928" i="16"/>
  <c r="H929" i="16"/>
  <c r="H930" i="16"/>
  <c r="H932" i="16"/>
  <c r="H933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3" i="16"/>
  <c r="H1044" i="16"/>
  <c r="H1045" i="16"/>
  <c r="H1046" i="16"/>
  <c r="H1047" i="16"/>
  <c r="H1048" i="16"/>
  <c r="H1049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5" i="16"/>
  <c r="H1086" i="16"/>
  <c r="H1087" i="16"/>
  <c r="H1088" i="16"/>
  <c r="H1089" i="16"/>
  <c r="H1090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1" i="16"/>
  <c r="H1172" i="16"/>
  <c r="H1173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3" i="16"/>
  <c r="H1214" i="16"/>
  <c r="H1216" i="16"/>
  <c r="H1217" i="16"/>
  <c r="H1219" i="16"/>
  <c r="H1220" i="16"/>
  <c r="H1221" i="16"/>
  <c r="H1222" i="16"/>
  <c r="H1223" i="16"/>
  <c r="H513" i="16"/>
  <c r="H514" i="16"/>
  <c r="H197" i="16"/>
  <c r="H151" i="16"/>
  <c r="H152" i="16"/>
  <c r="H153" i="16"/>
  <c r="H154" i="16"/>
  <c r="H155" i="16"/>
  <c r="H156" i="16"/>
  <c r="H159" i="16"/>
  <c r="H160" i="16"/>
  <c r="H161" i="16"/>
  <c r="H162" i="16"/>
  <c r="H163" i="16"/>
  <c r="H164" i="16"/>
  <c r="H165" i="16"/>
  <c r="H166" i="16"/>
  <c r="H168" i="16"/>
  <c r="H169" i="16"/>
  <c r="H170" i="16"/>
  <c r="H171" i="16"/>
  <c r="H174" i="16"/>
  <c r="H175" i="16"/>
  <c r="H176" i="16"/>
  <c r="H177" i="16"/>
  <c r="H178" i="16"/>
  <c r="H179" i="16"/>
  <c r="H182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8" i="16"/>
  <c r="H201" i="16"/>
  <c r="H202" i="16"/>
  <c r="H203" i="16"/>
  <c r="H204" i="16"/>
  <c r="H206" i="16"/>
  <c r="H207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9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6" i="16"/>
  <c r="H257" i="16"/>
  <c r="H258" i="16"/>
  <c r="H259" i="16"/>
  <c r="H260" i="16"/>
  <c r="H261" i="16"/>
  <c r="H262" i="16"/>
  <c r="H263" i="16"/>
  <c r="H264" i="16"/>
  <c r="H265" i="16"/>
  <c r="H266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5" i="16"/>
  <c r="H516" i="16"/>
  <c r="H517" i="16"/>
  <c r="H518" i="16"/>
  <c r="H519" i="16"/>
  <c r="H520" i="16"/>
  <c r="H521" i="16"/>
  <c r="H522" i="16"/>
  <c r="H523" i="16"/>
  <c r="H524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30" i="16"/>
  <c r="H5" i="16"/>
  <c r="H6" i="16"/>
  <c r="H7" i="16"/>
  <c r="H8" i="16"/>
  <c r="H9" i="16"/>
  <c r="H10" i="16"/>
  <c r="H11" i="16"/>
  <c r="H12" i="16"/>
  <c r="H13" i="16"/>
  <c r="H14" i="16"/>
  <c r="H16" i="16"/>
  <c r="H17" i="16"/>
  <c r="H18" i="16"/>
  <c r="H19" i="16"/>
  <c r="H22" i="16"/>
  <c r="H23" i="16"/>
  <c r="H24" i="16"/>
  <c r="H25" i="16"/>
  <c r="H26" i="16"/>
  <c r="H27" i="16"/>
  <c r="H28" i="16"/>
  <c r="H29" i="16"/>
  <c r="H31" i="16"/>
  <c r="H32" i="16"/>
  <c r="H33" i="16"/>
  <c r="H34" i="16"/>
  <c r="H35" i="16"/>
  <c r="H36" i="16"/>
  <c r="H37" i="16"/>
  <c r="H38" i="16"/>
  <c r="H39" i="16"/>
  <c r="H40" i="16"/>
  <c r="H42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1" i="16"/>
  <c r="H62" i="16"/>
  <c r="H63" i="16"/>
  <c r="H64" i="16"/>
  <c r="H65" i="16"/>
  <c r="H66" i="16"/>
  <c r="H67" i="16"/>
  <c r="H68" i="16"/>
  <c r="H69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4" i="16"/>
  <c r="H85" i="16"/>
  <c r="H86" i="16"/>
  <c r="H87" i="16"/>
  <c r="H89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9" i="16"/>
  <c r="H4" i="16"/>
  <c r="G2603" i="15"/>
  <c r="G2604" i="15"/>
  <c r="G2605" i="15"/>
  <c r="G2606" i="15"/>
  <c r="G2607" i="15"/>
  <c r="G2608" i="15"/>
  <c r="G556" i="15"/>
  <c r="G557" i="15"/>
  <c r="G558" i="15"/>
  <c r="G295" i="15"/>
  <c r="G296" i="15"/>
  <c r="G110" i="15"/>
  <c r="G5" i="15"/>
  <c r="G9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2" i="15"/>
  <c r="G103" i="15"/>
  <c r="G105" i="15"/>
  <c r="G106" i="15"/>
  <c r="G107" i="15"/>
  <c r="G108" i="15"/>
  <c r="G109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3" i="15"/>
  <c r="G144" i="15"/>
  <c r="G145" i="15"/>
  <c r="G146" i="15"/>
  <c r="G149" i="15"/>
  <c r="G151" i="15"/>
  <c r="G152" i="15"/>
  <c r="G153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7" i="15"/>
  <c r="G238" i="15"/>
  <c r="G239" i="15"/>
  <c r="G240" i="15"/>
  <c r="G241" i="15"/>
  <c r="G242" i="15"/>
  <c r="G243" i="15"/>
  <c r="G244" i="15"/>
  <c r="G245" i="15"/>
  <c r="G246" i="15"/>
  <c r="G247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9" i="15"/>
  <c r="G270" i="15"/>
  <c r="G271" i="15"/>
  <c r="G272" i="15"/>
  <c r="G273" i="15"/>
  <c r="G274" i="15"/>
  <c r="G275" i="15"/>
  <c r="G276" i="15"/>
  <c r="G278" i="15"/>
  <c r="G279" i="15"/>
  <c r="G280" i="15"/>
  <c r="G284" i="15"/>
  <c r="G287" i="15"/>
  <c r="G288" i="15"/>
  <c r="G289" i="15"/>
  <c r="G293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7" i="15"/>
  <c r="G319" i="15"/>
  <c r="G320" i="15"/>
  <c r="G322" i="15"/>
  <c r="G323" i="15"/>
  <c r="G324" i="15"/>
  <c r="G325" i="15"/>
  <c r="G326" i="15"/>
  <c r="G327" i="15"/>
  <c r="G328" i="15"/>
  <c r="G329" i="15"/>
  <c r="G330" i="15"/>
  <c r="G333" i="15"/>
  <c r="G335" i="15"/>
  <c r="G337" i="15"/>
  <c r="G338" i="15"/>
  <c r="G339" i="15"/>
  <c r="G340" i="15"/>
  <c r="G341" i="15"/>
  <c r="G342" i="15"/>
  <c r="G343" i="15"/>
  <c r="G344" i="15"/>
  <c r="G347" i="15"/>
  <c r="G348" i="15"/>
  <c r="G349" i="15"/>
  <c r="G350" i="15"/>
  <c r="G352" i="15"/>
  <c r="G353" i="15"/>
  <c r="G354" i="15"/>
  <c r="G355" i="15"/>
  <c r="G357" i="15"/>
  <c r="G358" i="15"/>
  <c r="G359" i="15"/>
  <c r="G362" i="15"/>
  <c r="G363" i="15"/>
  <c r="G364" i="15"/>
  <c r="G365" i="15"/>
  <c r="G366" i="15"/>
  <c r="G367" i="15"/>
  <c r="G368" i="15"/>
  <c r="G369" i="15"/>
  <c r="G370" i="15"/>
  <c r="G371" i="15"/>
  <c r="G372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3" i="15"/>
  <c r="G396" i="15"/>
  <c r="G397" i="15"/>
  <c r="G398" i="15"/>
  <c r="G400" i="15"/>
  <c r="G401" i="15"/>
  <c r="G404" i="15"/>
  <c r="G407" i="15"/>
  <c r="G408" i="15"/>
  <c r="G410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1" i="15"/>
  <c r="G432" i="15"/>
  <c r="G434" i="15"/>
  <c r="G435" i="15"/>
  <c r="G436" i="15"/>
  <c r="G437" i="15"/>
  <c r="G438" i="15"/>
  <c r="G439" i="15"/>
  <c r="G440" i="15"/>
  <c r="G441" i="15"/>
  <c r="G442" i="15"/>
  <c r="G443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80" i="15"/>
  <c r="G481" i="15"/>
  <c r="G482" i="15"/>
  <c r="G483" i="15"/>
  <c r="G484" i="15"/>
  <c r="G485" i="15"/>
  <c r="G486" i="15"/>
  <c r="G487" i="15"/>
  <c r="G488" i="15"/>
  <c r="G490" i="15"/>
  <c r="G491" i="15"/>
  <c r="G492" i="15"/>
  <c r="G494" i="15"/>
  <c r="G495" i="15"/>
  <c r="G496" i="15"/>
  <c r="G497" i="15"/>
  <c r="G498" i="15"/>
  <c r="G500" i="15"/>
  <c r="G501" i="15"/>
  <c r="G502" i="15"/>
  <c r="G503" i="15"/>
  <c r="G504" i="15"/>
  <c r="G506" i="15"/>
  <c r="G507" i="15"/>
  <c r="G508" i="15"/>
  <c r="G509" i="15"/>
  <c r="G510" i="15"/>
  <c r="G511" i="15"/>
  <c r="G512" i="15"/>
  <c r="G513" i="15"/>
  <c r="G514" i="15"/>
  <c r="G515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3" i="15"/>
  <c r="G544" i="15"/>
  <c r="G545" i="15"/>
  <c r="G546" i="15"/>
  <c r="G547" i="15"/>
  <c r="G548" i="15"/>
  <c r="G549" i="15"/>
  <c r="G550" i="15"/>
  <c r="G551" i="15"/>
  <c r="G552" i="15"/>
  <c r="G554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9" i="15"/>
  <c r="G590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8" i="15"/>
  <c r="G639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90" i="15"/>
  <c r="G691" i="15"/>
  <c r="G692" i="15"/>
  <c r="G693" i="15"/>
  <c r="G694" i="15"/>
  <c r="G695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7" i="15"/>
  <c r="G828" i="15"/>
  <c r="G829" i="15"/>
  <c r="G830" i="15"/>
  <c r="G831" i="15"/>
  <c r="G832" i="15"/>
  <c r="G833" i="15"/>
  <c r="G834" i="15"/>
  <c r="G835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4" i="15"/>
  <c r="G1175" i="15"/>
  <c r="G1176" i="15"/>
  <c r="G1177" i="15"/>
  <c r="G1180" i="15"/>
  <c r="G1181" i="15"/>
  <c r="G1182" i="15"/>
  <c r="G1183" i="15"/>
  <c r="G1184" i="15"/>
  <c r="G1185" i="15"/>
  <c r="G1186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8" i="15"/>
  <c r="G1279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1324" i="15"/>
  <c r="G1325" i="15"/>
  <c r="G1327" i="15"/>
  <c r="G1328" i="15"/>
  <c r="G1329" i="15"/>
  <c r="G1330" i="15"/>
  <c r="G1331" i="15"/>
  <c r="G1332" i="15"/>
  <c r="G1333" i="15"/>
  <c r="G1334" i="15"/>
  <c r="G1335" i="15"/>
  <c r="G1336" i="15"/>
  <c r="G1337" i="15"/>
  <c r="G1338" i="15"/>
  <c r="G1339" i="15"/>
  <c r="G1340" i="15"/>
  <c r="G1341" i="15"/>
  <c r="G1342" i="15"/>
  <c r="G1343" i="15"/>
  <c r="G1344" i="15"/>
  <c r="G1345" i="15"/>
  <c r="G1346" i="15"/>
  <c r="G1347" i="15"/>
  <c r="G1348" i="15"/>
  <c r="G1349" i="15"/>
  <c r="G1350" i="15"/>
  <c r="G1351" i="15"/>
  <c r="G1352" i="15"/>
  <c r="G1353" i="15"/>
  <c r="G1354" i="15"/>
  <c r="G1355" i="15"/>
  <c r="G1356" i="15"/>
  <c r="G1357" i="15"/>
  <c r="G1358" i="15"/>
  <c r="G1359" i="15"/>
  <c r="G1360" i="15"/>
  <c r="G1361" i="15"/>
  <c r="G1362" i="15"/>
  <c r="G1363" i="15"/>
  <c r="G1364" i="15"/>
  <c r="G1365" i="15"/>
  <c r="G1366" i="15"/>
  <c r="G1367" i="15"/>
  <c r="G1368" i="15"/>
  <c r="G1369" i="15"/>
  <c r="G1370" i="15"/>
  <c r="G1371" i="15"/>
  <c r="G1372" i="15"/>
  <c r="G1373" i="15"/>
  <c r="G1374" i="15"/>
  <c r="G1376" i="15"/>
  <c r="G1377" i="15"/>
  <c r="G1378" i="15"/>
  <c r="G1379" i="15"/>
  <c r="G1380" i="15"/>
  <c r="G1381" i="15"/>
  <c r="G1382" i="15"/>
  <c r="G1383" i="15"/>
  <c r="G1384" i="15"/>
  <c r="G1385" i="15"/>
  <c r="G1386" i="15"/>
  <c r="G1387" i="15"/>
  <c r="G1388" i="15"/>
  <c r="G1389" i="15"/>
  <c r="G1390" i="15"/>
  <c r="G1391" i="15"/>
  <c r="G1392" i="15"/>
  <c r="G1393" i="15"/>
  <c r="G1394" i="15"/>
  <c r="G1395" i="15"/>
  <c r="G1396" i="15"/>
  <c r="G1397" i="15"/>
  <c r="G1398" i="15"/>
  <c r="G1399" i="15"/>
  <c r="G1400" i="15"/>
  <c r="G1401" i="15"/>
  <c r="G1402" i="15"/>
  <c r="G1403" i="15"/>
  <c r="G1404" i="15"/>
  <c r="G1405" i="15"/>
  <c r="G1406" i="15"/>
  <c r="G1408" i="15"/>
  <c r="G1409" i="15"/>
  <c r="G1410" i="15"/>
  <c r="G1411" i="15"/>
  <c r="G1412" i="15"/>
  <c r="G1413" i="15"/>
  <c r="G1414" i="15"/>
  <c r="G1415" i="15"/>
  <c r="G1416" i="15"/>
  <c r="G1417" i="15"/>
  <c r="G1418" i="15"/>
  <c r="G1419" i="15"/>
  <c r="G1420" i="15"/>
  <c r="G1421" i="15"/>
  <c r="G1422" i="15"/>
  <c r="G1423" i="15"/>
  <c r="G1425" i="15"/>
  <c r="G1426" i="15"/>
  <c r="G1427" i="15"/>
  <c r="G1428" i="15"/>
  <c r="G1429" i="15"/>
  <c r="G1430" i="15"/>
  <c r="G1431" i="15"/>
  <c r="G1432" i="15"/>
  <c r="G1433" i="15"/>
  <c r="G1434" i="15"/>
  <c r="G1435" i="15"/>
  <c r="G1436" i="15"/>
  <c r="G1437" i="15"/>
  <c r="G1438" i="15"/>
  <c r="G1439" i="15"/>
  <c r="G1440" i="15"/>
  <c r="G1441" i="15"/>
  <c r="G1442" i="15"/>
  <c r="G1443" i="15"/>
  <c r="G1444" i="15"/>
  <c r="G1445" i="15"/>
  <c r="G1446" i="15"/>
  <c r="G1447" i="15"/>
  <c r="G1448" i="15"/>
  <c r="G1449" i="15"/>
  <c r="G1450" i="15"/>
  <c r="G1451" i="15"/>
  <c r="G1452" i="15"/>
  <c r="G1453" i="15"/>
  <c r="G1454" i="15"/>
  <c r="G1455" i="15"/>
  <c r="G1456" i="15"/>
  <c r="G1457" i="15"/>
  <c r="G1458" i="15"/>
  <c r="G1459" i="15"/>
  <c r="G1460" i="15"/>
  <c r="G1461" i="15"/>
  <c r="G1462" i="15"/>
  <c r="G1463" i="15"/>
  <c r="G1464" i="15"/>
  <c r="G1465" i="15"/>
  <c r="G1466" i="15"/>
  <c r="G1467" i="15"/>
  <c r="G1468" i="15"/>
  <c r="G1469" i="15"/>
  <c r="G1470" i="15"/>
  <c r="G1471" i="15"/>
  <c r="G1472" i="15"/>
  <c r="G1474" i="15"/>
  <c r="G1475" i="15"/>
  <c r="G1476" i="15"/>
  <c r="G1477" i="15"/>
  <c r="G1478" i="15"/>
  <c r="G1479" i="15"/>
  <c r="G1480" i="15"/>
  <c r="G1481" i="15"/>
  <c r="G1482" i="15"/>
  <c r="G1483" i="15"/>
  <c r="G1484" i="15"/>
  <c r="G1485" i="15"/>
  <c r="G1486" i="15"/>
  <c r="G1487" i="15"/>
  <c r="G1488" i="15"/>
  <c r="G1489" i="15"/>
  <c r="G1490" i="15"/>
  <c r="G1491" i="15"/>
  <c r="G1492" i="15"/>
  <c r="G1493" i="15"/>
  <c r="G1494" i="15"/>
  <c r="G1495" i="15"/>
  <c r="G1496" i="15"/>
  <c r="G1497" i="15"/>
  <c r="G1498" i="15"/>
  <c r="G1499" i="15"/>
  <c r="G1500" i="15"/>
  <c r="G1501" i="15"/>
  <c r="G1502" i="15"/>
  <c r="G1503" i="15"/>
  <c r="G1504" i="15"/>
  <c r="G1505" i="15"/>
  <c r="G1506" i="15"/>
  <c r="G1507" i="15"/>
  <c r="G1508" i="15"/>
  <c r="G1509" i="15"/>
  <c r="G1510" i="15"/>
  <c r="G1511" i="15"/>
  <c r="G1512" i="15"/>
  <c r="G1513" i="15"/>
  <c r="G1514" i="15"/>
  <c r="G1515" i="15"/>
  <c r="G1516" i="15"/>
  <c r="G1517" i="15"/>
  <c r="G1518" i="15"/>
  <c r="G1519" i="15"/>
  <c r="G1520" i="15"/>
  <c r="G1521" i="15"/>
  <c r="G1523" i="15"/>
  <c r="G1524" i="15"/>
  <c r="G1526" i="15"/>
  <c r="G1527" i="15"/>
  <c r="G1528" i="15"/>
  <c r="G1530" i="15"/>
  <c r="G1531" i="15"/>
  <c r="G1532" i="15"/>
  <c r="G1533" i="15"/>
  <c r="G1534" i="15"/>
  <c r="G1535" i="15"/>
  <c r="G1536" i="15"/>
  <c r="G1537" i="15"/>
  <c r="G1538" i="15"/>
  <c r="G1539" i="15"/>
  <c r="G1540" i="15"/>
  <c r="G1541" i="15"/>
  <c r="G1542" i="15"/>
  <c r="G1543" i="15"/>
  <c r="G1544" i="15"/>
  <c r="G1545" i="15"/>
  <c r="G1546" i="15"/>
  <c r="G1547" i="15"/>
  <c r="G1548" i="15"/>
  <c r="G1549" i="15"/>
  <c r="G1550" i="15"/>
  <c r="G1551" i="15"/>
  <c r="G1552" i="15"/>
  <c r="G1553" i="15"/>
  <c r="G1554" i="15"/>
  <c r="G1555" i="15"/>
  <c r="G1556" i="15"/>
  <c r="G1557" i="15"/>
  <c r="G1558" i="15"/>
  <c r="G1559" i="15"/>
  <c r="G1560" i="15"/>
  <c r="G1561" i="15"/>
  <c r="G1562" i="15"/>
  <c r="G1563" i="15"/>
  <c r="G1564" i="15"/>
  <c r="G1565" i="15"/>
  <c r="G1566" i="15"/>
  <c r="G1567" i="15"/>
  <c r="G1568" i="15"/>
  <c r="G1569" i="15"/>
  <c r="G1570" i="15"/>
  <c r="G1572" i="15"/>
  <c r="G1573" i="15"/>
  <c r="G1574" i="15"/>
  <c r="G1575" i="15"/>
  <c r="G1576" i="15"/>
  <c r="G1577" i="15"/>
  <c r="G1578" i="15"/>
  <c r="G1579" i="15"/>
  <c r="G1580" i="15"/>
  <c r="G1581" i="15"/>
  <c r="G1582" i="15"/>
  <c r="G1583" i="15"/>
  <c r="G1584" i="15"/>
  <c r="G1585" i="15"/>
  <c r="G1586" i="15"/>
  <c r="G1587" i="15"/>
  <c r="G1588" i="15"/>
  <c r="G1589" i="15"/>
  <c r="G1590" i="15"/>
  <c r="G1591" i="15"/>
  <c r="G1592" i="15"/>
  <c r="G1593" i="15"/>
  <c r="G1594" i="15"/>
  <c r="G1595" i="15"/>
  <c r="G1596" i="15"/>
  <c r="G1597" i="15"/>
  <c r="G1598" i="15"/>
  <c r="G1599" i="15"/>
  <c r="G1600" i="15"/>
  <c r="G1601" i="15"/>
  <c r="G1602" i="15"/>
  <c r="G1603" i="15"/>
  <c r="G1604" i="15"/>
  <c r="G1605" i="15"/>
  <c r="G1606" i="15"/>
  <c r="G1607" i="15"/>
  <c r="G1608" i="15"/>
  <c r="G1609" i="15"/>
  <c r="G1610" i="15"/>
  <c r="G1611" i="15"/>
  <c r="G1612" i="15"/>
  <c r="G1613" i="15"/>
  <c r="G1614" i="15"/>
  <c r="G1615" i="15"/>
  <c r="G1616" i="15"/>
  <c r="G1617" i="15"/>
  <c r="G1618" i="15"/>
  <c r="G1619" i="15"/>
  <c r="G1621" i="15"/>
  <c r="G1622" i="15"/>
  <c r="G1623" i="15"/>
  <c r="G1624" i="15"/>
  <c r="G1625" i="15"/>
  <c r="G1626" i="15"/>
  <c r="G1627" i="15"/>
  <c r="G1628" i="15"/>
  <c r="G1629" i="15"/>
  <c r="G1630" i="15"/>
  <c r="G1631" i="15"/>
  <c r="G1632" i="15"/>
  <c r="G1633" i="15"/>
  <c r="G1634" i="15"/>
  <c r="G1635" i="15"/>
  <c r="G1636" i="15"/>
  <c r="G1637" i="15"/>
  <c r="G1638" i="15"/>
  <c r="G1639" i="15"/>
  <c r="G1640" i="15"/>
  <c r="G1641" i="15"/>
  <c r="G1642" i="15"/>
  <c r="G1643" i="15"/>
  <c r="G1644" i="15"/>
  <c r="G1645" i="15"/>
  <c r="G1646" i="15"/>
  <c r="G1647" i="15"/>
  <c r="G1648" i="15"/>
  <c r="G1649" i="15"/>
  <c r="G1650" i="15"/>
  <c r="G1651" i="15"/>
  <c r="G1652" i="15"/>
  <c r="G1653" i="15"/>
  <c r="G1654" i="15"/>
  <c r="G1655" i="15"/>
  <c r="G1656" i="15"/>
  <c r="G1657" i="15"/>
  <c r="G1658" i="15"/>
  <c r="G1659" i="15"/>
  <c r="G1660" i="15"/>
  <c r="G1661" i="15"/>
  <c r="G1662" i="15"/>
  <c r="G1663" i="15"/>
  <c r="G1664" i="15"/>
  <c r="G1665" i="15"/>
  <c r="G1666" i="15"/>
  <c r="G1667" i="15"/>
  <c r="G1668" i="15"/>
  <c r="G1670" i="15"/>
  <c r="G1671" i="15"/>
  <c r="G1672" i="15"/>
  <c r="G1673" i="15"/>
  <c r="G1674" i="15"/>
  <c r="G1675" i="15"/>
  <c r="G1676" i="15"/>
  <c r="G1677" i="15"/>
  <c r="G1678" i="15"/>
  <c r="G1679" i="15"/>
  <c r="G1680" i="15"/>
  <c r="G1681" i="15"/>
  <c r="G1682" i="15"/>
  <c r="G1683" i="15"/>
  <c r="G1684" i="15"/>
  <c r="G1685" i="15"/>
  <c r="G1686" i="15"/>
  <c r="G1687" i="15"/>
  <c r="G1688" i="15"/>
  <c r="G1689" i="15"/>
  <c r="G1690" i="15"/>
  <c r="G1691" i="15"/>
  <c r="G1692" i="15"/>
  <c r="G1693" i="15"/>
  <c r="G1694" i="15"/>
  <c r="G1695" i="15"/>
  <c r="G1696" i="15"/>
  <c r="G1697" i="15"/>
  <c r="G1698" i="15"/>
  <c r="G1699" i="15"/>
  <c r="G1700" i="15"/>
  <c r="G1701" i="15"/>
  <c r="G1702" i="15"/>
  <c r="G1703" i="15"/>
  <c r="G1704" i="15"/>
  <c r="G1705" i="15"/>
  <c r="G1706" i="15"/>
  <c r="G1707" i="15"/>
  <c r="G1708" i="15"/>
  <c r="G1709" i="15"/>
  <c r="G1710" i="15"/>
  <c r="G1711" i="15"/>
  <c r="G1712" i="15"/>
  <c r="G1713" i="15"/>
  <c r="G1714" i="15"/>
  <c r="G1715" i="15"/>
  <c r="G1716" i="15"/>
  <c r="G1717" i="15"/>
  <c r="G1719" i="15"/>
  <c r="G1720" i="15"/>
  <c r="G1721" i="15"/>
  <c r="G1722" i="15"/>
  <c r="G1723" i="15"/>
  <c r="G1724" i="15"/>
  <c r="G1725" i="15"/>
  <c r="G1726" i="15"/>
  <c r="G1727" i="15"/>
  <c r="G1728" i="15"/>
  <c r="G1729" i="15"/>
  <c r="G1730" i="15"/>
  <c r="G1731" i="15"/>
  <c r="G1732" i="15"/>
  <c r="G1733" i="15"/>
  <c r="G1734" i="15"/>
  <c r="G1735" i="15"/>
  <c r="G1736" i="15"/>
  <c r="G1737" i="15"/>
  <c r="G1738" i="15"/>
  <c r="G1739" i="15"/>
  <c r="G1740" i="15"/>
  <c r="G1741" i="15"/>
  <c r="G1742" i="15"/>
  <c r="G1743" i="15"/>
  <c r="G1744" i="15"/>
  <c r="G1745" i="15"/>
  <c r="G1746" i="15"/>
  <c r="G1747" i="15"/>
  <c r="G1748" i="15"/>
  <c r="G1749" i="15"/>
  <c r="G1750" i="15"/>
  <c r="G1751" i="15"/>
  <c r="G1752" i="15"/>
  <c r="G1753" i="15"/>
  <c r="G1754" i="15"/>
  <c r="G1755" i="15"/>
  <c r="G1756" i="15"/>
  <c r="G1757" i="15"/>
  <c r="G1758" i="15"/>
  <c r="G1759" i="15"/>
  <c r="G1760" i="15"/>
  <c r="G1761" i="15"/>
  <c r="G1762" i="15"/>
  <c r="G1763" i="15"/>
  <c r="G1764" i="15"/>
  <c r="G1765" i="15"/>
  <c r="G1766" i="15"/>
  <c r="G1768" i="15"/>
  <c r="G1769" i="15"/>
  <c r="G1770" i="15"/>
  <c r="G1771" i="15"/>
  <c r="G1772" i="15"/>
  <c r="G1773" i="15"/>
  <c r="G1774" i="15"/>
  <c r="G1775" i="15"/>
  <c r="G1776" i="15"/>
  <c r="G1777" i="15"/>
  <c r="G1778" i="15"/>
  <c r="G1779" i="15"/>
  <c r="G1780" i="15"/>
  <c r="G1781" i="15"/>
  <c r="G1782" i="15"/>
  <c r="G1783" i="15"/>
  <c r="G1784" i="15"/>
  <c r="G1785" i="15"/>
  <c r="G1786" i="15"/>
  <c r="G1787" i="15"/>
  <c r="G1788" i="15"/>
  <c r="G1789" i="15"/>
  <c r="G1790" i="15"/>
  <c r="G1791" i="15"/>
  <c r="G1792" i="15"/>
  <c r="G1793" i="15"/>
  <c r="G1794" i="15"/>
  <c r="G1795" i="15"/>
  <c r="G1796" i="15"/>
  <c r="G1797" i="15"/>
  <c r="G1798" i="15"/>
  <c r="G1799" i="15"/>
  <c r="G1800" i="15"/>
  <c r="G1801" i="15"/>
  <c r="G1802" i="15"/>
  <c r="G1803" i="15"/>
  <c r="G1804" i="15"/>
  <c r="G1805" i="15"/>
  <c r="G1806" i="15"/>
  <c r="G1807" i="15"/>
  <c r="G1808" i="15"/>
  <c r="G1809" i="15"/>
  <c r="G1810" i="15"/>
  <c r="G1811" i="15"/>
  <c r="G1812" i="15"/>
  <c r="G1813" i="15"/>
  <c r="G1814" i="15"/>
  <c r="G1815" i="15"/>
  <c r="G1817" i="15"/>
  <c r="G1818" i="15"/>
  <c r="G1819" i="15"/>
  <c r="G1820" i="15"/>
  <c r="G1821" i="15"/>
  <c r="G1822" i="15"/>
  <c r="G1823" i="15"/>
  <c r="G1824" i="15"/>
  <c r="G1825" i="15"/>
  <c r="G1826" i="15"/>
  <c r="G1827" i="15"/>
  <c r="G1828" i="15"/>
  <c r="G1829" i="15"/>
  <c r="G1830" i="15"/>
  <c r="G1831" i="15"/>
  <c r="G1832" i="15"/>
  <c r="G1833" i="15"/>
  <c r="G1834" i="15"/>
  <c r="G1835" i="15"/>
  <c r="G1836" i="15"/>
  <c r="G1837" i="15"/>
  <c r="G1838" i="15"/>
  <c r="G1839" i="15"/>
  <c r="G1840" i="15"/>
  <c r="G1841" i="15"/>
  <c r="G1842" i="15"/>
  <c r="G1843" i="15"/>
  <c r="G1845" i="15"/>
  <c r="G1846" i="15"/>
  <c r="G1847" i="15"/>
  <c r="G1848" i="15"/>
  <c r="G1849" i="15"/>
  <c r="G1850" i="15"/>
  <c r="G1851" i="15"/>
  <c r="G1852" i="15"/>
  <c r="G1853" i="15"/>
  <c r="G1854" i="15"/>
  <c r="G1855" i="15"/>
  <c r="G1857" i="15"/>
  <c r="G1858" i="15"/>
  <c r="G1859" i="15"/>
  <c r="G1860" i="15"/>
  <c r="G1861" i="15"/>
  <c r="G1862" i="15"/>
  <c r="G1863" i="15"/>
  <c r="G1864" i="15"/>
  <c r="G1868" i="15"/>
  <c r="G1869" i="15"/>
  <c r="G1870" i="15"/>
  <c r="G1872" i="15"/>
  <c r="G1873" i="15"/>
  <c r="G1874" i="15"/>
  <c r="G1876" i="15"/>
  <c r="G1877" i="15"/>
  <c r="G1879" i="15"/>
  <c r="G1880" i="15"/>
  <c r="G1881" i="15"/>
  <c r="G1882" i="15"/>
  <c r="G1883" i="15"/>
  <c r="G1884" i="15"/>
  <c r="G1885" i="15"/>
  <c r="G1886" i="15"/>
  <c r="G1887" i="15"/>
  <c r="G1888" i="15"/>
  <c r="G1889" i="15"/>
  <c r="G1890" i="15"/>
  <c r="G1891" i="15"/>
  <c r="G1892" i="15"/>
  <c r="G1893" i="15"/>
  <c r="G1894" i="15"/>
  <c r="G1895" i="15"/>
  <c r="G1896" i="15"/>
  <c r="G1897" i="15"/>
  <c r="G1898" i="15"/>
  <c r="G1899" i="15"/>
  <c r="G1900" i="15"/>
  <c r="G1902" i="15"/>
  <c r="G1903" i="15"/>
  <c r="G1904" i="15"/>
  <c r="G1905" i="15"/>
  <c r="G1906" i="15"/>
  <c r="G1907" i="15"/>
  <c r="G1908" i="15"/>
  <c r="G1909" i="15"/>
  <c r="G1910" i="15"/>
  <c r="G1911" i="15"/>
  <c r="G1912" i="15"/>
  <c r="G1913" i="15"/>
  <c r="G1915" i="15"/>
  <c r="G1916" i="15"/>
  <c r="G1917" i="15"/>
  <c r="G1918" i="15"/>
  <c r="G1919" i="15"/>
  <c r="G1920" i="15"/>
  <c r="G1921" i="15"/>
  <c r="G1922" i="15"/>
  <c r="G1923" i="15"/>
  <c r="G1924" i="15"/>
  <c r="G1925" i="15"/>
  <c r="G1927" i="15"/>
  <c r="G1928" i="15"/>
  <c r="G1929" i="15"/>
  <c r="G1930" i="15"/>
  <c r="G1931" i="15"/>
  <c r="G1932" i="15"/>
  <c r="G1934" i="15"/>
  <c r="G1935" i="15"/>
  <c r="G1936" i="15"/>
  <c r="G1937" i="15"/>
  <c r="G1938" i="15"/>
  <c r="G1939" i="15"/>
  <c r="G1940" i="15"/>
  <c r="G1941" i="15"/>
  <c r="G1942" i="15"/>
  <c r="G1943" i="15"/>
  <c r="G1944" i="15"/>
  <c r="G1945" i="15"/>
  <c r="G1946" i="15"/>
  <c r="G1947" i="15"/>
  <c r="G1948" i="15"/>
  <c r="G1949" i="15"/>
  <c r="G1951" i="15"/>
  <c r="G1952" i="15"/>
  <c r="G1953" i="15"/>
  <c r="G1954" i="15"/>
  <c r="G1955" i="15"/>
  <c r="G1956" i="15"/>
  <c r="G1957" i="15"/>
  <c r="G1959" i="15"/>
  <c r="G1960" i="15"/>
  <c r="G1961" i="15"/>
  <c r="G1962" i="15"/>
  <c r="G1964" i="15"/>
  <c r="G1965" i="15"/>
  <c r="G1966" i="15"/>
  <c r="G1967" i="15"/>
  <c r="G1968" i="15"/>
  <c r="G1969" i="15"/>
  <c r="G1970" i="15"/>
  <c r="G1971" i="15"/>
  <c r="G1972" i="15"/>
  <c r="G1973" i="15"/>
  <c r="G1974" i="15"/>
  <c r="G1975" i="15"/>
  <c r="G1976" i="15"/>
  <c r="G1977" i="15"/>
  <c r="G1978" i="15"/>
  <c r="G1979" i="15"/>
  <c r="G1980" i="15"/>
  <c r="G1981" i="15"/>
  <c r="G1982" i="15"/>
  <c r="G1983" i="15"/>
  <c r="G1984" i="15"/>
  <c r="G1985" i="15"/>
  <c r="G1986" i="15"/>
  <c r="G1987" i="15"/>
  <c r="G1988" i="15"/>
  <c r="G1989" i="15"/>
  <c r="G1990" i="15"/>
  <c r="G1991" i="15"/>
  <c r="G1992" i="15"/>
  <c r="G1993" i="15"/>
  <c r="G1994" i="15"/>
  <c r="G1995" i="15"/>
  <c r="G1996" i="15"/>
  <c r="G1997" i="15"/>
  <c r="G1998" i="15"/>
  <c r="G1999" i="15"/>
  <c r="G2000" i="15"/>
  <c r="G2001" i="15"/>
  <c r="G2002" i="15"/>
  <c r="G2003" i="15"/>
  <c r="G2004" i="15"/>
  <c r="G2005" i="15"/>
  <c r="G2006" i="15"/>
  <c r="G2009" i="15"/>
  <c r="G2010" i="15"/>
  <c r="G2011" i="15"/>
  <c r="G2013" i="15"/>
  <c r="G2014" i="15"/>
  <c r="G2015" i="15"/>
  <c r="G2016" i="15"/>
  <c r="G2017" i="15"/>
  <c r="G2019" i="15"/>
  <c r="G2020" i="15"/>
  <c r="G2021" i="15"/>
  <c r="G2022" i="15"/>
  <c r="G2023" i="15"/>
  <c r="G2024" i="15"/>
  <c r="G2025" i="15"/>
  <c r="G2026" i="15"/>
  <c r="G2027" i="15"/>
  <c r="G2028" i="15"/>
  <c r="G2030" i="15"/>
  <c r="G2031" i="15"/>
  <c r="G2032" i="15"/>
  <c r="G2033" i="15"/>
  <c r="G2034" i="15"/>
  <c r="G2036" i="15"/>
  <c r="G2037" i="15"/>
  <c r="G2038" i="15"/>
  <c r="G2039" i="15"/>
  <c r="G2040" i="15"/>
  <c r="G2041" i="15"/>
  <c r="G2042" i="15"/>
  <c r="G2043" i="15"/>
  <c r="G2044" i="15"/>
  <c r="G2045" i="15"/>
  <c r="G2046" i="15"/>
  <c r="G2047" i="15"/>
  <c r="G2048" i="15"/>
  <c r="G2049" i="15"/>
  <c r="G2050" i="15"/>
  <c r="G2051" i="15"/>
  <c r="G2052" i="15"/>
  <c r="G2053" i="15"/>
  <c r="G2054" i="15"/>
  <c r="G2055" i="15"/>
  <c r="G2056" i="15"/>
  <c r="G2057" i="15"/>
  <c r="G2058" i="15"/>
  <c r="G2059" i="15"/>
  <c r="G2060" i="15"/>
  <c r="G2062" i="15"/>
  <c r="G2063" i="15"/>
  <c r="G2064" i="15"/>
  <c r="G2065" i="15"/>
  <c r="G2066" i="15"/>
  <c r="G2067" i="15"/>
  <c r="G2068" i="15"/>
  <c r="G2069" i="15"/>
  <c r="G2070" i="15"/>
  <c r="G2071" i="15"/>
  <c r="G2072" i="15"/>
  <c r="G2073" i="15"/>
  <c r="G2074" i="15"/>
  <c r="G2075" i="15"/>
  <c r="G2076" i="15"/>
  <c r="G2077" i="15"/>
  <c r="G2078" i="15"/>
  <c r="G2079" i="15"/>
  <c r="G2080" i="15"/>
  <c r="G2081" i="15"/>
  <c r="G2082" i="15"/>
  <c r="G2083" i="15"/>
  <c r="G2084" i="15"/>
  <c r="G2085" i="15"/>
  <c r="G2086" i="15"/>
  <c r="G2087" i="15"/>
  <c r="G2088" i="15"/>
  <c r="G2089" i="15"/>
  <c r="G2090" i="15"/>
  <c r="G2091" i="15"/>
  <c r="G2092" i="15"/>
  <c r="G2093" i="15"/>
  <c r="G2094" i="15"/>
  <c r="G2095" i="15"/>
  <c r="G2096" i="15"/>
  <c r="G2097" i="15"/>
  <c r="G2098" i="15"/>
  <c r="G2099" i="15"/>
  <c r="G2100" i="15"/>
  <c r="G2101" i="15"/>
  <c r="G2102" i="15"/>
  <c r="G2103" i="15"/>
  <c r="G2104" i="15"/>
  <c r="G2105" i="15"/>
  <c r="G2106" i="15"/>
  <c r="G2107" i="15"/>
  <c r="G2108" i="15"/>
  <c r="G2109" i="15"/>
  <c r="G2111" i="15"/>
  <c r="G2112" i="15"/>
  <c r="G2113" i="15"/>
  <c r="G2114" i="15"/>
  <c r="G2115" i="15"/>
  <c r="G2116" i="15"/>
  <c r="G2117" i="15"/>
  <c r="G2118" i="15"/>
  <c r="G2119" i="15"/>
  <c r="G2120" i="15"/>
  <c r="G2121" i="15"/>
  <c r="G2122" i="15"/>
  <c r="G2124" i="15"/>
  <c r="G2125" i="15"/>
  <c r="G2126" i="15"/>
  <c r="G2127" i="15"/>
  <c r="G2128" i="15"/>
  <c r="G2129" i="15"/>
  <c r="G2130" i="15"/>
  <c r="G2131" i="15"/>
  <c r="G2132" i="15"/>
  <c r="G2133" i="15"/>
  <c r="G2134" i="15"/>
  <c r="G2135" i="15"/>
  <c r="G2136" i="15"/>
  <c r="G2137" i="15"/>
  <c r="G2138" i="15"/>
  <c r="G2139" i="15"/>
  <c r="G2140" i="15"/>
  <c r="G2141" i="15"/>
  <c r="G2142" i="15"/>
  <c r="G2143" i="15"/>
  <c r="G2144" i="15"/>
  <c r="G2145" i="15"/>
  <c r="G2146" i="15"/>
  <c r="G2147" i="15"/>
  <c r="G2148" i="15"/>
  <c r="G2149" i="15"/>
  <c r="G2150" i="15"/>
  <c r="G2151" i="15"/>
  <c r="G2152" i="15"/>
  <c r="G2153" i="15"/>
  <c r="G2154" i="15"/>
  <c r="G2155" i="15"/>
  <c r="G2156" i="15"/>
  <c r="G2157" i="15"/>
  <c r="G2158" i="15"/>
  <c r="G2160" i="15"/>
  <c r="G2161" i="15"/>
  <c r="G2162" i="15"/>
  <c r="G2164" i="15"/>
  <c r="G2165" i="15"/>
  <c r="G2166" i="15"/>
  <c r="G2167" i="15"/>
  <c r="G2168" i="15"/>
  <c r="G2169" i="15"/>
  <c r="G2170" i="15"/>
  <c r="G2171" i="15"/>
  <c r="G2172" i="15"/>
  <c r="G2173" i="15"/>
  <c r="G2174" i="15"/>
  <c r="G2175" i="15"/>
  <c r="G2176" i="15"/>
  <c r="G2178" i="15"/>
  <c r="G2179" i="15"/>
  <c r="G2180" i="15"/>
  <c r="G2181" i="15"/>
  <c r="G2182" i="15"/>
  <c r="G2183" i="15"/>
  <c r="G2184" i="15"/>
  <c r="G2185" i="15"/>
  <c r="G2186" i="15"/>
  <c r="G2187" i="15"/>
  <c r="G2189" i="15"/>
  <c r="G2190" i="15"/>
  <c r="G2191" i="15"/>
  <c r="G2192" i="15"/>
  <c r="G2193" i="15"/>
  <c r="G2194" i="15"/>
  <c r="G2195" i="15"/>
  <c r="G2196" i="15"/>
  <c r="G2197" i="15"/>
  <c r="G2198" i="15"/>
  <c r="G2199" i="15"/>
  <c r="G2200" i="15"/>
  <c r="G2201" i="15"/>
  <c r="G2202" i="15"/>
  <c r="G2203" i="15"/>
  <c r="G2205" i="15"/>
  <c r="G2206" i="15"/>
  <c r="G2207" i="15"/>
  <c r="G2209" i="15"/>
  <c r="G2210" i="15"/>
  <c r="G2211" i="15"/>
  <c r="G2212" i="15"/>
  <c r="G2213" i="15"/>
  <c r="G2214" i="15"/>
  <c r="G2215" i="15"/>
  <c r="G2216" i="15"/>
  <c r="G2217" i="15"/>
  <c r="G2218" i="15"/>
  <c r="G2219" i="15"/>
  <c r="G2220" i="15"/>
  <c r="G2221" i="15"/>
  <c r="G2222" i="15"/>
  <c r="G2223" i="15"/>
  <c r="G2224" i="15"/>
  <c r="G2225" i="15"/>
  <c r="G2226" i="15"/>
  <c r="G2227" i="15"/>
  <c r="G2228" i="15"/>
  <c r="G2229" i="15"/>
  <c r="G2230" i="15"/>
  <c r="G2231" i="15"/>
  <c r="G2232" i="15"/>
  <c r="G2233" i="15"/>
  <c r="G2234" i="15"/>
  <c r="G2235" i="15"/>
  <c r="G2236" i="15"/>
  <c r="G2237" i="15"/>
  <c r="G2238" i="15"/>
  <c r="G2239" i="15"/>
  <c r="G2240" i="15"/>
  <c r="G2241" i="15"/>
  <c r="G2242" i="15"/>
  <c r="G2243" i="15"/>
  <c r="G2244" i="15"/>
  <c r="G2245" i="15"/>
  <c r="G2246" i="15"/>
  <c r="G2247" i="15"/>
  <c r="G2248" i="15"/>
  <c r="G2249" i="15"/>
  <c r="G2250" i="15"/>
  <c r="G2251" i="15"/>
  <c r="G2252" i="15"/>
  <c r="G2254" i="15"/>
  <c r="G2255" i="15"/>
  <c r="G2256" i="15"/>
  <c r="G2258" i="15"/>
  <c r="G2259" i="15"/>
  <c r="G2260" i="15"/>
  <c r="G2261" i="15"/>
  <c r="G2262" i="15"/>
  <c r="G2263" i="15"/>
  <c r="G2264" i="15"/>
  <c r="G2265" i="15"/>
  <c r="G2266" i="15"/>
  <c r="G2267" i="15"/>
  <c r="G2268" i="15"/>
  <c r="G2269" i="15"/>
  <c r="G2270" i="15"/>
  <c r="G2271" i="15"/>
  <c r="G2272" i="15"/>
  <c r="G2273" i="15"/>
  <c r="G2274" i="15"/>
  <c r="G2275" i="15"/>
  <c r="G2276" i="15"/>
  <c r="G2277" i="15"/>
  <c r="G2278" i="15"/>
  <c r="G2279" i="15"/>
  <c r="G2280" i="15"/>
  <c r="G2281" i="15"/>
  <c r="G2282" i="15"/>
  <c r="G2283" i="15"/>
  <c r="G2284" i="15"/>
  <c r="G2285" i="15"/>
  <c r="G2286" i="15"/>
  <c r="G2287" i="15"/>
  <c r="G2288" i="15"/>
  <c r="G2289" i="15"/>
  <c r="G2290" i="15"/>
  <c r="G2291" i="15"/>
  <c r="G2292" i="15"/>
  <c r="G2293" i="15"/>
  <c r="G2294" i="15"/>
  <c r="G2295" i="15"/>
  <c r="G2296" i="15"/>
  <c r="G2297" i="15"/>
  <c r="G2298" i="15"/>
  <c r="G2299" i="15"/>
  <c r="G2300" i="15"/>
  <c r="G2301" i="15"/>
  <c r="G2302" i="15"/>
  <c r="G2303" i="15"/>
  <c r="G2304" i="15"/>
  <c r="G2305" i="15"/>
  <c r="G2307" i="15"/>
  <c r="G2308" i="15"/>
  <c r="G2309" i="15"/>
  <c r="G2310" i="15"/>
  <c r="G2311" i="15"/>
  <c r="G2312" i="15"/>
  <c r="G2313" i="15"/>
  <c r="G2314" i="15"/>
  <c r="G2315" i="15"/>
  <c r="G2316" i="15"/>
  <c r="G2317" i="15"/>
  <c r="G2318" i="15"/>
  <c r="G2319" i="15"/>
  <c r="G2320" i="15"/>
  <c r="G2321" i="15"/>
  <c r="G2322" i="15"/>
  <c r="G2323" i="15"/>
  <c r="G2324" i="15"/>
  <c r="G2325" i="15"/>
  <c r="G2326" i="15"/>
  <c r="G2327" i="15"/>
  <c r="G2328" i="15"/>
  <c r="G2329" i="15"/>
  <c r="G2330" i="15"/>
  <c r="G2332" i="15"/>
  <c r="G2333" i="15"/>
  <c r="G2334" i="15"/>
  <c r="G2335" i="15"/>
  <c r="G2336" i="15"/>
  <c r="G2337" i="15"/>
  <c r="G2338" i="15"/>
  <c r="G2339" i="15"/>
  <c r="G2340" i="15"/>
  <c r="G2341" i="15"/>
  <c r="G2342" i="15"/>
  <c r="G2343" i="15"/>
  <c r="G2344" i="15"/>
  <c r="G2345" i="15"/>
  <c r="G2346" i="15"/>
  <c r="G2347" i="15"/>
  <c r="G2348" i="15"/>
  <c r="G2349" i="15"/>
  <c r="G2350" i="15"/>
  <c r="G2351" i="15"/>
  <c r="G2352" i="15"/>
  <c r="G2353" i="15"/>
  <c r="G2354" i="15"/>
  <c r="G2356" i="15"/>
  <c r="G2357" i="15"/>
  <c r="G2358" i="15"/>
  <c r="G2359" i="15"/>
  <c r="G2360" i="15"/>
  <c r="G2361" i="15"/>
  <c r="G2362" i="15"/>
  <c r="G2363" i="15"/>
  <c r="G2364" i="15"/>
  <c r="G2365" i="15"/>
  <c r="G2366" i="15"/>
  <c r="G2367" i="15"/>
  <c r="G2368" i="15"/>
  <c r="G2369" i="15"/>
  <c r="G2370" i="15"/>
  <c r="G2372" i="15"/>
  <c r="G2373" i="15"/>
  <c r="G2374" i="15"/>
  <c r="G2375" i="15"/>
  <c r="G2376" i="15"/>
  <c r="G2377" i="15"/>
  <c r="G2378" i="15"/>
  <c r="G2380" i="15"/>
  <c r="G2381" i="15"/>
  <c r="G2382" i="15"/>
  <c r="G2383" i="15"/>
  <c r="G2384" i="15"/>
  <c r="G2385" i="15"/>
  <c r="G2386" i="15"/>
  <c r="G2387" i="15"/>
  <c r="G2388" i="15"/>
  <c r="G2389" i="15"/>
  <c r="G2390" i="15"/>
  <c r="G2391" i="15"/>
  <c r="G2392" i="15"/>
  <c r="G2393" i="15"/>
  <c r="G2394" i="15"/>
  <c r="G2396" i="15"/>
  <c r="G2397" i="15"/>
  <c r="G2398" i="15"/>
  <c r="G2400" i="15"/>
  <c r="G2401" i="15"/>
  <c r="G2402" i="15"/>
  <c r="G2405" i="15"/>
  <c r="G2406" i="15"/>
  <c r="G2407" i="15"/>
  <c r="G2408" i="15"/>
  <c r="G2409" i="15"/>
  <c r="G2410" i="15"/>
  <c r="G2411" i="15"/>
  <c r="G2412" i="15"/>
  <c r="G2413" i="15"/>
  <c r="G2414" i="15"/>
  <c r="G2415" i="15"/>
  <c r="G2416" i="15"/>
  <c r="G2417" i="15"/>
  <c r="G2418" i="15"/>
  <c r="G2419" i="15"/>
  <c r="G2420" i="15"/>
  <c r="G2421" i="15"/>
  <c r="G2422" i="15"/>
  <c r="G2423" i="15"/>
  <c r="G2424" i="15"/>
  <c r="G2425" i="15"/>
  <c r="G2426" i="15"/>
  <c r="G2427" i="15"/>
  <c r="G2428" i="15"/>
  <c r="G2429" i="15"/>
  <c r="G2430" i="15"/>
  <c r="G2431" i="15"/>
  <c r="G2432" i="15"/>
  <c r="G2433" i="15"/>
  <c r="G2434" i="15"/>
  <c r="G2435" i="15"/>
  <c r="G2436" i="15"/>
  <c r="G2437" i="15"/>
  <c r="G2439" i="15"/>
  <c r="G2440" i="15"/>
  <c r="G2441" i="15"/>
  <c r="G2442" i="15"/>
  <c r="G2443" i="15"/>
  <c r="G2444" i="15"/>
  <c r="G2445" i="15"/>
  <c r="G2447" i="15"/>
  <c r="G2448" i="15"/>
  <c r="G2449" i="15"/>
  <c r="G2450" i="15"/>
  <c r="G2451" i="15"/>
  <c r="G2452" i="15"/>
  <c r="G2454" i="15"/>
  <c r="G2455" i="15"/>
  <c r="G2456" i="15"/>
  <c r="G2457" i="15"/>
  <c r="G2458" i="15"/>
  <c r="G2459" i="15"/>
  <c r="G2460" i="15"/>
  <c r="G2461" i="15"/>
  <c r="G2462" i="15"/>
  <c r="G2463" i="15"/>
  <c r="G2464" i="15"/>
  <c r="G2465" i="15"/>
  <c r="G2466" i="15"/>
  <c r="G2467" i="15"/>
  <c r="G2468" i="15"/>
  <c r="G2469" i="15"/>
  <c r="G2470" i="15"/>
  <c r="G2471" i="15"/>
  <c r="G2472" i="15"/>
  <c r="G2473" i="15"/>
  <c r="G2474" i="15"/>
  <c r="G2475" i="15"/>
  <c r="G2476" i="15"/>
  <c r="G2477" i="15"/>
  <c r="G2478" i="15"/>
  <c r="G2479" i="15"/>
  <c r="G2480" i="15"/>
  <c r="G2481" i="15"/>
  <c r="G2482" i="15"/>
  <c r="G2483" i="15"/>
  <c r="G2484" i="15"/>
  <c r="G2485" i="15"/>
  <c r="G2486" i="15"/>
  <c r="G2487" i="15"/>
  <c r="G2488" i="15"/>
  <c r="G2489" i="15"/>
  <c r="G2490" i="15"/>
  <c r="G2491" i="15"/>
  <c r="G2492" i="15"/>
  <c r="G2493" i="15"/>
  <c r="G2494" i="15"/>
  <c r="G2495" i="15"/>
  <c r="G2496" i="15"/>
  <c r="G2497" i="15"/>
  <c r="G2498" i="15"/>
  <c r="G2500" i="15"/>
  <c r="G2501" i="15"/>
  <c r="G2503" i="15"/>
  <c r="G2504" i="15"/>
  <c r="G2505" i="15"/>
  <c r="G2506" i="15"/>
  <c r="G2507" i="15"/>
  <c r="G2508" i="15"/>
  <c r="G2509" i="15"/>
  <c r="G2510" i="15"/>
  <c r="G2511" i="15"/>
  <c r="G2512" i="15"/>
  <c r="G2513" i="15"/>
  <c r="G2514" i="15"/>
  <c r="G2515" i="15"/>
  <c r="G2516" i="15"/>
  <c r="G2517" i="15"/>
  <c r="G2518" i="15"/>
  <c r="G2519" i="15"/>
  <c r="G2520" i="15"/>
  <c r="G2521" i="15"/>
  <c r="G2522" i="15"/>
  <c r="G2523" i="15"/>
  <c r="G2524" i="15"/>
  <c r="G2525" i="15"/>
  <c r="G2526" i="15"/>
  <c r="G2527" i="15"/>
  <c r="G2528" i="15"/>
  <c r="G2529" i="15"/>
  <c r="G2530" i="15"/>
  <c r="G2531" i="15"/>
  <c r="G2532" i="15"/>
  <c r="G2533" i="15"/>
  <c r="G2534" i="15"/>
  <c r="G2535" i="15"/>
  <c r="G2536" i="15"/>
  <c r="G2537" i="15"/>
  <c r="G2538" i="15"/>
  <c r="G2539" i="15"/>
  <c r="G2540" i="15"/>
  <c r="G2541" i="15"/>
  <c r="G2542" i="15"/>
  <c r="G2543" i="15"/>
  <c r="G2544" i="15"/>
  <c r="G2545" i="15"/>
  <c r="G2546" i="15"/>
  <c r="G2547" i="15"/>
  <c r="G2548" i="15"/>
  <c r="G2549" i="15"/>
  <c r="G2552" i="15"/>
  <c r="G2553" i="15"/>
  <c r="G2554" i="15"/>
  <c r="G2555" i="15"/>
  <c r="G2556" i="15"/>
  <c r="G2557" i="15"/>
  <c r="G2558" i="15"/>
  <c r="G2559" i="15"/>
  <c r="G2560" i="15"/>
  <c r="G2563" i="15"/>
  <c r="G2564" i="15"/>
  <c r="G2565" i="15"/>
  <c r="G2566" i="15"/>
  <c r="G2567" i="15"/>
  <c r="G2568" i="15"/>
  <c r="G2569" i="15"/>
  <c r="G2570" i="15"/>
  <c r="G2571" i="15"/>
  <c r="G2572" i="15"/>
  <c r="G2574" i="15"/>
  <c r="G2575" i="15"/>
  <c r="G2576" i="15"/>
  <c r="G2577" i="15"/>
  <c r="G2578" i="15"/>
  <c r="G2579" i="15"/>
  <c r="G2580" i="15"/>
  <c r="G2581" i="15"/>
  <c r="G2582" i="15"/>
  <c r="G2583" i="15"/>
  <c r="G2584" i="15"/>
  <c r="G2585" i="15"/>
  <c r="G2586" i="15"/>
  <c r="G2587" i="15"/>
  <c r="G2588" i="15"/>
  <c r="G2589" i="15"/>
  <c r="G2590" i="15"/>
  <c r="G2591" i="15"/>
  <c r="G2592" i="15"/>
  <c r="G2593" i="15"/>
  <c r="G2594" i="15"/>
  <c r="G2595" i="15"/>
  <c r="G2596" i="15"/>
  <c r="G2597" i="15"/>
  <c r="G2598" i="15"/>
  <c r="G2599" i="15"/>
  <c r="G2609" i="15"/>
  <c r="G2610" i="15"/>
  <c r="G2611" i="15"/>
  <c r="G2612" i="15"/>
  <c r="G2613" i="15"/>
  <c r="G2614" i="15"/>
  <c r="G2615" i="15"/>
  <c r="G2616" i="15"/>
  <c r="G2617" i="15"/>
  <c r="G2618" i="15"/>
  <c r="G2619" i="15"/>
  <c r="G2620" i="15"/>
  <c r="G2621" i="15"/>
  <c r="G2622" i="15"/>
  <c r="G2623" i="15"/>
  <c r="G2624" i="15"/>
  <c r="G2625" i="15"/>
  <c r="G2627" i="15"/>
  <c r="G2628" i="15"/>
  <c r="G2629" i="15"/>
  <c r="G2630" i="15"/>
  <c r="G2631" i="15"/>
  <c r="G2632" i="15"/>
  <c r="G2633" i="15"/>
  <c r="G2634" i="15"/>
  <c r="G2635" i="15"/>
  <c r="G2636" i="15"/>
  <c r="G2637" i="15"/>
  <c r="G2638" i="15"/>
  <c r="G2639" i="15"/>
  <c r="G2640" i="15"/>
  <c r="G2641" i="15"/>
  <c r="G2642" i="15"/>
  <c r="G2643" i="15"/>
  <c r="G2644" i="15"/>
  <c r="G2645" i="15"/>
  <c r="G2646" i="15"/>
  <c r="G2647" i="15"/>
  <c r="G2648" i="15"/>
  <c r="G4" i="15"/>
  <c r="Q42" i="20"/>
  <c r="R42" i="20" s="1"/>
  <c r="Q43" i="20"/>
  <c r="R43" i="20" s="1"/>
  <c r="Q44" i="20"/>
  <c r="R44" i="20" s="1"/>
  <c r="Q45" i="20"/>
  <c r="R45" i="20" s="1"/>
  <c r="Q46" i="20"/>
  <c r="R46" i="20" s="1"/>
  <c r="Q47" i="20"/>
  <c r="R47" i="20" s="1"/>
  <c r="Q48" i="20"/>
  <c r="R48" i="20" s="1"/>
  <c r="Q49" i="20"/>
  <c r="R49" i="20" s="1"/>
  <c r="Q50" i="20"/>
  <c r="R50" i="20" s="1"/>
  <c r="Q51" i="20"/>
  <c r="R51" i="20" s="1"/>
  <c r="Q52" i="20"/>
  <c r="R52" i="20" s="1"/>
  <c r="Q53" i="20"/>
  <c r="R53" i="20" s="1"/>
  <c r="Q54" i="20"/>
  <c r="R54" i="20" s="1"/>
  <c r="Q55" i="20"/>
  <c r="R55" i="20" s="1"/>
  <c r="Q56" i="20"/>
  <c r="R56" i="20" s="1"/>
  <c r="Q57" i="20"/>
  <c r="R57" i="20" s="1"/>
  <c r="Q58" i="20"/>
  <c r="R58" i="20" s="1"/>
  <c r="Q59" i="20"/>
  <c r="R59" i="20" s="1"/>
  <c r="Q41" i="20"/>
  <c r="R41" i="20" s="1"/>
  <c r="Q40" i="20"/>
  <c r="R40" i="20" s="1"/>
  <c r="Q39" i="20"/>
  <c r="R39" i="20" s="1"/>
  <c r="Q38" i="20"/>
  <c r="R38" i="20" s="1"/>
  <c r="Q37" i="20"/>
  <c r="R37" i="20" s="1"/>
  <c r="Q36" i="20"/>
  <c r="R36" i="20" s="1"/>
  <c r="Q35" i="20"/>
  <c r="R35" i="20" s="1"/>
  <c r="Q34" i="20"/>
  <c r="R34" i="20" s="1"/>
  <c r="Q33" i="20"/>
  <c r="R33" i="20" s="1"/>
  <c r="Q32" i="20"/>
  <c r="R32" i="20" s="1"/>
  <c r="Q31" i="20"/>
  <c r="R31" i="20" s="1"/>
  <c r="Q30" i="20"/>
  <c r="R30" i="20" s="1"/>
  <c r="Q29" i="20"/>
  <c r="R29" i="20" s="1"/>
  <c r="Q28" i="20"/>
  <c r="R28" i="20" s="1"/>
  <c r="Q27" i="20"/>
  <c r="R27" i="20" s="1"/>
  <c r="Q26" i="20"/>
  <c r="R26" i="20" s="1"/>
  <c r="Q25" i="20"/>
  <c r="R25" i="20" s="1"/>
  <c r="Q24" i="20"/>
  <c r="R24" i="20" s="1"/>
  <c r="Q23" i="20"/>
  <c r="R23" i="20" s="1"/>
  <c r="Q22" i="20"/>
  <c r="R22" i="20" s="1"/>
  <c r="Q21" i="20"/>
  <c r="R21" i="20" s="1"/>
  <c r="Q20" i="20"/>
  <c r="R20" i="20" s="1"/>
  <c r="Q19" i="20"/>
  <c r="R19" i="20" s="1"/>
  <c r="Q18" i="20"/>
  <c r="R18" i="20" s="1"/>
  <c r="Q17" i="20"/>
  <c r="R17" i="20" s="1"/>
  <c r="Q16" i="20"/>
  <c r="R16" i="20" s="1"/>
  <c r="Q15" i="20"/>
  <c r="R15" i="20" s="1"/>
  <c r="Q14" i="20"/>
  <c r="R14" i="20" s="1"/>
  <c r="Q13" i="20"/>
  <c r="R13" i="20" s="1"/>
  <c r="Q12" i="20"/>
  <c r="R12" i="20" s="1"/>
  <c r="Q11" i="20"/>
  <c r="R11" i="20" s="1"/>
  <c r="Q10" i="20"/>
  <c r="R10" i="20" s="1"/>
  <c r="Q9" i="20"/>
  <c r="R9" i="20" s="1"/>
  <c r="Q8" i="20"/>
  <c r="R8" i="20" s="1"/>
  <c r="Q7" i="20"/>
  <c r="R7" i="20" s="1"/>
  <c r="Q6" i="20"/>
  <c r="R6" i="20" s="1"/>
</calcChain>
</file>

<file path=xl/sharedStrings.xml><?xml version="1.0" encoding="utf-8"?>
<sst xmlns="http://schemas.openxmlformats.org/spreadsheetml/2006/main" count="20498" uniqueCount="1140">
  <si>
    <t>REP 1</t>
  </si>
  <si>
    <t>REP 2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</si>
  <si>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</si>
  <si>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</si>
  <si>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</si>
  <si>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</si>
  <si>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</si>
  <si>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</si>
  <si>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</si>
  <si>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</si>
  <si>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</si>
  <si>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</si>
  <si>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</si>
  <si>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Tank 12</t>
  </si>
  <si>
    <t>Tank 13</t>
  </si>
  <si>
    <t>Tank 14</t>
  </si>
  <si>
    <t>Tank 15</t>
  </si>
  <si>
    <t>Tank 16</t>
  </si>
  <si>
    <t>Tank 17</t>
  </si>
  <si>
    <t>Tank 18</t>
  </si>
  <si>
    <t>Tank 19</t>
  </si>
  <si>
    <t>Tank 20</t>
  </si>
  <si>
    <t>Tank 21</t>
  </si>
  <si>
    <t>Tank 22</t>
  </si>
  <si>
    <t>Tank 23</t>
  </si>
  <si>
    <t>Tank 24</t>
  </si>
  <si>
    <t>Tank 25</t>
  </si>
  <si>
    <t>Tank 26</t>
  </si>
  <si>
    <t>Tank 27</t>
  </si>
  <si>
    <t>Tank 28</t>
  </si>
  <si>
    <t>Tank 29</t>
  </si>
  <si>
    <t>Tank 30</t>
  </si>
  <si>
    <t>Tank 31</t>
  </si>
  <si>
    <t>Tank 32</t>
  </si>
  <si>
    <t>Tank 33</t>
  </si>
  <si>
    <t>Tank 34</t>
  </si>
  <si>
    <t>Tank 35</t>
  </si>
  <si>
    <t>Tank 36</t>
  </si>
  <si>
    <t>Tank 37</t>
  </si>
  <si>
    <t>Tank 38</t>
  </si>
  <si>
    <t>Tank 39</t>
  </si>
  <si>
    <t>Tank 40</t>
  </si>
  <si>
    <t>Tank 41</t>
  </si>
  <si>
    <t>Tank 42</t>
  </si>
  <si>
    <t>Tank 43</t>
  </si>
  <si>
    <t>Tank 44</t>
  </si>
  <si>
    <t>Tank 45</t>
  </si>
  <si>
    <t>Tank 46</t>
  </si>
  <si>
    <t>Tank 47</t>
  </si>
  <si>
    <t>Tank 48</t>
  </si>
  <si>
    <t>Tank 49</t>
  </si>
  <si>
    <t>Tank 50</t>
  </si>
  <si>
    <t>Tank 51</t>
  </si>
  <si>
    <t>Tank 52</t>
  </si>
  <si>
    <t>Tank 53</t>
  </si>
  <si>
    <t>Tank 54</t>
  </si>
  <si>
    <t>Tank 55</t>
  </si>
  <si>
    <r>
      <t>All Tanks EC</t>
    </r>
    <r>
      <rPr>
        <vertAlign val="subscript"/>
        <sz val="14"/>
        <color theme="1"/>
        <rFont val="Times New Roman"/>
        <family val="1"/>
      </rPr>
      <t xml:space="preserve">i </t>
    </r>
    <r>
      <rPr>
        <sz val="14"/>
        <color theme="1"/>
        <rFont val="Times New Roman"/>
        <family val="1"/>
      </rPr>
      <t>= 12 dS m</t>
    </r>
    <r>
      <rPr>
        <vertAlign val="superscript"/>
        <sz val="14"/>
        <color theme="1"/>
        <rFont val="Times New Roman"/>
        <family val="1"/>
      </rPr>
      <t>-1</t>
    </r>
  </si>
  <si>
    <t xml:space="preserve">324 Lines x 2 reps </t>
  </si>
  <si>
    <t>West Wing Salt Treatment- Section #</t>
  </si>
  <si>
    <t>Eastwing Control Tanks - Pot #</t>
  </si>
  <si>
    <t>324 lines/1 rep</t>
  </si>
  <si>
    <t xml:space="preserve">Tank 1-56 </t>
  </si>
  <si>
    <r>
      <t>All Tanks Control ECi 1.1 dS m</t>
    </r>
    <r>
      <rPr>
        <b/>
        <vertAlign val="superscript"/>
        <sz val="16"/>
        <color theme="1"/>
        <rFont val="Times New Roman"/>
        <family val="1"/>
      </rPr>
      <t>-1</t>
    </r>
  </si>
  <si>
    <t>Tank 2-58</t>
  </si>
  <si>
    <t xml:space="preserve">Tank 3-59 </t>
  </si>
  <si>
    <t>Tank 4-57</t>
  </si>
  <si>
    <t xml:space="preserve">Tank 5-61 </t>
  </si>
  <si>
    <t xml:space="preserve">Tank 6-60 </t>
  </si>
  <si>
    <t xml:space="preserve">Tank 7-60 </t>
  </si>
  <si>
    <t xml:space="preserve">Tank 8-61 </t>
  </si>
  <si>
    <t xml:space="preserve">Tank 9-57 </t>
  </si>
  <si>
    <t>Tank 10-58</t>
  </si>
  <si>
    <t>Tank 11-59</t>
  </si>
  <si>
    <t>Tank 12-56</t>
  </si>
  <si>
    <t>Tank 13-57</t>
  </si>
  <si>
    <t xml:space="preserve">Tank 14-60 </t>
  </si>
  <si>
    <t>Tank 19-61</t>
  </si>
  <si>
    <t>Tank 20-59</t>
  </si>
  <si>
    <t xml:space="preserve">Tank 21-56 </t>
  </si>
  <si>
    <t>Tank 15-58</t>
  </si>
  <si>
    <t>Tank 16-61</t>
  </si>
  <si>
    <t>Tank 22-60</t>
  </si>
  <si>
    <t xml:space="preserve">Tank 17-56 </t>
  </si>
  <si>
    <t xml:space="preserve">Tank 23-57 </t>
  </si>
  <si>
    <t xml:space="preserve">Tank 18-59 </t>
  </si>
  <si>
    <t>Tank 24-58</t>
  </si>
  <si>
    <t>Tank 25-58</t>
  </si>
  <si>
    <t xml:space="preserve">Tank 31-59 </t>
  </si>
  <si>
    <t xml:space="preserve">Tank 26-56 </t>
  </si>
  <si>
    <t xml:space="preserve">Tank 32-57 </t>
  </si>
  <si>
    <t>Tank 27-61</t>
  </si>
  <si>
    <t xml:space="preserve">Tank 33-60 </t>
  </si>
  <si>
    <t xml:space="preserve">Tank 28-59 </t>
  </si>
  <si>
    <t xml:space="preserve">Tank 34-56 </t>
  </si>
  <si>
    <t xml:space="preserve">Tank 29-60 </t>
  </si>
  <si>
    <t xml:space="preserve">Tank 35-58 </t>
  </si>
  <si>
    <t>Tank 30 -57</t>
  </si>
  <si>
    <t>Tank 36-61</t>
  </si>
  <si>
    <t>Wing</t>
  </si>
  <si>
    <t>Tank</t>
  </si>
  <si>
    <t>Section</t>
  </si>
  <si>
    <t>West</t>
  </si>
  <si>
    <t>EC</t>
  </si>
  <si>
    <t>Pot</t>
  </si>
  <si>
    <t>East</t>
  </si>
  <si>
    <t>Rep</t>
  </si>
  <si>
    <t>Background:</t>
  </si>
  <si>
    <t>Test Design:</t>
  </si>
  <si>
    <t>Plant Culture:</t>
  </si>
  <si>
    <t>Data Collection:</t>
  </si>
  <si>
    <t>* Emergence</t>
  </si>
  <si>
    <t>* Survival</t>
  </si>
  <si>
    <t>* Cull</t>
  </si>
  <si>
    <t>Steps:</t>
  </si>
  <si>
    <t xml:space="preserve">As part of the 2024 Diversity Cluster project Brassica juncea </t>
  </si>
  <si>
    <t>tests will be conducted in westwing and eastwing, testing 324 varieties</t>
  </si>
  <si>
    <t>for type II growth and seed production in salt solution. This will provide type II data</t>
  </si>
  <si>
    <t>for the project, measuring the growth, survival and seed yield</t>
  </si>
  <si>
    <t>variation on 324 B. Juncea lines at the 12 dS/m level.</t>
  </si>
  <si>
    <t>Westwing Salt Treatment: 1 rep salt (54 tanks @ 12dS) x 6 lines/tank</t>
  </si>
  <si>
    <t>Eastwing Control: 2 rep control (36 tanks) x 18 lines/tank</t>
  </si>
  <si>
    <t>Westwing:</t>
  </si>
  <si>
    <t>Aim for 3 plants per slice after survival/culling</t>
  </si>
  <si>
    <t>Eastwing:</t>
  </si>
  <si>
    <t>Aim for 1 plant per slice after survival/culling</t>
  </si>
  <si>
    <t>Date:</t>
  </si>
  <si>
    <t>Notes:</t>
  </si>
  <si>
    <t>WW-Brassicae Juncea Salinity Tolerance Protocol-2024</t>
  </si>
  <si>
    <t>comments</t>
  </si>
  <si>
    <t>CN 30459</t>
  </si>
  <si>
    <t>Brassica juncea</t>
  </si>
  <si>
    <t>Neosypajuscajasia 2</t>
  </si>
  <si>
    <t>first run</t>
  </si>
  <si>
    <t>CN 30460</t>
  </si>
  <si>
    <t>Volgogradskaja 189/191</t>
  </si>
  <si>
    <t>CN 30461</t>
  </si>
  <si>
    <t>Skorospelka</t>
  </si>
  <si>
    <t>CN 30462</t>
  </si>
  <si>
    <t>VNIIMK 351</t>
  </si>
  <si>
    <t>CN 30463</t>
  </si>
  <si>
    <t>VNIIMK 405</t>
  </si>
  <si>
    <t>CN 30464</t>
  </si>
  <si>
    <t>Zeltosemiannaja 230</t>
  </si>
  <si>
    <t>CN 30465</t>
  </si>
  <si>
    <t>Zaria</t>
  </si>
  <si>
    <t>CN 30466</t>
  </si>
  <si>
    <t>Donskaja 4</t>
  </si>
  <si>
    <t>CN 31280</t>
  </si>
  <si>
    <t>No. 243</t>
  </si>
  <si>
    <t>CN 31401</t>
  </si>
  <si>
    <t>Peira</t>
  </si>
  <si>
    <t>CN 31978</t>
  </si>
  <si>
    <t>PGR 3330</t>
  </si>
  <si>
    <t>CN 32019</t>
  </si>
  <si>
    <t>PGR 3383</t>
  </si>
  <si>
    <t>CN 33058</t>
  </si>
  <si>
    <t>Commercial Brown Mustard</t>
  </si>
  <si>
    <t>CN 33059</t>
  </si>
  <si>
    <t>Lethbridge 22A</t>
  </si>
  <si>
    <t>CN 33060</t>
  </si>
  <si>
    <t>Blaze</t>
  </si>
  <si>
    <t>CN 33061</t>
  </si>
  <si>
    <t>Domo</t>
  </si>
  <si>
    <t>CN 33999</t>
  </si>
  <si>
    <t>Sensuji Kyouna</t>
  </si>
  <si>
    <t>CN 34000</t>
  </si>
  <si>
    <t>Wase Mibuna</t>
  </si>
  <si>
    <t>CN 34001</t>
  </si>
  <si>
    <t>Chikushina</t>
  </si>
  <si>
    <t>CN 34002</t>
  </si>
  <si>
    <t>Ao Ooba</t>
  </si>
  <si>
    <t>CN 34003</t>
  </si>
  <si>
    <t>Yanagawa Shirokuki</t>
  </si>
  <si>
    <t>CN 34004</t>
  </si>
  <si>
    <t>Akaguki Miike</t>
  </si>
  <si>
    <t>CN 34005</t>
  </si>
  <si>
    <t>Miike Akachirimen</t>
  </si>
  <si>
    <t>CN 34006</t>
  </si>
  <si>
    <t>Sendai Bashouna</t>
  </si>
  <si>
    <t>CN 34007</t>
  </si>
  <si>
    <t>Ooba Takana</t>
  </si>
  <si>
    <t>CN 34008</t>
  </si>
  <si>
    <t>Yamashiona</t>
  </si>
  <si>
    <t>CN 34037</t>
  </si>
  <si>
    <t>No. 450</t>
  </si>
  <si>
    <t>CN 34061</t>
  </si>
  <si>
    <t>Burgonde</t>
  </si>
  <si>
    <t>CN 34062</t>
  </si>
  <si>
    <t>Ekla</t>
  </si>
  <si>
    <t>CN 34063</t>
  </si>
  <si>
    <t>Primus</t>
  </si>
  <si>
    <t>CN 34064</t>
  </si>
  <si>
    <t>Stoke</t>
  </si>
  <si>
    <t>CN 35414</t>
  </si>
  <si>
    <t>Tall, Wrapped Heart</t>
  </si>
  <si>
    <t>CN 35808</t>
  </si>
  <si>
    <t>Jubilejnaja</t>
  </si>
  <si>
    <t>CN 35809</t>
  </si>
  <si>
    <t>Skorospelka 2</t>
  </si>
  <si>
    <t>CN 35810</t>
  </si>
  <si>
    <t>Donskaja 5</t>
  </si>
  <si>
    <t>CN 35811</t>
  </si>
  <si>
    <t>Mytnickij</t>
  </si>
  <si>
    <t>CN 36098</t>
  </si>
  <si>
    <t>Mibuna</t>
  </si>
  <si>
    <t>CN 36099</t>
  </si>
  <si>
    <t>Mizuna</t>
  </si>
  <si>
    <t>CN 36100</t>
  </si>
  <si>
    <t>Sensudzi Kuo Midzuna</t>
  </si>
  <si>
    <t>CN 39622</t>
  </si>
  <si>
    <t>PGR 12568</t>
  </si>
  <si>
    <t>CN 39623</t>
  </si>
  <si>
    <t>PGR 12569</t>
  </si>
  <si>
    <t>CN 39624</t>
  </si>
  <si>
    <t>PGR 12573</t>
  </si>
  <si>
    <t>CN 39625</t>
  </si>
  <si>
    <t>PGR 12574</t>
  </si>
  <si>
    <t>CN 39626</t>
  </si>
  <si>
    <t>Stepniacka</t>
  </si>
  <si>
    <t>CN 39627</t>
  </si>
  <si>
    <t>J807/1/6</t>
  </si>
  <si>
    <t>CN 39628</t>
  </si>
  <si>
    <t>J/807/12/1</t>
  </si>
  <si>
    <t>CN 39629</t>
  </si>
  <si>
    <t>J/817/2</t>
  </si>
  <si>
    <t>CN 39630</t>
  </si>
  <si>
    <t>J/817/9</t>
  </si>
  <si>
    <t>CN 39631</t>
  </si>
  <si>
    <t>J/824</t>
  </si>
  <si>
    <t>CN 39632</t>
  </si>
  <si>
    <t>J/824/6</t>
  </si>
  <si>
    <t>CN 39633</t>
  </si>
  <si>
    <t>PGR 12585</t>
  </si>
  <si>
    <t>CN 39634</t>
  </si>
  <si>
    <t>PGR 12586</t>
  </si>
  <si>
    <t>CN 40218</t>
  </si>
  <si>
    <t>PGR 13223</t>
  </si>
  <si>
    <t>CN 43435</t>
  </si>
  <si>
    <t>SB-12-P4</t>
  </si>
  <si>
    <t>CN 43436</t>
  </si>
  <si>
    <t>PGR 16777</t>
  </si>
  <si>
    <t>CN 43437</t>
  </si>
  <si>
    <t>RLM-240</t>
  </si>
  <si>
    <t>CN 43438</t>
  </si>
  <si>
    <t>RLM-198</t>
  </si>
  <si>
    <t>CN 43439</t>
  </si>
  <si>
    <t>Raja RLM-619</t>
  </si>
  <si>
    <t>CN 43440</t>
  </si>
  <si>
    <t>RLC 1021</t>
  </si>
  <si>
    <t>CN 44106</t>
  </si>
  <si>
    <t>PGR 17652</t>
  </si>
  <si>
    <t>CN 44132</t>
  </si>
  <si>
    <t>End of Cow Tail</t>
  </si>
  <si>
    <t>CN 46238</t>
  </si>
  <si>
    <t>Cutlass</t>
  </si>
  <si>
    <t>CN 46239</t>
  </si>
  <si>
    <t>Scimitar</t>
  </si>
  <si>
    <t>CN 84068</t>
  </si>
  <si>
    <t>Stalengradska</t>
  </si>
  <si>
    <t>CN 84069</t>
  </si>
  <si>
    <t>Maloponska</t>
  </si>
  <si>
    <t>CN 84070</t>
  </si>
  <si>
    <t>Secus</t>
  </si>
  <si>
    <t>CN 84071</t>
  </si>
  <si>
    <t>Aurea</t>
  </si>
  <si>
    <t>CN 84073</t>
  </si>
  <si>
    <t>Silesia</t>
  </si>
  <si>
    <t>CN 84074</t>
  </si>
  <si>
    <t>CN 84075</t>
  </si>
  <si>
    <t>CN 84076</t>
  </si>
  <si>
    <t>CN 84077</t>
  </si>
  <si>
    <t>Lethbridge - 22A</t>
  </si>
  <si>
    <t>CN 101702</t>
  </si>
  <si>
    <t>PAK 85382</t>
  </si>
  <si>
    <t>CN 101703</t>
  </si>
  <si>
    <t>PAK 85386</t>
  </si>
  <si>
    <t>CN 101704</t>
  </si>
  <si>
    <t>PAK 85387</t>
  </si>
  <si>
    <t>CN 101705</t>
  </si>
  <si>
    <t>PAK 85391</t>
  </si>
  <si>
    <t>CN 101706</t>
  </si>
  <si>
    <t>PAK 85393A</t>
  </si>
  <si>
    <t>CN 101707</t>
  </si>
  <si>
    <t>PAK 85408</t>
  </si>
  <si>
    <t>CN 101708</t>
  </si>
  <si>
    <t>PAK 85409</t>
  </si>
  <si>
    <t>CN 101709</t>
  </si>
  <si>
    <t>PAK 85411</t>
  </si>
  <si>
    <t>CN 101710</t>
  </si>
  <si>
    <t>PAK 85412</t>
  </si>
  <si>
    <t>CN 101711</t>
  </si>
  <si>
    <t>PAK 85483</t>
  </si>
  <si>
    <t>CN 101712</t>
  </si>
  <si>
    <t>PAK 85488</t>
  </si>
  <si>
    <t>CN 101713</t>
  </si>
  <si>
    <t>PAK 85491</t>
  </si>
  <si>
    <t>CN 101714</t>
  </si>
  <si>
    <t>PAK 85492</t>
  </si>
  <si>
    <t>CN 101715</t>
  </si>
  <si>
    <t>PAK 85493</t>
  </si>
  <si>
    <t>CN 101716</t>
  </si>
  <si>
    <t>PAK 85506</t>
  </si>
  <si>
    <t>CN 101717</t>
  </si>
  <si>
    <t>PAK 85509</t>
  </si>
  <si>
    <t>CN 101718</t>
  </si>
  <si>
    <t>PAK 85525</t>
  </si>
  <si>
    <t>CN 101719</t>
  </si>
  <si>
    <t>PAK 85526</t>
  </si>
  <si>
    <t>CN 101720</t>
  </si>
  <si>
    <t>PAK 85527</t>
  </si>
  <si>
    <t>CN 101721</t>
  </si>
  <si>
    <t>PAK 85528</t>
  </si>
  <si>
    <t>CN 101722</t>
  </si>
  <si>
    <t>PAK 85545</t>
  </si>
  <si>
    <t>CN 101723</t>
  </si>
  <si>
    <t>PAK 85555</t>
  </si>
  <si>
    <t>CN 101724</t>
  </si>
  <si>
    <t>PAK 85556</t>
  </si>
  <si>
    <t>CN 101725</t>
  </si>
  <si>
    <t>PAK 85557</t>
  </si>
  <si>
    <t>CN 101726</t>
  </si>
  <si>
    <t>PAK 85558</t>
  </si>
  <si>
    <t>CN 101727</t>
  </si>
  <si>
    <t>PAK 85559</t>
  </si>
  <si>
    <t>CN 101728</t>
  </si>
  <si>
    <t>PAK 85562</t>
  </si>
  <si>
    <t>CN 101729</t>
  </si>
  <si>
    <t>PAK 85563</t>
  </si>
  <si>
    <t>CN 101730</t>
  </si>
  <si>
    <t>PAK 85564</t>
  </si>
  <si>
    <t>CN 101731</t>
  </si>
  <si>
    <t>PAK 85565</t>
  </si>
  <si>
    <t>CN 101732</t>
  </si>
  <si>
    <t>PAK 85568</t>
  </si>
  <si>
    <t>CN 101733</t>
  </si>
  <si>
    <t>PAK 85570</t>
  </si>
  <si>
    <t>CN 101734</t>
  </si>
  <si>
    <t>PAK 85571</t>
  </si>
  <si>
    <t>CN 101735</t>
  </si>
  <si>
    <t>PAK 85572</t>
  </si>
  <si>
    <t>CN 101736</t>
  </si>
  <si>
    <t>PAK 85574</t>
  </si>
  <si>
    <t>CN 101737</t>
  </si>
  <si>
    <t>PAK 85575</t>
  </si>
  <si>
    <t>CN 101738</t>
  </si>
  <si>
    <t>PAK 85576</t>
  </si>
  <si>
    <t>CN 101739</t>
  </si>
  <si>
    <t>PAK 85577</t>
  </si>
  <si>
    <t>CN 101740</t>
  </si>
  <si>
    <t>PAK 85578</t>
  </si>
  <si>
    <t>CN 101741</t>
  </si>
  <si>
    <t>PAK 85579</t>
  </si>
  <si>
    <t>CN 101742</t>
  </si>
  <si>
    <t>PAK 85580</t>
  </si>
  <si>
    <t>CN 101743</t>
  </si>
  <si>
    <t>PAK 85581</t>
  </si>
  <si>
    <t>CN 101744</t>
  </si>
  <si>
    <t>PAK 85582</t>
  </si>
  <si>
    <t>CN 101745</t>
  </si>
  <si>
    <t>PAK 85583</t>
  </si>
  <si>
    <t>CN 101746</t>
  </si>
  <si>
    <t>PAK 85584</t>
  </si>
  <si>
    <t>CN 101747</t>
  </si>
  <si>
    <t>PAK 85585</t>
  </si>
  <si>
    <t>CN 101748</t>
  </si>
  <si>
    <t>PAK 85586</t>
  </si>
  <si>
    <t>CN 101749</t>
  </si>
  <si>
    <t>PAK 85587</t>
  </si>
  <si>
    <t>CN 101750</t>
  </si>
  <si>
    <t>PAK 85589</t>
  </si>
  <si>
    <t>CN 101751</t>
  </si>
  <si>
    <t>PAK 85590</t>
  </si>
  <si>
    <t>CN 101752</t>
  </si>
  <si>
    <t>PAK 85592</t>
  </si>
  <si>
    <t>CN 101753</t>
  </si>
  <si>
    <t>PAK 85593</t>
  </si>
  <si>
    <t>CN 101754</t>
  </si>
  <si>
    <t>PAK 85594</t>
  </si>
  <si>
    <t>CN 101755</t>
  </si>
  <si>
    <t>PAK 85595</t>
  </si>
  <si>
    <t>CN 101756</t>
  </si>
  <si>
    <t>PAK 85596</t>
  </si>
  <si>
    <t>CN 101757</t>
  </si>
  <si>
    <t>PAK 85598</t>
  </si>
  <si>
    <t>CN 101758</t>
  </si>
  <si>
    <t>PAK 85599</t>
  </si>
  <si>
    <t>CN 101759</t>
  </si>
  <si>
    <t>PAK 85600</t>
  </si>
  <si>
    <t>CN 101760</t>
  </si>
  <si>
    <t>PAK 85601</t>
  </si>
  <si>
    <t>CN 101761</t>
  </si>
  <si>
    <t>PAK 85602</t>
  </si>
  <si>
    <t>CN 101762</t>
  </si>
  <si>
    <t>PAK 85603</t>
  </si>
  <si>
    <t>CN 101763</t>
  </si>
  <si>
    <t>PAK 85604</t>
  </si>
  <si>
    <t>CN 101764</t>
  </si>
  <si>
    <t>PAK 85605</t>
  </si>
  <si>
    <t>CN 101765</t>
  </si>
  <si>
    <t>PAK 85606</t>
  </si>
  <si>
    <t>CN 101766</t>
  </si>
  <si>
    <t>PAK 85607</t>
  </si>
  <si>
    <t>CN 101767</t>
  </si>
  <si>
    <t>PAK 85608</t>
  </si>
  <si>
    <t>CN 101768</t>
  </si>
  <si>
    <t>PAK 85609</t>
  </si>
  <si>
    <t>CN 101769</t>
  </si>
  <si>
    <t>PAK 85610</t>
  </si>
  <si>
    <t>CN 101770</t>
  </si>
  <si>
    <t>PAK 85611</t>
  </si>
  <si>
    <t>CN 101771</t>
  </si>
  <si>
    <t>PAK 85612</t>
  </si>
  <si>
    <t>CN 101772</t>
  </si>
  <si>
    <t>PAK 85613</t>
  </si>
  <si>
    <t>CN 101773</t>
  </si>
  <si>
    <t>PAK 85614</t>
  </si>
  <si>
    <t>CN 101774</t>
  </si>
  <si>
    <t>PAK 85615</t>
  </si>
  <si>
    <t>CN 101775</t>
  </si>
  <si>
    <t>PAK 85616</t>
  </si>
  <si>
    <t>CN 101776</t>
  </si>
  <si>
    <t>PAK 85617</t>
  </si>
  <si>
    <t>CN 101777</t>
  </si>
  <si>
    <t>PAK 85618</t>
  </si>
  <si>
    <t>CN 101778</t>
  </si>
  <si>
    <t>PAK 85619</t>
  </si>
  <si>
    <t>CN 101779</t>
  </si>
  <si>
    <t>PAK 85620</t>
  </si>
  <si>
    <t>CN 101780</t>
  </si>
  <si>
    <t>PAK 85622</t>
  </si>
  <si>
    <t>CN 101781</t>
  </si>
  <si>
    <t>PAK 85623</t>
  </si>
  <si>
    <t>CN 101782</t>
  </si>
  <si>
    <t>PAK 85625</t>
  </si>
  <si>
    <t>CN 101783</t>
  </si>
  <si>
    <t>PAK 85626</t>
  </si>
  <si>
    <t>CN 101784</t>
  </si>
  <si>
    <t>PAK 85627</t>
  </si>
  <si>
    <t>CN 101785</t>
  </si>
  <si>
    <t>PAK 85628</t>
  </si>
  <si>
    <t>CN 101786</t>
  </si>
  <si>
    <t>PAK 85629</t>
  </si>
  <si>
    <t>CN 101787</t>
  </si>
  <si>
    <t>PAK 85630</t>
  </si>
  <si>
    <t>CN 101788</t>
  </si>
  <si>
    <t>PAK 85631</t>
  </si>
  <si>
    <t>CN 101789</t>
  </si>
  <si>
    <t>PAK 85632</t>
  </si>
  <si>
    <t>CN 101790</t>
  </si>
  <si>
    <t>PAK 85633</t>
  </si>
  <si>
    <t>CN 101791</t>
  </si>
  <si>
    <t>PAK 85634</t>
  </si>
  <si>
    <t>CN 101792</t>
  </si>
  <si>
    <t>PAK 85635</t>
  </si>
  <si>
    <t>CN 101793</t>
  </si>
  <si>
    <t>PAK 85637</t>
  </si>
  <si>
    <t>CN 101794</t>
  </si>
  <si>
    <t>PAK 85638</t>
  </si>
  <si>
    <t>CN 101795</t>
  </si>
  <si>
    <t>PAK 85639</t>
  </si>
  <si>
    <t>CN 101796</t>
  </si>
  <si>
    <t>PAK 85642</t>
  </si>
  <si>
    <t>CN 101797</t>
  </si>
  <si>
    <t>PAK 85643</t>
  </si>
  <si>
    <t>CN 101798</t>
  </si>
  <si>
    <t>PAK 85644</t>
  </si>
  <si>
    <t>CN 101799</t>
  </si>
  <si>
    <t>PAK 85645</t>
  </si>
  <si>
    <t>CN 101800</t>
  </si>
  <si>
    <t>PAK 85646</t>
  </si>
  <si>
    <t>CN 101801</t>
  </si>
  <si>
    <t>PAK 85647</t>
  </si>
  <si>
    <t>CN 101802</t>
  </si>
  <si>
    <t>PAK 85648</t>
  </si>
  <si>
    <t>CN 101803</t>
  </si>
  <si>
    <t>PAK 85662</t>
  </si>
  <si>
    <t>CN 101804</t>
  </si>
  <si>
    <t>PAK 85663</t>
  </si>
  <si>
    <t>CN 101805</t>
  </si>
  <si>
    <t>PAK 85664</t>
  </si>
  <si>
    <t>CN 101806</t>
  </si>
  <si>
    <t>PAK 85665</t>
  </si>
  <si>
    <t>CN 101807</t>
  </si>
  <si>
    <t>PAK 85666</t>
  </si>
  <si>
    <t>CN 101808</t>
  </si>
  <si>
    <t>PAK 85667</t>
  </si>
  <si>
    <t>CN 101809</t>
  </si>
  <si>
    <t>PAK 85679</t>
  </si>
  <si>
    <t>CN 101810</t>
  </si>
  <si>
    <t>PAK 85681</t>
  </si>
  <si>
    <t>CN 101811</t>
  </si>
  <si>
    <t>PAK 85682</t>
  </si>
  <si>
    <t>CN 101812</t>
  </si>
  <si>
    <t>Toria Mitha</t>
  </si>
  <si>
    <t>CN 101813</t>
  </si>
  <si>
    <t>Toria Karwa</t>
  </si>
  <si>
    <t>CN 101814</t>
  </si>
  <si>
    <t>CN 101815</t>
  </si>
  <si>
    <t>PAK 85828</t>
  </si>
  <si>
    <t>CN 101816</t>
  </si>
  <si>
    <t>PAK 85829</t>
  </si>
  <si>
    <t>CN 101817</t>
  </si>
  <si>
    <t>Raya</t>
  </si>
  <si>
    <t>CN 101818</t>
  </si>
  <si>
    <t>Saryan</t>
  </si>
  <si>
    <t>CN 101819</t>
  </si>
  <si>
    <t>PAK 85838</t>
  </si>
  <si>
    <t>CN 101820</t>
  </si>
  <si>
    <t>Ghobi Saron</t>
  </si>
  <si>
    <t>CN 101821</t>
  </si>
  <si>
    <t>CN 101822</t>
  </si>
  <si>
    <t>PAK 85844</t>
  </si>
  <si>
    <t>CN 101823</t>
  </si>
  <si>
    <t>CN 101824</t>
  </si>
  <si>
    <t>Taria</t>
  </si>
  <si>
    <t>CN 101825</t>
  </si>
  <si>
    <t>CN 101826</t>
  </si>
  <si>
    <t>Saron</t>
  </si>
  <si>
    <t>CN 101827</t>
  </si>
  <si>
    <t>CN 101828</t>
  </si>
  <si>
    <t>CN 101829</t>
  </si>
  <si>
    <t>CN 101830</t>
  </si>
  <si>
    <t>CN 101831</t>
  </si>
  <si>
    <t>CN 101832</t>
  </si>
  <si>
    <t>CN 101833</t>
  </si>
  <si>
    <t>CN 101834</t>
  </si>
  <si>
    <t>Sarami</t>
  </si>
  <si>
    <t>CN 101835</t>
  </si>
  <si>
    <t>CN 101836</t>
  </si>
  <si>
    <t>CN 101837</t>
  </si>
  <si>
    <t>CN 101838</t>
  </si>
  <si>
    <t>CN 101839</t>
  </si>
  <si>
    <t>CN 101840</t>
  </si>
  <si>
    <t>Saryam</t>
  </si>
  <si>
    <t>CN 101841</t>
  </si>
  <si>
    <t>PAK 85877</t>
  </si>
  <si>
    <t>CN 101842</t>
  </si>
  <si>
    <t>CN 101843</t>
  </si>
  <si>
    <t>Kali Saram</t>
  </si>
  <si>
    <t>CN 101844</t>
  </si>
  <si>
    <t>PAK 85887</t>
  </si>
  <si>
    <t>CN 101845</t>
  </si>
  <si>
    <t>CN 101846</t>
  </si>
  <si>
    <t>CN 101847</t>
  </si>
  <si>
    <t>Desi Saram</t>
  </si>
  <si>
    <t>CN 101848</t>
  </si>
  <si>
    <t>Sarmi</t>
  </si>
  <si>
    <t>CN 101849</t>
  </si>
  <si>
    <t>Sarm</t>
  </si>
  <si>
    <t>CN 101850</t>
  </si>
  <si>
    <t>PAK 85902</t>
  </si>
  <si>
    <t>CN 101851</t>
  </si>
  <si>
    <t>CN 101852</t>
  </si>
  <si>
    <t>CN 101853</t>
  </si>
  <si>
    <t>PAK 85911</t>
  </si>
  <si>
    <t>CN 101854</t>
  </si>
  <si>
    <t>Sharsham</t>
  </si>
  <si>
    <t>CN 101855</t>
  </si>
  <si>
    <t>AC Vulcan</t>
  </si>
  <si>
    <t>CN 101856</t>
  </si>
  <si>
    <t>Pusa Bold</t>
  </si>
  <si>
    <t>CN 101952</t>
  </si>
  <si>
    <t>PAK 85393</t>
  </si>
  <si>
    <t>CN 105186</t>
  </si>
  <si>
    <t>Kranti</t>
  </si>
  <si>
    <t>CN 105187</t>
  </si>
  <si>
    <t>Krishna</t>
  </si>
  <si>
    <t>CN 105188</t>
  </si>
  <si>
    <t>Varuna</t>
  </si>
  <si>
    <t>CN 105189</t>
  </si>
  <si>
    <t>Vaibhav</t>
  </si>
  <si>
    <t>CN 105190</t>
  </si>
  <si>
    <t>Rohini</t>
  </si>
  <si>
    <t>CN 105191</t>
  </si>
  <si>
    <t>Vardan</t>
  </si>
  <si>
    <t>CN 105192</t>
  </si>
  <si>
    <t>R 25</t>
  </si>
  <si>
    <t>CN 105193</t>
  </si>
  <si>
    <t>Raya (L.23)</t>
  </si>
  <si>
    <t>CN 105194</t>
  </si>
  <si>
    <t>Raya (L.16)</t>
  </si>
  <si>
    <t>CN 105195</t>
  </si>
  <si>
    <t>PI 169077</t>
  </si>
  <si>
    <t>CN 105196</t>
  </si>
  <si>
    <t>J111</t>
  </si>
  <si>
    <t>CN 105197</t>
  </si>
  <si>
    <t>M.Br.1</t>
  </si>
  <si>
    <t>CN 105198</t>
  </si>
  <si>
    <t>M.Br.4</t>
  </si>
  <si>
    <t>CN 105199</t>
  </si>
  <si>
    <t>M.Br.2</t>
  </si>
  <si>
    <t>CN 105200</t>
  </si>
  <si>
    <t>IB 1479</t>
  </si>
  <si>
    <t>CN 105201</t>
  </si>
  <si>
    <t>IB 1436</t>
  </si>
  <si>
    <t>CN 105202</t>
  </si>
  <si>
    <t>IB 1505</t>
  </si>
  <si>
    <t>CN 105203</t>
  </si>
  <si>
    <t>63-0134-68</t>
  </si>
  <si>
    <t>CN 105204</t>
  </si>
  <si>
    <t>64-1398-69</t>
  </si>
  <si>
    <t>CN 105205</t>
  </si>
  <si>
    <t>R 702</t>
  </si>
  <si>
    <t>CN 105206</t>
  </si>
  <si>
    <t>Bass</t>
  </si>
  <si>
    <t>CN 105207</t>
  </si>
  <si>
    <t>R 866</t>
  </si>
  <si>
    <t>CN 105208</t>
  </si>
  <si>
    <t>R 867</t>
  </si>
  <si>
    <t>CN 105209</t>
  </si>
  <si>
    <t>R 868</t>
  </si>
  <si>
    <t>CN 105210</t>
  </si>
  <si>
    <t>R 869</t>
  </si>
  <si>
    <t>CN 105211</t>
  </si>
  <si>
    <t>R 871</t>
  </si>
  <si>
    <t>CN 105212</t>
  </si>
  <si>
    <t>Kafiav N Zagora</t>
  </si>
  <si>
    <t>CN 105213</t>
  </si>
  <si>
    <t>German accession No. 114</t>
  </si>
  <si>
    <t>CN 105214</t>
  </si>
  <si>
    <t>German accession No. 115</t>
  </si>
  <si>
    <t>CN 105215</t>
  </si>
  <si>
    <t>German accession No. 116</t>
  </si>
  <si>
    <t>CN 105216</t>
  </si>
  <si>
    <t>German accession No. 164</t>
  </si>
  <si>
    <t>CN 105217</t>
  </si>
  <si>
    <t>German accession No. 195</t>
  </si>
  <si>
    <t>CN 105218</t>
  </si>
  <si>
    <t>German accession No. 325</t>
  </si>
  <si>
    <t>CN 105219</t>
  </si>
  <si>
    <t>German accession No. 388</t>
  </si>
  <si>
    <t>CN 105220</t>
  </si>
  <si>
    <t>German accession No. 405</t>
  </si>
  <si>
    <t>CN 105221</t>
  </si>
  <si>
    <t>German accession No. 406</t>
  </si>
  <si>
    <t>CN 105222</t>
  </si>
  <si>
    <t>German accession No. 415</t>
  </si>
  <si>
    <t>CN 105223</t>
  </si>
  <si>
    <t>German accession No. 417</t>
  </si>
  <si>
    <t>CN 105224</t>
  </si>
  <si>
    <t>German accession No. 220</t>
  </si>
  <si>
    <t>CN 105225</t>
  </si>
  <si>
    <t>German accession No. 389</t>
  </si>
  <si>
    <t>CN 105226</t>
  </si>
  <si>
    <t>German accession No. 390</t>
  </si>
  <si>
    <t>CN 105227</t>
  </si>
  <si>
    <t>German accession No. 391</t>
  </si>
  <si>
    <t>CN 105228</t>
  </si>
  <si>
    <t>German accession No. 392</t>
  </si>
  <si>
    <t>CN 105229</t>
  </si>
  <si>
    <t>German accession No. 404</t>
  </si>
  <si>
    <t>CN 105230</t>
  </si>
  <si>
    <t>German accession No. 408</t>
  </si>
  <si>
    <t>CN 105231</t>
  </si>
  <si>
    <t>R 1779</t>
  </si>
  <si>
    <t>CN 105232</t>
  </si>
  <si>
    <t>R 1949</t>
  </si>
  <si>
    <t>CN 105233</t>
  </si>
  <si>
    <t>Huangping Bai Youcai</t>
  </si>
  <si>
    <t>CN 105234</t>
  </si>
  <si>
    <t>RAI-5</t>
  </si>
  <si>
    <t>CN 105235</t>
  </si>
  <si>
    <t>R 2017</t>
  </si>
  <si>
    <t>CN 105236</t>
  </si>
  <si>
    <t>R 2018</t>
  </si>
  <si>
    <t>CN 105237</t>
  </si>
  <si>
    <t>R 2020</t>
  </si>
  <si>
    <t>CN 105238</t>
  </si>
  <si>
    <t>R 2021</t>
  </si>
  <si>
    <t>CN 105239</t>
  </si>
  <si>
    <t>R 2022</t>
  </si>
  <si>
    <t>CN 105240</t>
  </si>
  <si>
    <t>Serub</t>
  </si>
  <si>
    <t>CN 105241</t>
  </si>
  <si>
    <t>R 2079</t>
  </si>
  <si>
    <t>CN 105242</t>
  </si>
  <si>
    <t>R 2086</t>
  </si>
  <si>
    <t>CN 105243</t>
  </si>
  <si>
    <t>R 2087</t>
  </si>
  <si>
    <t>CN 105244</t>
  </si>
  <si>
    <t>R 2093</t>
  </si>
  <si>
    <t>CN 105245</t>
  </si>
  <si>
    <t>R 2102</t>
  </si>
  <si>
    <t>CN 105246</t>
  </si>
  <si>
    <t>R 2130</t>
  </si>
  <si>
    <t>CN 105247</t>
  </si>
  <si>
    <t>R 2227</t>
  </si>
  <si>
    <t>CN 105248</t>
  </si>
  <si>
    <t>R 2226</t>
  </si>
  <si>
    <t>CN 105249</t>
  </si>
  <si>
    <t>R 2225</t>
  </si>
  <si>
    <t>CN 105250</t>
  </si>
  <si>
    <t>PI 340189</t>
  </si>
  <si>
    <t>CN 105251</t>
  </si>
  <si>
    <t>UC 77-322</t>
  </si>
  <si>
    <t>CN 105252</t>
  </si>
  <si>
    <t>UC 77-339</t>
  </si>
  <si>
    <t>CN 105253</t>
  </si>
  <si>
    <t>UC 77-368</t>
  </si>
  <si>
    <t>CN 105254</t>
  </si>
  <si>
    <t>UC 77-429</t>
  </si>
  <si>
    <t>CN 105255</t>
  </si>
  <si>
    <t>UC 77-514</t>
  </si>
  <si>
    <t>CN 105256</t>
  </si>
  <si>
    <t>UC 77-605</t>
  </si>
  <si>
    <t>CN 105257</t>
  </si>
  <si>
    <t>CN 105258</t>
  </si>
  <si>
    <t>1514340-8</t>
  </si>
  <si>
    <t>CN 105259</t>
  </si>
  <si>
    <t>1204142-1</t>
  </si>
  <si>
    <t>CN 105260</t>
  </si>
  <si>
    <t>R 2473</t>
  </si>
  <si>
    <t>CN 105261</t>
  </si>
  <si>
    <t>R 2474</t>
  </si>
  <si>
    <t>CN 105262</t>
  </si>
  <si>
    <t>R 2590</t>
  </si>
  <si>
    <t>CN 105263</t>
  </si>
  <si>
    <t>R 2592</t>
  </si>
  <si>
    <t>CN 105264</t>
  </si>
  <si>
    <t>R 2593</t>
  </si>
  <si>
    <t>CN 105265</t>
  </si>
  <si>
    <t>R 2594</t>
  </si>
  <si>
    <t>CN 105266</t>
  </si>
  <si>
    <t>R 2595</t>
  </si>
  <si>
    <t>CN 105267</t>
  </si>
  <si>
    <t>R 2596</t>
  </si>
  <si>
    <t>CN 105268</t>
  </si>
  <si>
    <t>PI 426239</t>
  </si>
  <si>
    <t>CN 105269</t>
  </si>
  <si>
    <t>PI 426325</t>
  </si>
  <si>
    <t>CN 105270</t>
  </si>
  <si>
    <t>PI 426336</t>
  </si>
  <si>
    <t>CN 105271</t>
  </si>
  <si>
    <t>UC 77-341</t>
  </si>
  <si>
    <t>CN 105272</t>
  </si>
  <si>
    <t>PI 426396</t>
  </si>
  <si>
    <t>CN 105273</t>
  </si>
  <si>
    <t>PI 426399</t>
  </si>
  <si>
    <t>CN 105274</t>
  </si>
  <si>
    <t>PI 426251</t>
  </si>
  <si>
    <t>CN 105275</t>
  </si>
  <si>
    <t>PI 426252</t>
  </si>
  <si>
    <t>CN 105276</t>
  </si>
  <si>
    <t>PI 426265</t>
  </si>
  <si>
    <t>CN 105277</t>
  </si>
  <si>
    <t>PI 426299</t>
  </si>
  <si>
    <t>CN 105278</t>
  </si>
  <si>
    <t>PI 426329</t>
  </si>
  <si>
    <t>CN 105279</t>
  </si>
  <si>
    <t>PI 426339</t>
  </si>
  <si>
    <t>CN 105280</t>
  </si>
  <si>
    <t>PI 426344</t>
  </si>
  <si>
    <t>CN 105281</t>
  </si>
  <si>
    <t>PI 426354</t>
  </si>
  <si>
    <t>Species</t>
  </si>
  <si>
    <t>Name</t>
  </si>
  <si>
    <t>Random #</t>
  </si>
  <si>
    <t>Accession</t>
  </si>
  <si>
    <t>Initial Water Mixtures- Nutrients Only</t>
  </si>
  <si>
    <t>Target</t>
  </si>
  <si>
    <t>EC RO</t>
  </si>
  <si>
    <t>Add Mod Hoag</t>
  </si>
  <si>
    <t>CaCl2</t>
  </si>
  <si>
    <t>MgSO4</t>
  </si>
  <si>
    <t>NaSO4</t>
  </si>
  <si>
    <t>NaCl #1</t>
  </si>
  <si>
    <t>NaCl #2</t>
  </si>
  <si>
    <t>dS/m</t>
  </si>
  <si>
    <t>gms</t>
  </si>
  <si>
    <t>DCC Mustard Salinity Tolerance Y1- Tank Mixing</t>
  </si>
  <si>
    <t>Water Change 7 weeks- Salt Additions to Target EC</t>
  </si>
  <si>
    <t>Water Change 3 weeks- Salt Additions to Target EC</t>
  </si>
  <si>
    <t>xx 2024 (Nutrient Only):</t>
  </si>
  <si>
    <t>XX 2024 (Water Change 3 weeks- Salt Additions to Target EC):</t>
  </si>
  <si>
    <t>XX 2024 (4 Weeks- 2nd Salt Additions to Target EC):</t>
  </si>
  <si>
    <t>4 Weeks- 2nd NaCl Additions to Target EC</t>
  </si>
  <si>
    <t>8 Weeks- 2nd NaCl Additions to Target EC</t>
  </si>
  <si>
    <t>XX 2024 (Water Change 7 weeks- Salt Additions to Target EC):</t>
  </si>
  <si>
    <t>XX 2024 (8 Weeks- 2nd Salt Additions to Target EC):</t>
  </si>
  <si>
    <t>Seed 8 seeds per section (tank divided into 6 parts)</t>
  </si>
  <si>
    <t>Seed 4 seeds per pot (tank has 18 pots)</t>
  </si>
  <si>
    <t>-</t>
  </si>
  <si>
    <t>Daily emergence by days from seeding, total % emergence at end</t>
  </si>
  <si>
    <t>Calculate % survival @ 14 days</t>
  </si>
  <si>
    <t>14 days</t>
  </si>
  <si>
    <t>1-7 days</t>
  </si>
  <si>
    <t>15 days</t>
  </si>
  <si>
    <t>WW</t>
  </si>
  <si>
    <t>EW</t>
  </si>
  <si>
    <t>3 plants/slice WW, 1 plant/cone EW</t>
  </si>
  <si>
    <t>* Physical Data #1</t>
  </si>
  <si>
    <t>TJ/SQ = heights, leaf #</t>
  </si>
  <si>
    <t>2 wks salt</t>
  </si>
  <si>
    <t>8-11 Mar</t>
  </si>
  <si>
    <t>* Physical Data #2</t>
  </si>
  <si>
    <t>4 wks salt</t>
  </si>
  <si>
    <t>29 Apr - 2 May</t>
  </si>
  <si>
    <t>* Final Harvest</t>
  </si>
  <si>
    <t>TJ/SB = heights, leaf #, stem &amp; root sample</t>
  </si>
  <si>
    <t>8 wks salt</t>
  </si>
  <si>
    <t>21 - 24 May</t>
  </si>
  <si>
    <t>1. Add nutrients at start of test</t>
  </si>
  <si>
    <t>2. Emergence notes for 7 days</t>
  </si>
  <si>
    <t>4. Cull plants after 15 days</t>
  </si>
  <si>
    <t>3. Survival data @ 14 days</t>
  </si>
  <si>
    <t>5. Water change &amp; salt addition @ 3 wks</t>
  </si>
  <si>
    <t>6. 2nd NaCl addition</t>
  </si>
  <si>
    <t>7. Physical data collection #1</t>
  </si>
  <si>
    <t>8. Water change &amp; salt addition @ 7 wks</t>
  </si>
  <si>
    <t>9. Physical data collection #2</t>
  </si>
  <si>
    <t>10. Final harvest</t>
  </si>
  <si>
    <t>11. Sample processing (pod #, seed weights)</t>
  </si>
  <si>
    <t>Lighting: 5am-9pm day/ 9pm-5am night = 16hr day</t>
  </si>
  <si>
    <t>Temp: 24C day, 18C night</t>
  </si>
  <si>
    <t>Irrigations: start with 6 floods/day, might reduce at end of test</t>
  </si>
  <si>
    <t>WW: 5am, 7am, 9am, 1pm, 5pm, 9pm</t>
  </si>
  <si>
    <t>EW: 6am, 8am, 10am, 2pm, 6pm, 10pm</t>
  </si>
  <si>
    <t>Total of 648 varieties between the two runs.</t>
  </si>
  <si>
    <r>
      <t xml:space="preserve">A subsequent test will be conducted fall 2024 to evaluate 236 more varities of </t>
    </r>
    <r>
      <rPr>
        <i/>
        <sz val="10"/>
        <color theme="1"/>
        <rFont val="Calibri"/>
        <family val="2"/>
        <scheme val="minor"/>
      </rPr>
      <t>B. juncea</t>
    </r>
    <r>
      <rPr>
        <sz val="10"/>
        <color theme="1"/>
        <rFont val="Calibri"/>
        <family val="2"/>
        <scheme val="minor"/>
      </rPr>
      <t xml:space="preserve"> and 88 varieties of </t>
    </r>
    <r>
      <rPr>
        <i/>
        <sz val="10"/>
        <color theme="1"/>
        <rFont val="Calibri"/>
        <family val="2"/>
        <scheme val="minor"/>
      </rPr>
      <t>S. alba</t>
    </r>
    <r>
      <rPr>
        <sz val="10"/>
        <color theme="1"/>
        <rFont val="Calibri"/>
        <family val="2"/>
        <scheme val="minor"/>
      </rPr>
      <t>.</t>
    </r>
  </si>
  <si>
    <t>Estimated Timeline</t>
  </si>
  <si>
    <t>Actual Dates:</t>
  </si>
  <si>
    <t>Date</t>
  </si>
  <si>
    <t>pH</t>
  </si>
  <si>
    <t>mm</t>
  </si>
  <si>
    <t>Salt Level</t>
  </si>
  <si>
    <t>AVG</t>
  </si>
  <si>
    <t>SEM</t>
  </si>
  <si>
    <t xml:space="preserve">Tanks = </t>
  </si>
  <si>
    <t>Whole Test</t>
  </si>
  <si>
    <t>Total (mm)</t>
  </si>
  <si>
    <t>Total (L)</t>
  </si>
  <si>
    <t>Emergence Date</t>
  </si>
  <si>
    <t>Days to Emergence</t>
  </si>
  <si>
    <t>Plant</t>
  </si>
  <si>
    <t>Plant 8 seeds --&gt; Target 3 plants/section</t>
  </si>
  <si>
    <t>Plant 4 Seeds --&gt; Target 1 plant/pot</t>
  </si>
  <si>
    <t>Mustard Type II Salinity Tolerance Tank Mixing - Phase 1 2024</t>
  </si>
  <si>
    <t>EW-Mustard Type II Salinity Tolerance Protocol - Phase 1 2024</t>
  </si>
  <si>
    <t>WW-Mustard Type II Salinity Tolerance Protocol - Phase 1 2024</t>
  </si>
  <si>
    <t>Mustard Type II Salinity Tolerance Notes - Phase 1 2024</t>
  </si>
  <si>
    <t>Mustard Type II Salinity Tolerance Protocol - Phase 1 2024</t>
  </si>
  <si>
    <t>Mustard Type II Salinity Tolerance EC &amp; pH - Phase 1 2024</t>
  </si>
  <si>
    <t>Mustard Type II Salinity Tolerance Water Use - Phase 1 2024</t>
  </si>
  <si>
    <t>Mustard Type II Salinity Tolerance WW Emergence - Phase 1 2024</t>
  </si>
  <si>
    <t>Mustard Type II Salinity Tolerance EW Emergence - Phase 1 2024</t>
  </si>
  <si>
    <t>Mustard Type II Salinity Tolerance EC &amp; pH Graphs - Phase 1 2024</t>
  </si>
  <si>
    <t>Mustard Type II Salinity Tolerance Water Graphs - Phase 1 2024</t>
  </si>
  <si>
    <t>1 - x Mar</t>
  </si>
  <si>
    <t>1-x Mar</t>
  </si>
  <si>
    <t>8-20 Feb</t>
  </si>
  <si>
    <t>Start filling tanks with RO, put rings in tanks and fix sand</t>
  </si>
  <si>
    <t>Run irrigations WW twice &amp; adjust valves- setting up EW</t>
  </si>
  <si>
    <t>Start mixing tanks with nutrients (WW tanks), setting up EW</t>
  </si>
  <si>
    <t>Finish mixing WW nutrients and filling EW pots with sand, start running EW irrigations</t>
  </si>
  <si>
    <t>Seed WW all 54 tanks, set 24C day, 18C night temp and turn on lights 5am-9pm</t>
  </si>
  <si>
    <t>Irrigations set to 6x/day @ 5am, 7am, 9am, 1pm, 5pm, 9pm</t>
  </si>
  <si>
    <t>Topped up EW tanks and mixed nutrients. Ran floods, not all tanks filling. Topped up</t>
  </si>
  <si>
    <t xml:space="preserve">sand in pots and watered with RO in watering can to wet for seeding. </t>
  </si>
  <si>
    <t>Started seeding --&gt; finished</t>
  </si>
  <si>
    <t>Set temp 24C day, 18C night &amp; turn on lights 5am-9pm</t>
  </si>
  <si>
    <t>Irrigations set to 6x/day @ 6am, 8am, 10am, 2pm, 6pm and 10pm</t>
  </si>
  <si>
    <t xml:space="preserve">WW watched 9am floods, everything is flooding, no emergence started yet, some </t>
  </si>
  <si>
    <t>bubbling &amp; erosion in tanks, noted which ones on emerge sheet because can reduce</t>
  </si>
  <si>
    <t>emergence. Plan to bang down rings next flood to even out flooding water.</t>
  </si>
  <si>
    <t>Installed bugscan in EW to monitor for bugs</t>
  </si>
  <si>
    <t>Drop both wings to 20C setpoint b/c outdoor temp today is high, too hot yesterday</t>
  </si>
  <si>
    <t>EW: 8am flood, getting close to full flooding, time &amp; make minor adjustments</t>
  </si>
  <si>
    <t>WW: 9am flood, make minor adjustments to tank rings b/c flooding fr: one side is</t>
  </si>
  <si>
    <t>causing erosion</t>
  </si>
  <si>
    <t xml:space="preserve">WW: remove white sticks on tanks- will use new tomato cage stakes instead of </t>
  </si>
  <si>
    <t xml:space="preserve">support rings b/c mustard leaves break easy --&gt; want to be able to separate by </t>
  </si>
  <si>
    <t>section</t>
  </si>
  <si>
    <t>WW: add sticky traps to random tanks, place near sand but will need to remove as</t>
  </si>
  <si>
    <t>plants get bigger</t>
  </si>
  <si>
    <t>EW flood 8 am timed --&gt; 4 tanks not saturating sand, water w/ RO using watering can</t>
  </si>
  <si>
    <t>&amp; slight adjustments to valves</t>
  </si>
  <si>
    <t>WW: emergence started, floods ok --&gt; made slight adjustments to rings</t>
  </si>
  <si>
    <t>EW: 10am flood timed --&gt; make minor adjustments again. Some tanks holding water</t>
  </si>
  <si>
    <t>will need to adjust but want everything wet over the weekend. One seedling has</t>
  </si>
  <si>
    <t>emerged --&gt; check every morning so 24 hrs between</t>
  </si>
  <si>
    <t>2pm flood EW: All tanks wet except 28, water w/ RO using watering can</t>
  </si>
  <si>
    <t>* Noticed a few bugs on stickies in west wing, need to monitor close</t>
  </si>
  <si>
    <t>9am floods WW OK, temp down ~20C but cold &amp; windy today, got up to temp</t>
  </si>
  <si>
    <t>yesterday.</t>
  </si>
  <si>
    <t>Emergence WW</t>
  </si>
  <si>
    <t>10AM floods EW getting better, still few tanks only 1/2 wet and emergence seems</t>
  </si>
  <si>
    <t>slower or less in these tanks. Make small adjustments to try get them to flood - @ this</t>
  </si>
  <si>
    <t>point would rather hold water to get germination and can continue adjusting next week</t>
  </si>
  <si>
    <t>If get seed wet then dry out = dead</t>
  </si>
  <si>
    <t>1130AM run another flood on EW to check again: only tank 9 didn’t get wet but was</t>
  </si>
  <si>
    <t>wet at 10AM, opened top valve 1/8 will check 2mrw</t>
  </si>
  <si>
    <t>EW 8am flood, only 2 tanks 1/2 wet &amp; germination in all tanks now, watered w/ RO</t>
  </si>
  <si>
    <t>&amp; adjusted very slightly, emergence</t>
  </si>
  <si>
    <t>WW 9 am flood was good, emergence: most varieties have emerged</t>
  </si>
  <si>
    <t>--&gt; cool on west side of WW, only 18C in WW</t>
  </si>
  <si>
    <t>EW 8am flood only tank 9 dry: close bottom drain &amp; water w/tank 57 nutrient water</t>
  </si>
  <si>
    <t>--&gt; do emergence, some varieties still 0% germ, might consider transplanting</t>
  </si>
  <si>
    <t>--&gt; see if same in WW</t>
  </si>
  <si>
    <t>WW 9am flood: noticed cold in NW corner of WW --&gt; germs are way lower here</t>
  </si>
  <si>
    <t>compared to mid lab &amp; east side. Check temp only 15C. Only south boiler working</t>
  </si>
  <si>
    <t>--&gt; engineers ordering new valve b/c the one they put in last week must be faulty</t>
  </si>
  <si>
    <t>Put by-pass steam on &amp; turned on floor fan to get better circulation</t>
  </si>
  <si>
    <t>May get too hot in WW - let them know</t>
  </si>
  <si>
    <t>Floods ok, did emergence</t>
  </si>
  <si>
    <t>10am EW: tank 9 still not flooding and 2 tanks I didn’t adjust. Diff b/w 8am and 10am</t>
  </si>
  <si>
    <t>flood probably still water in some tanks @ 10am --&gt; hand water tank 9</t>
  </si>
  <si>
    <t>8am EW flood - tank 9 had to water by hand, getting 1/2 wet, emergence</t>
  </si>
  <si>
    <t>9am WW flood ok - tank 6 bubbling a lot prob will have poor germ, emergence</t>
  </si>
  <si>
    <t>Two varieties of mustard have &lt;25% germ across test: email Raju --&gt; should we fill</t>
  </si>
  <si>
    <t>these spots?</t>
  </si>
  <si>
    <t>Emergence notes EW @ 8:30, WW @9am</t>
  </si>
  <si>
    <t>Water top ups on all tanks</t>
  </si>
  <si>
    <t>Emergence notes continue on EW + WW</t>
  </si>
  <si>
    <t>More minor adjustments to EW tanks for floods</t>
  </si>
  <si>
    <t>pH + EC readings</t>
  </si>
  <si>
    <t>More small adjustments</t>
  </si>
  <si>
    <t>Tank 29 just barely getting wet sand, more small adjustments</t>
  </si>
  <si>
    <t>Emergence notes EW + WW</t>
  </si>
  <si>
    <t>WW floods good</t>
  </si>
  <si>
    <t>Emergence notes EW</t>
  </si>
  <si>
    <t>Final survival notes WW</t>
  </si>
  <si>
    <t>EW and WW floods good</t>
  </si>
  <si>
    <t>Final surivival notes EW</t>
  </si>
  <si>
    <t>8AM EW flood had to hand water tank 29 + 36</t>
  </si>
  <si>
    <t>9AM WW flood ok</t>
  </si>
  <si>
    <t>10AM EW flood all cones got at least damp, very close to wetting all sand</t>
  </si>
  <si>
    <t>8AM EW flood all tanks except tank 29, very close though</t>
  </si>
  <si>
    <t>EW floods @ 10AM, all sand wet, more small adjustments</t>
  </si>
  <si>
    <t>EW floods @ 8AM, all cones got wet!</t>
  </si>
  <si>
    <t>8AM flood, tank 32 didn’t flood</t>
  </si>
  <si>
    <t>10AM EW flood, all tanks flooded</t>
  </si>
  <si>
    <t>Culled the WW down to 3 plants per section</t>
  </si>
  <si>
    <t>Cull EW down to 1 plant per pot</t>
  </si>
  <si>
    <t>Water top-ups EW + WW</t>
  </si>
  <si>
    <t>56, 57, 58, 59, 60, 61</t>
  </si>
  <si>
    <t>1-50, 52-55</t>
  </si>
  <si>
    <t>Transplanted two seedlings WW --&gt; EW</t>
  </si>
  <si>
    <t>Temperature at 24C in morning</t>
  </si>
  <si>
    <t>EC/pH readings</t>
  </si>
  <si>
    <t>Photos EW</t>
  </si>
  <si>
    <t>Temperature at 29C, drop stepoint to 22C because next few days is below 10C</t>
  </si>
  <si>
    <t>Floods ok</t>
  </si>
  <si>
    <t>WW flooding good, EW tank 33 sand barely getting wet</t>
  </si>
  <si>
    <t>Temperature 29C in afternoon, vents not open because windy</t>
  </si>
  <si>
    <t xml:space="preserve">Height (mm) </t>
  </si>
  <si>
    <t>WEST WING</t>
  </si>
  <si>
    <t>EAST WING</t>
  </si>
  <si>
    <t>Seeded: Feb 26, 2024</t>
  </si>
  <si>
    <t>Seeded: February 27, 2024</t>
  </si>
  <si>
    <t>Day 0=</t>
  </si>
  <si>
    <t>PAK 85679 (moved)</t>
  </si>
  <si>
    <t>Temp ok @ 21C, 8am EW flood, slightly opened EW tank 33 only 1/16 of a turn and</t>
  </si>
  <si>
    <t>closed T14 to compensate --&gt; everything wet. 9am WW flood good.</t>
  </si>
  <si>
    <t>Finish culling WW, tanks 6+7 we were waiting to see if small seedlings survived.</t>
  </si>
  <si>
    <t>WW flood good 9am. Start setting up stakes for support in WW. EW flood good 10am.</t>
  </si>
  <si>
    <t>WW &amp; EW floods good. Drain tanks 46-55, change water &amp; add salts --&gt; removed 7am</t>
  </si>
  <si>
    <t>flood and added 7pm flood for next 7 days of H2O change.</t>
  </si>
  <si>
    <t xml:space="preserve">WW + EW floods good. Drain tanks 36-45, change water + add salts. </t>
  </si>
  <si>
    <t>Forced WW flood at 4pm to get 6 floods per day.</t>
  </si>
  <si>
    <t>Drain tanks 26-35, change water + add salts. Photos. WW + EW floods good.</t>
  </si>
  <si>
    <t>Force WW irrigation at 4pm.</t>
  </si>
  <si>
    <t>Drain tanks 16-25, change water, add salts. WW + EW floods good. WW flood forced @</t>
  </si>
  <si>
    <t>4pm. Water top up on EW - water level in basement tanks right at the elbow.</t>
  </si>
  <si>
    <t>Forced EW flood @ 4:40 to make sure all pump motors were working. Turned off 6pm</t>
  </si>
  <si>
    <t>EW flood. All pumps + floods good.</t>
  </si>
  <si>
    <t>Drain tanks 6-15, change water + add salts. WW + EW floods good. Force WW flood @</t>
  </si>
  <si>
    <t>4pm.</t>
  </si>
  <si>
    <t xml:space="preserve">Drain tanks 1-5, change water + add salts. All WW tanks done water change. </t>
  </si>
  <si>
    <t>EW changed flood times to 4am, 6am, 2pm, 6pm, 10pm to accommodate tomorrow's</t>
  </si>
  <si>
    <t>water change. WW flood times set back to 5am, 7am, 9am, 1pm, 5pm, 9pm</t>
  </si>
  <si>
    <t>Drain tanks 56-61, change water. EW water change complete. WW + EW floods good.</t>
  </si>
  <si>
    <t>EW flood times set back to 6am, 8am, 10am, 2pm, 6pm, 10pm.</t>
  </si>
  <si>
    <t>WW temp 28C before cooling.</t>
  </si>
  <si>
    <t>Took photos of leaf variations. WW @ 32C, lower setpoint to 20C. WW floods good.</t>
  </si>
  <si>
    <t xml:space="preserve">salt stress (WW). </t>
  </si>
  <si>
    <t>EW tank 29 not flooding, minor adjustments. Noticed a few variaties starting to show</t>
  </si>
  <si>
    <t>Water top-up EW tanks, plants using water fast. Top-up every second day or possibly</t>
  </si>
  <si>
    <t xml:space="preserve">every day --&gt; EC still 1.1 dS/m. </t>
  </si>
  <si>
    <t>Topped up EW tanks. Afternoon WW temp 21C. EW 23C --&gt; dropped EW to 20C.</t>
  </si>
  <si>
    <t>EC + pH measurements. Calc 2nd NaCl addition for WW &amp; mix in tanks.</t>
  </si>
  <si>
    <t>Timed 2pm EW flood, everything getting wet.</t>
  </si>
  <si>
    <t xml:space="preserve">                                                                                                                                                                                    </t>
  </si>
  <si>
    <t xml:space="preserve">          </t>
  </si>
  <si>
    <t xml:space="preserve">   Water change + add salts</t>
  </si>
  <si>
    <t xml:space="preserve">   2nd NaCl Addition</t>
  </si>
  <si>
    <t>Mustard Type II Salinity Tolerance WW heights and leaf# - Phase 1 2024</t>
  </si>
  <si>
    <t>Mustard Type II Salinity Tolerance Height &amp; Leaf Stage EW  - Phase 1 2024</t>
  </si>
  <si>
    <t xml:space="preserve"> </t>
  </si>
  <si>
    <t>18-23 Mar</t>
  </si>
  <si>
    <t>West Wing</t>
  </si>
  <si>
    <t>temp reached 28 degrees C in the the afternoon, floods good</t>
  </si>
  <si>
    <t>water top ups for EW &amp; WW</t>
  </si>
  <si>
    <t>floods good, temps good, EC/pH recorded</t>
  </si>
  <si>
    <t>EW top up, floods good. Temps good</t>
  </si>
  <si>
    <t>floods and temps good</t>
  </si>
  <si>
    <t>EW top up, floods and temps good</t>
  </si>
  <si>
    <t>raju and shankar here to take measurements in WW tanks 46-55</t>
  </si>
  <si>
    <t>EW plants growing into lights, tried to tie them back</t>
  </si>
  <si>
    <t>some EW tanks holding water, opened drain valves slightly</t>
  </si>
  <si>
    <t>temps good</t>
  </si>
  <si>
    <t>raju and shankar readings on WW tanks 36-45</t>
  </si>
  <si>
    <t>some pods starting to fill</t>
  </si>
  <si>
    <t>WW top ups, temps good, floods good</t>
  </si>
  <si>
    <t>raju and shankar measurements on tanks 26-35</t>
  </si>
  <si>
    <t>EC/pH readings, temps good, EW tank 17 holding water</t>
  </si>
  <si>
    <t>R&amp;S measurements on tanks 11-25</t>
  </si>
  <si>
    <t xml:space="preserve">R&amp;S measurements on tanks 6-9. </t>
  </si>
  <si>
    <t>machine stopped working so tanks 1-5 + 10 did not get measured</t>
  </si>
  <si>
    <t>cleaned roots out of EW tanks. Likely need to make adjustments to floods</t>
  </si>
  <si>
    <t>EW 8am flood: watching after adjustments to drains</t>
  </si>
  <si>
    <t>tanks 4,6,13,14 not filling. Adjusted drains but some were already basically closed</t>
  </si>
  <si>
    <t>other tanks filling too fast. Continue timing and adjusting</t>
  </si>
  <si>
    <t>WW three lights on NE side out. Probably relay. Flood was good</t>
  </si>
  <si>
    <t>butterfly sighting</t>
  </si>
  <si>
    <t>8 AM EW flood off. Friday 6AM to 9:30 AM let drain, measure, and top up with RO</t>
  </si>
  <si>
    <t>adjusted 7,9,22,23 by closing top valves (flooding faster than 10 min)</t>
  </si>
  <si>
    <t>tank 57 seems very low, tank 4 holding water (drain closed too tightly yesterday)</t>
  </si>
  <si>
    <t>released and remeasure befor top up</t>
  </si>
  <si>
    <t>issues w/ tanks 57+60. adjust intake on those filling fast. 3 tanks are only 1/2 full</t>
  </si>
  <si>
    <t>come back for 6pm</t>
  </si>
  <si>
    <t>6PM EW: Tank 57 missing substantial water even though topped up. Tank 60 missing small amount of water</t>
  </si>
  <si>
    <t>tank 30 holding water, opened valve all the way to drain, bac to 100% closed then 2 rotations open</t>
  </si>
  <si>
    <t>forced flood 6:05PM</t>
  </si>
  <si>
    <t>everything flooding now except tank 30</t>
  </si>
  <si>
    <t>MONDAY: check tanks for holding water from 4 AM flood (changed to see @7:30 if drains)</t>
  </si>
  <si>
    <t>time floods after EW water change</t>
  </si>
  <si>
    <t>if tank 30 not filling, close drain a small bit</t>
  </si>
  <si>
    <t>Another light burnt out WW, south side. Might be ballast</t>
  </si>
  <si>
    <t>Drained EW tanks 56-61, changed water, +nutrients</t>
  </si>
  <si>
    <t>small adjustments needed to EW floods</t>
  </si>
  <si>
    <t>drained WW tanks 52-55 changed water+nutrients+salt</t>
  </si>
  <si>
    <t>Drained WW tanks 41-50, changed water +nutrients +salt</t>
  </si>
  <si>
    <t>noticed thrips on bug scan. Sprayed EW and WW at 5:30 pm w Suffoil-X</t>
  </si>
  <si>
    <t>ordered mites for bio control</t>
  </si>
  <si>
    <t>Drained WW tanks 31-40 canged water +nutrients +salt</t>
  </si>
  <si>
    <t>top up EW tanks, temps good</t>
  </si>
  <si>
    <t>Drained WW 21-30, water change, +nutrients,+salt</t>
  </si>
  <si>
    <t>added crazeemites in greeenhouse, one dish of bedding per bank</t>
  </si>
  <si>
    <t>Drained WW tanks 11-20, water change, +nutrients, +salts</t>
  </si>
  <si>
    <t>EW tank 9 leak from drain valve, tightened drain nut, no longer leaking. Will monitor</t>
  </si>
  <si>
    <t>temps good. EW top up</t>
  </si>
  <si>
    <t>Drain WW tanks 1-10, water change, +nutrients, +salt</t>
  </si>
  <si>
    <t>EW tank 9 leaking overnight. Applied silicone caulk to seal.</t>
  </si>
  <si>
    <t>still thrips in EW</t>
  </si>
  <si>
    <t>temps good, floods good. Added more string to support tops of plants</t>
  </si>
  <si>
    <t>heavy pods are causing stems to bend and break in some areas of EW</t>
  </si>
  <si>
    <t>Apr 15-19</t>
  </si>
  <si>
    <t>After Salt Addition in Week 4</t>
  </si>
  <si>
    <t>Wk 1-3 before salt</t>
  </si>
  <si>
    <t>WW: 2024-02-23 to 2024-02-24                           EW: 2024-02-27</t>
  </si>
  <si>
    <t>WW: 2024-03-18 to 2024-03-23                           EW: 2024-03-24</t>
  </si>
  <si>
    <t>WW: 2024-04-16 to 2024-04-20                           EW: 2024-04-15</t>
  </si>
  <si>
    <t>11 Weeks- 3rd Water Change with Nutrient Additions for EW</t>
  </si>
  <si>
    <t>May 8, 2024 - May 9, 2024</t>
  </si>
  <si>
    <t>April 8, 2024 - April 11, 2024</t>
  </si>
  <si>
    <t>temps good, floods good</t>
  </si>
  <si>
    <t>floods good, temps good</t>
  </si>
  <si>
    <t>EW top up</t>
  </si>
  <si>
    <t>WW top up</t>
  </si>
  <si>
    <t>floods good, temps good.</t>
  </si>
  <si>
    <t>2nd NaCl additions to WW tanks</t>
  </si>
  <si>
    <t>EW top ups</t>
  </si>
  <si>
    <t>floods good</t>
  </si>
  <si>
    <t>temps good floods good</t>
  </si>
  <si>
    <t>floods for tank 57 downstairs are wonky</t>
  </si>
  <si>
    <t xml:space="preserve">temps good </t>
  </si>
  <si>
    <t>adjusted floods for tanks associated with tank 57 - good now</t>
  </si>
  <si>
    <t>Raju and Shankar visiting - 11 tanks analyzed</t>
  </si>
  <si>
    <t>WW boiler heat valve opened due to upcoming low temps</t>
  </si>
  <si>
    <t>in addition to thrips, there are leafminers in both wings (worse in EW) have been there for a while</t>
  </si>
  <si>
    <t>starting to see flea beetles</t>
  </si>
  <si>
    <t>14 tanks physical measurements in ww, + 30 EW tanks</t>
  </si>
  <si>
    <t>WW&amp;EW top ups</t>
  </si>
  <si>
    <t>16 tanks of physical measurements</t>
  </si>
  <si>
    <t>some EW tanks holding water, small adjustments to drains.</t>
  </si>
  <si>
    <t>finished physical measurements on all tanks</t>
  </si>
  <si>
    <t>EC/pH recorded</t>
  </si>
  <si>
    <t>lights turned off in EW&amp;WW as there is sufficient daylight and the plants are growing into the lights</t>
  </si>
  <si>
    <t>Temps good</t>
  </si>
  <si>
    <t>EW tank holding water even with drain valve fully open, cleaned out roots, will need to make minor adjustments</t>
  </si>
  <si>
    <t>WW&amp;EW sprayed with Decis insecticide to help with aphids, leaf miners, thrips, and flea beetles</t>
  </si>
  <si>
    <t>small adjustments to EW tank 4 drain valve, slightly closed.</t>
  </si>
  <si>
    <t>Temps good, floods good</t>
  </si>
  <si>
    <t>EW water change</t>
  </si>
  <si>
    <t>Temps and floods good</t>
  </si>
  <si>
    <t>Photos taken</t>
  </si>
  <si>
    <t>temps and floods good</t>
  </si>
  <si>
    <t>started taking plant heights on WW</t>
  </si>
  <si>
    <t>only on plants that are done flowering, some are starting to shatter</t>
  </si>
  <si>
    <t>we harvested these pods to hopefully minimize seed loss</t>
  </si>
  <si>
    <t>heights taken on WW plants</t>
  </si>
  <si>
    <t>Arctic coolers turned on due to warm (+25) temps upcoming</t>
  </si>
  <si>
    <t>height taken on the 30 selected EW plants</t>
  </si>
  <si>
    <t>insecticide spray (Kontos)</t>
  </si>
  <si>
    <t>fiddled with a couple EW tanks attached to downstairs tank 57 again</t>
  </si>
  <si>
    <t>filling very unevenly</t>
  </si>
  <si>
    <t>drain valves stayed the same, input valves closed slightly on tanks filling too quickly</t>
  </si>
  <si>
    <t>EW timing good except tank 4 - opened top valve SLIGHTLY</t>
  </si>
  <si>
    <t xml:space="preserve">   EW water turned off</t>
  </si>
  <si>
    <t>Mustard Type II Salinity Tolerance WW Harvest - Phase 1 2024</t>
  </si>
  <si>
    <t>Mustard Type II Salinity Tolerance EW Harvest - Phase 1 2024</t>
  </si>
  <si>
    <t xml:space="preserve">   WW water turned off</t>
  </si>
  <si>
    <t>WW Tank 5, Section 2 mustard is shattering. We are harvesting/picking the ones that are shattering or ripe to try preventing loss of seed into the grow tank</t>
  </si>
  <si>
    <t>water top ups</t>
  </si>
  <si>
    <t>EW tank 10 not flooding - closed drain valve a bit</t>
  </si>
  <si>
    <t>Floods good</t>
  </si>
  <si>
    <t>Floods changed to only 2x per day</t>
  </si>
  <si>
    <t>EW = 8AM &amp; 6PM</t>
  </si>
  <si>
    <t>WW = 9AM &amp; 7PM</t>
  </si>
  <si>
    <t>EW floods shut off in preparation for harvest on Thursday</t>
  </si>
  <si>
    <t>WW top ups</t>
  </si>
  <si>
    <t>WW EC/pH readings</t>
  </si>
  <si>
    <t>Started EW Harvest - 12 of 36 tanks are harvested</t>
  </si>
  <si>
    <t>EW Harvest - 32 of 36 tanks are harvested</t>
  </si>
  <si>
    <t>Finished EW harvest</t>
  </si>
  <si>
    <t>Turned off floods for WW tanks 46-55 in preparation for WW harvest on Monday</t>
  </si>
  <si>
    <t>WW floods shut off for tanks 36-45</t>
  </si>
  <si>
    <t>WW floods shut off for tanks 21-35</t>
  </si>
  <si>
    <t>WW harvest for tanks 46-55</t>
  </si>
  <si>
    <t>WW floods shut off for tanks 11-20</t>
  </si>
  <si>
    <t>WW Harvest for tanks 36-45</t>
  </si>
  <si>
    <t>WW floods shut off for tanks 1-10</t>
  </si>
  <si>
    <t>All WW floods now shut off</t>
  </si>
  <si>
    <t>WW harvest for tanks 21-35</t>
  </si>
  <si>
    <t>WW harvest for tanks 11-20</t>
  </si>
  <si>
    <t>WW harvest for tanks 1-10</t>
  </si>
  <si>
    <t>WW harvest completed</t>
  </si>
  <si>
    <t>Test complete</t>
  </si>
  <si>
    <t># of diseased plants</t>
  </si>
  <si>
    <t>DEAD</t>
  </si>
  <si>
    <t>Approximate Shattering Loss (%)</t>
  </si>
  <si>
    <t>Shatter Adjusted Seed wt per pod (g)</t>
  </si>
  <si>
    <t>Samples Counted</t>
  </si>
  <si>
    <t>Samples Remaining</t>
  </si>
  <si>
    <t>Seed weight (g)</t>
  </si>
  <si>
    <t>Seed weight per pod (g)</t>
  </si>
  <si>
    <t>Pod Number</t>
  </si>
  <si>
    <t>Leaf Number</t>
  </si>
  <si>
    <t>Number of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</si>
</sst>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[$-409]d\-mmm\-yy;@"/>
    <numFmt numFmtId="167" formatCode="0.00000"/>
  </numFmts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vertAlign val="superscript"/>
      <sz val="16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Calibri   "/>
    </font>
    <font>
      <b/>
      <sz val="11"/>
      <color theme="1"/>
      <name val="Calibri   "/>
    </font>
    <font>
      <b/>
      <sz val="9"/>
      <color theme="1"/>
      <name val="Calibri   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b/>
      <i/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1" fillId="0" borderId="0"/>
    <xf numFmtId="0" fontId="24" fillId="8" borderId="0" applyNumberFormat="0" applyBorder="0" applyAlignment="0" applyProtection="0"/>
    <xf numFmtId="0" fontId="49" fillId="13" borderId="0" applyNumberFormat="0" applyBorder="0" applyAlignment="0" applyProtection="0"/>
    <xf numFmtId="9" fontId="21" fillId="0" borderId="0" applyFont="0" applyFill="0" applyBorder="0" applyAlignment="0" applyProtection="0"/>
  </cellStyleXfs>
  <cellXfs count="248">
    <xf numFmtId="0" fontId="0" fillId="0" borderId="0" xfId="0"/>
    <xf numFmtId="0" fontId="0" fillId="2" borderId="0" xfId="0" applyFill="1"/>
    <xf numFmtId="0" fontId="0" fillId="3" borderId="0" xfId="0" applyFill="1"/>
    <xf numFmtId="0" fontId="7" fillId="0" borderId="0" xfId="0" applyFont="1"/>
    <xf numFmtId="0" fontId="8" fillId="2" borderId="0" xfId="0" applyFont="1" applyFill="1"/>
    <xf numFmtId="0" fontId="7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0" fillId="2" borderId="0" xfId="0" quotePrefix="1" applyFill="1"/>
    <xf numFmtId="16" fontId="0" fillId="2" borderId="0" xfId="0" applyNumberFormat="1" applyFill="1"/>
    <xf numFmtId="16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1" fillId="3" borderId="0" xfId="0" applyFont="1" applyFill="1"/>
    <xf numFmtId="0" fontId="12" fillId="2" borderId="0" xfId="0" applyFont="1" applyFill="1"/>
    <xf numFmtId="0" fontId="13" fillId="2" borderId="0" xfId="0" applyFont="1" applyFill="1"/>
    <xf numFmtId="0" fontId="5" fillId="2" borderId="0" xfId="0" quotePrefix="1" applyFont="1" applyFill="1"/>
    <xf numFmtId="0" fontId="14" fillId="2" borderId="0" xfId="0" applyFont="1" applyFill="1"/>
    <xf numFmtId="0" fontId="14" fillId="2" borderId="0" xfId="0" quotePrefix="1" applyFont="1" applyFill="1"/>
    <xf numFmtId="0" fontId="16" fillId="2" borderId="0" xfId="0" applyFont="1" applyFill="1"/>
    <xf numFmtId="0" fontId="1" fillId="3" borderId="0" xfId="0" applyFont="1" applyFill="1"/>
    <xf numFmtId="0" fontId="0" fillId="5" borderId="4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3" fillId="0" borderId="0" xfId="0" applyFont="1"/>
    <xf numFmtId="0" fontId="20" fillId="7" borderId="0" xfId="0" applyFont="1" applyFill="1"/>
    <xf numFmtId="0" fontId="0" fillId="0" borderId="10" xfId="0" applyBorder="1"/>
    <xf numFmtId="0" fontId="25" fillId="0" borderId="0" xfId="0" applyFont="1"/>
    <xf numFmtId="0" fontId="26" fillId="0" borderId="0" xfId="0" applyFont="1"/>
    <xf numFmtId="0" fontId="26" fillId="0" borderId="0" xfId="2" applyFont="1" applyFill="1" applyBorder="1"/>
    <xf numFmtId="0" fontId="25" fillId="0" borderId="0" xfId="2" applyFont="1" applyFill="1" applyBorder="1"/>
    <xf numFmtId="0" fontId="22" fillId="2" borderId="0" xfId="1" applyFont="1" applyFill="1" applyAlignment="1">
      <alignment horizontal="left"/>
    </xf>
    <xf numFmtId="0" fontId="21" fillId="2" borderId="0" xfId="1" applyFill="1" applyAlignment="1">
      <alignment horizontal="right"/>
    </xf>
    <xf numFmtId="0" fontId="12" fillId="2" borderId="0" xfId="1" applyFont="1" applyFill="1" applyAlignment="1">
      <alignment horizontal="center"/>
    </xf>
    <xf numFmtId="0" fontId="21" fillId="2" borderId="0" xfId="1" applyFill="1"/>
    <xf numFmtId="0" fontId="21" fillId="2" borderId="0" xfId="1" applyFill="1" applyAlignment="1">
      <alignment horizontal="center"/>
    </xf>
    <xf numFmtId="0" fontId="21" fillId="0" borderId="0" xfId="1"/>
    <xf numFmtId="1" fontId="11" fillId="2" borderId="0" xfId="1" applyNumberFormat="1" applyFont="1" applyFill="1"/>
    <xf numFmtId="0" fontId="21" fillId="9" borderId="0" xfId="1" applyFill="1" applyAlignment="1">
      <alignment horizontal="center"/>
    </xf>
    <xf numFmtId="0" fontId="21" fillId="9" borderId="0" xfId="1" applyFill="1"/>
    <xf numFmtId="0" fontId="1" fillId="5" borderId="11" xfId="1" applyFont="1" applyFill="1" applyBorder="1" applyAlignment="1">
      <alignment horizontal="center" vertical="center"/>
    </xf>
    <xf numFmtId="0" fontId="1" fillId="10" borderId="11" xfId="1" applyFont="1" applyFill="1" applyBorder="1" applyAlignment="1">
      <alignment horizontal="center"/>
    </xf>
    <xf numFmtId="2" fontId="1" fillId="10" borderId="11" xfId="1" applyNumberFormat="1" applyFont="1" applyFill="1" applyBorder="1" applyAlignment="1">
      <alignment horizontal="center"/>
    </xf>
    <xf numFmtId="1" fontId="21" fillId="2" borderId="0" xfId="1" applyNumberFormat="1" applyFill="1" applyAlignment="1">
      <alignment horizontal="center"/>
    </xf>
    <xf numFmtId="1" fontId="1" fillId="10" borderId="11" xfId="1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16" fontId="27" fillId="10" borderId="11" xfId="0" applyNumberFormat="1" applyFont="1" applyFill="1" applyBorder="1" applyAlignment="1">
      <alignment horizontal="center"/>
    </xf>
    <xf numFmtId="16" fontId="1" fillId="10" borderId="11" xfId="1" applyNumberFormat="1" applyFont="1" applyFill="1" applyBorder="1" applyAlignment="1">
      <alignment horizontal="center"/>
    </xf>
    <xf numFmtId="1" fontId="1" fillId="2" borderId="0" xfId="1" applyNumberFormat="1" applyFont="1" applyFill="1" applyAlignment="1">
      <alignment horizontal="center"/>
    </xf>
    <xf numFmtId="16" fontId="27" fillId="0" borderId="11" xfId="0" applyNumberFormat="1" applyFont="1" applyBorder="1" applyAlignment="1">
      <alignment horizontal="center"/>
    </xf>
    <xf numFmtId="16" fontId="1" fillId="0" borderId="11" xfId="1" applyNumberFormat="1" applyFont="1" applyBorder="1" applyAlignment="1">
      <alignment horizontal="center"/>
    </xf>
    <xf numFmtId="1" fontId="1" fillId="0" borderId="11" xfId="1" applyNumberFormat="1" applyFont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165" fontId="21" fillId="0" borderId="14" xfId="1" applyNumberFormat="1" applyBorder="1" applyAlignment="1">
      <alignment horizontal="center"/>
    </xf>
    <xf numFmtId="2" fontId="21" fillId="0" borderId="14" xfId="1" applyNumberFormat="1" applyBorder="1" applyAlignment="1">
      <alignment horizontal="center"/>
    </xf>
    <xf numFmtId="0" fontId="13" fillId="10" borderId="14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0" fillId="2" borderId="0" xfId="1" applyFont="1" applyFill="1" applyAlignment="1">
      <alignment horizontal="right"/>
    </xf>
    <xf numFmtId="0" fontId="28" fillId="2" borderId="0" xfId="1" applyFont="1" applyFill="1"/>
    <xf numFmtId="1" fontId="28" fillId="2" borderId="0" xfId="1" applyNumberFormat="1" applyFont="1" applyFill="1"/>
    <xf numFmtId="16" fontId="1" fillId="2" borderId="0" xfId="1" applyNumberFormat="1" applyFont="1" applyFill="1" applyAlignment="1">
      <alignment horizontal="center"/>
    </xf>
    <xf numFmtId="1" fontId="21" fillId="2" borderId="0" xfId="1" applyNumberFormat="1" applyFill="1" applyAlignment="1">
      <alignment horizontal="right"/>
    </xf>
    <xf numFmtId="1" fontId="21" fillId="2" borderId="0" xfId="1" applyNumberFormat="1" applyFill="1"/>
    <xf numFmtId="1" fontId="21" fillId="0" borderId="0" xfId="1" applyNumberFormat="1"/>
    <xf numFmtId="1" fontId="0" fillId="2" borderId="0" xfId="1" applyNumberFormat="1" applyFont="1" applyFill="1" applyAlignment="1">
      <alignment horizontal="right"/>
    </xf>
    <xf numFmtId="0" fontId="12" fillId="2" borderId="0" xfId="1" applyFont="1" applyFill="1" applyAlignment="1">
      <alignment horizontal="right"/>
    </xf>
    <xf numFmtId="0" fontId="29" fillId="2" borderId="0" xfId="1" applyFont="1" applyFill="1"/>
    <xf numFmtId="0" fontId="23" fillId="2" borderId="0" xfId="1" applyFont="1" applyFill="1"/>
    <xf numFmtId="0" fontId="23" fillId="9" borderId="0" xfId="1" applyFont="1" applyFill="1"/>
    <xf numFmtId="0" fontId="21" fillId="2" borderId="0" xfId="1" quotePrefix="1" applyFill="1"/>
    <xf numFmtId="0" fontId="21" fillId="0" borderId="0" xfId="1" applyAlignment="1">
      <alignment horizontal="center"/>
    </xf>
    <xf numFmtId="0" fontId="1" fillId="2" borderId="0" xfId="1" applyFont="1" applyFill="1" applyAlignment="1">
      <alignment horizontal="center"/>
    </xf>
    <xf numFmtId="165" fontId="21" fillId="2" borderId="0" xfId="1" applyNumberFormat="1" applyFill="1" applyAlignment="1">
      <alignment horizontal="center"/>
    </xf>
    <xf numFmtId="2" fontId="21" fillId="2" borderId="0" xfId="1" applyNumberFormat="1" applyFill="1" applyAlignment="1">
      <alignment horizontal="center"/>
    </xf>
    <xf numFmtId="164" fontId="21" fillId="2" borderId="0" xfId="1" applyNumberFormat="1" applyFill="1" applyAlignment="1">
      <alignment horizontal="center"/>
    </xf>
    <xf numFmtId="16" fontId="27" fillId="0" borderId="16" xfId="0" applyNumberFormat="1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0" fillId="0" borderId="0" xfId="0" applyFont="1"/>
    <xf numFmtId="165" fontId="0" fillId="0" borderId="14" xfId="1" quotePrefix="1" applyNumberFormat="1" applyFont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2" fontId="21" fillId="0" borderId="12" xfId="1" applyNumberFormat="1" applyBorder="1" applyAlignment="1">
      <alignment horizontal="center"/>
    </xf>
    <xf numFmtId="165" fontId="21" fillId="0" borderId="12" xfId="1" applyNumberFormat="1" applyBorder="1" applyAlignment="1">
      <alignment horizontal="center"/>
    </xf>
    <xf numFmtId="0" fontId="0" fillId="0" borderId="0" xfId="0" quotePrefix="1"/>
    <xf numFmtId="0" fontId="31" fillId="0" borderId="0" xfId="0" applyFont="1"/>
    <xf numFmtId="0" fontId="32" fillId="0" borderId="0" xfId="0" applyFont="1"/>
    <xf numFmtId="0" fontId="0" fillId="0" borderId="0" xfId="0" applyAlignment="1">
      <alignment horizontal="center"/>
    </xf>
    <xf numFmtId="0" fontId="33" fillId="0" borderId="0" xfId="0" applyFont="1" applyAlignment="1">
      <alignment horizontal="center"/>
    </xf>
    <xf numFmtId="16" fontId="0" fillId="0" borderId="0" xfId="0" applyNumberFormat="1"/>
    <xf numFmtId="0" fontId="23" fillId="0" borderId="0" xfId="0" applyFont="1" applyAlignment="1">
      <alignment horizontal="left"/>
    </xf>
    <xf numFmtId="0" fontId="1" fillId="0" borderId="0" xfId="0" applyFont="1"/>
    <xf numFmtId="16" fontId="0" fillId="12" borderId="14" xfId="0" applyNumberForma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right"/>
    </xf>
    <xf numFmtId="2" fontId="0" fillId="0" borderId="14" xfId="0" applyNumberFormat="1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9" borderId="0" xfId="0" applyFill="1"/>
    <xf numFmtId="0" fontId="22" fillId="0" borderId="0" xfId="1" applyFont="1" applyAlignment="1">
      <alignment horizontal="left"/>
    </xf>
    <xf numFmtId="0" fontId="36" fillId="0" borderId="0" xfId="0" applyFont="1" applyAlignment="1">
      <alignment horizontal="left"/>
    </xf>
    <xf numFmtId="0" fontId="29" fillId="0" borderId="0" xfId="0" applyFont="1"/>
    <xf numFmtId="0" fontId="1" fillId="0" borderId="0" xfId="0" applyFont="1" applyAlignment="1">
      <alignment horizontal="center"/>
    </xf>
    <xf numFmtId="0" fontId="35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1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9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9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166" fontId="1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12" fillId="0" borderId="0" xfId="0" applyNumberFormat="1" applyFont="1" applyAlignment="1">
      <alignment horizontal="left"/>
    </xf>
    <xf numFmtId="166" fontId="29" fillId="0" borderId="18" xfId="0" applyNumberFormat="1" applyFont="1" applyBorder="1" applyAlignment="1">
      <alignment horizontal="center"/>
    </xf>
    <xf numFmtId="166" fontId="29" fillId="0" borderId="14" xfId="0" applyNumberFormat="1" applyFont="1" applyBorder="1" applyAlignment="1">
      <alignment horizontal="center"/>
    </xf>
    <xf numFmtId="166" fontId="29" fillId="2" borderId="14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29" fillId="0" borderId="14" xfId="0" applyNumberFormat="1" applyFont="1" applyBorder="1" applyAlignment="1">
      <alignment horizontal="center"/>
    </xf>
    <xf numFmtId="1" fontId="0" fillId="9" borderId="0" xfId="0" applyNumberFormat="1" applyFill="1"/>
    <xf numFmtId="0" fontId="0" fillId="0" borderId="17" xfId="0" applyBorder="1"/>
    <xf numFmtId="0" fontId="1" fillId="0" borderId="14" xfId="0" applyFont="1" applyBorder="1"/>
    <xf numFmtId="0" fontId="17" fillId="12" borderId="2" xfId="0" applyFont="1" applyFill="1" applyBorder="1"/>
    <xf numFmtId="0" fontId="17" fillId="12" borderId="6" xfId="0" applyFont="1" applyFill="1" applyBorder="1"/>
    <xf numFmtId="0" fontId="17" fillId="12" borderId="3" xfId="0" applyFont="1" applyFill="1" applyBorder="1"/>
    <xf numFmtId="0" fontId="18" fillId="12" borderId="7" xfId="0" applyFont="1" applyFill="1" applyBorder="1"/>
    <xf numFmtId="0" fontId="19" fillId="12" borderId="0" xfId="0" applyFont="1" applyFill="1" applyAlignment="1">
      <alignment horizontal="center"/>
    </xf>
    <xf numFmtId="0" fontId="19" fillId="12" borderId="0" xfId="0" applyFont="1" applyFill="1"/>
    <xf numFmtId="0" fontId="19" fillId="12" borderId="9" xfId="0" applyFont="1" applyFill="1" applyBorder="1"/>
    <xf numFmtId="0" fontId="17" fillId="12" borderId="4" xfId="0" applyFont="1" applyFill="1" applyBorder="1"/>
    <xf numFmtId="0" fontId="17" fillId="12" borderId="8" xfId="0" applyFont="1" applyFill="1" applyBorder="1"/>
    <xf numFmtId="0" fontId="17" fillId="12" borderId="5" xfId="0" applyFont="1" applyFill="1" applyBorder="1"/>
    <xf numFmtId="0" fontId="44" fillId="0" borderId="0" xfId="0" applyFont="1"/>
    <xf numFmtId="0" fontId="45" fillId="0" borderId="0" xfId="0" applyFont="1" applyAlignment="1">
      <alignment horizontal="center"/>
    </xf>
    <xf numFmtId="0" fontId="46" fillId="0" borderId="0" xfId="0" applyFont="1"/>
    <xf numFmtId="2" fontId="0" fillId="0" borderId="14" xfId="0" quotePrefix="1" applyNumberFormat="1" applyBorder="1" applyAlignment="1">
      <alignment horizontal="center"/>
    </xf>
    <xf numFmtId="1" fontId="0" fillId="0" borderId="14" xfId="0" applyNumberFormat="1" applyBorder="1"/>
    <xf numFmtId="0" fontId="29" fillId="0" borderId="14" xfId="0" applyFont="1" applyBorder="1"/>
    <xf numFmtId="0" fontId="38" fillId="0" borderId="0" xfId="0" applyFont="1" applyAlignment="1">
      <alignment horizontal="left"/>
    </xf>
    <xf numFmtId="16" fontId="38" fillId="0" borderId="0" xfId="0" applyNumberFormat="1" applyFont="1" applyAlignment="1">
      <alignment horizontal="left"/>
    </xf>
    <xf numFmtId="0" fontId="0" fillId="0" borderId="19" xfId="0" applyBorder="1"/>
    <xf numFmtId="0" fontId="1" fillId="0" borderId="14" xfId="0" applyFont="1" applyBorder="1" applyAlignment="1">
      <alignment horizontal="center"/>
    </xf>
    <xf numFmtId="16" fontId="0" fillId="0" borderId="14" xfId="0" applyNumberFormat="1" applyBorder="1"/>
    <xf numFmtId="0" fontId="21" fillId="0" borderId="0" xfId="0" applyFont="1"/>
    <xf numFmtId="0" fontId="21" fillId="0" borderId="10" xfId="0" applyFont="1" applyBorder="1"/>
    <xf numFmtId="0" fontId="21" fillId="0" borderId="0" xfId="0" quotePrefix="1" applyFont="1"/>
    <xf numFmtId="0" fontId="48" fillId="0" borderId="0" xfId="0" applyFont="1"/>
    <xf numFmtId="2" fontId="12" fillId="0" borderId="0" xfId="0" applyNumberFormat="1" applyFont="1" applyAlignment="1">
      <alignment horizontal="center"/>
    </xf>
    <xf numFmtId="0" fontId="49" fillId="13" borderId="14" xfId="3" applyBorder="1"/>
    <xf numFmtId="1" fontId="49" fillId="13" borderId="14" xfId="3" applyNumberFormat="1" applyBorder="1"/>
    <xf numFmtId="0" fontId="0" fillId="0" borderId="14" xfId="2" applyFont="1" applyFill="1" applyBorder="1"/>
    <xf numFmtId="0" fontId="0" fillId="0" borderId="12" xfId="0" applyBorder="1"/>
    <xf numFmtId="16" fontId="0" fillId="0" borderId="19" xfId="0" applyNumberFormat="1" applyBorder="1"/>
    <xf numFmtId="16" fontId="0" fillId="0" borderId="12" xfId="0" applyNumberFormat="1" applyBorder="1"/>
    <xf numFmtId="0" fontId="25" fillId="0" borderId="14" xfId="2" applyFont="1" applyFill="1" applyBorder="1"/>
    <xf numFmtId="0" fontId="0" fillId="0" borderId="18" xfId="0" applyBorder="1"/>
    <xf numFmtId="1" fontId="0" fillId="0" borderId="20" xfId="0" applyNumberFormat="1" applyBorder="1"/>
    <xf numFmtId="0" fontId="13" fillId="2" borderId="0" xfId="1" applyFont="1" applyFill="1" applyAlignment="1">
      <alignment horizontal="left"/>
    </xf>
    <xf numFmtId="165" fontId="0" fillId="9" borderId="0" xfId="0" applyNumberFormat="1" applyFill="1"/>
    <xf numFmtId="2" fontId="49" fillId="13" borderId="14" xfId="3" applyNumberFormat="1" applyBorder="1" applyAlignment="1">
      <alignment horizontal="center"/>
    </xf>
    <xf numFmtId="16" fontId="0" fillId="12" borderId="14" xfId="0" quotePrefix="1" applyNumberFormat="1" applyFill="1" applyBorder="1" applyAlignment="1">
      <alignment horizontal="center"/>
    </xf>
    <xf numFmtId="1" fontId="0" fillId="0" borderId="0" xfId="0" applyNumberFormat="1"/>
    <xf numFmtId="0" fontId="1" fillId="12" borderId="0" xfId="0" applyFont="1" applyFill="1" applyAlignment="1">
      <alignment horizontal="center"/>
    </xf>
    <xf numFmtId="16" fontId="0" fillId="12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16" fontId="0" fillId="0" borderId="0" xfId="0" applyNumberFormat="1" applyAlignment="1">
      <alignment horizontal="center"/>
    </xf>
    <xf numFmtId="0" fontId="39" fillId="0" borderId="0" xfId="0" applyFont="1" applyAlignment="1">
      <alignment horizontal="center"/>
    </xf>
    <xf numFmtId="2" fontId="0" fillId="9" borderId="0" xfId="0" applyNumberFormat="1" applyFill="1" applyAlignment="1">
      <alignment horizontal="center"/>
    </xf>
    <xf numFmtId="15" fontId="21" fillId="0" borderId="0" xfId="1" applyNumberFormat="1"/>
    <xf numFmtId="2" fontId="0" fillId="0" borderId="13" xfId="1" applyNumberFormat="1" applyFont="1" applyBorder="1" applyAlignment="1">
      <alignment horizontal="center"/>
    </xf>
    <xf numFmtId="2" fontId="21" fillId="0" borderId="15" xfId="1" applyNumberFormat="1" applyBorder="1" applyAlignment="1">
      <alignment horizontal="center"/>
    </xf>
    <xf numFmtId="2" fontId="0" fillId="0" borderId="14" xfId="1" applyNumberFormat="1" applyFont="1" applyBorder="1" applyAlignment="1">
      <alignment horizontal="center"/>
    </xf>
    <xf numFmtId="2" fontId="21" fillId="0" borderId="13" xfId="1" applyNumberFormat="1" applyBorder="1" applyAlignment="1">
      <alignment horizontal="center"/>
    </xf>
    <xf numFmtId="2" fontId="0" fillId="0" borderId="14" xfId="1" quotePrefix="1" applyNumberFormat="1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0" fillId="0" borderId="15" xfId="0" applyBorder="1"/>
    <xf numFmtId="0" fontId="0" fillId="0" borderId="20" xfId="0" applyBorder="1"/>
    <xf numFmtId="0" fontId="1" fillId="0" borderId="15" xfId="0" applyFont="1" applyBorder="1" applyAlignment="1">
      <alignment horizontal="center"/>
    </xf>
    <xf numFmtId="0" fontId="0" fillId="0" borderId="22" xfId="0" applyBorder="1"/>
    <xf numFmtId="0" fontId="0" fillId="0" borderId="13" xfId="0" applyBorder="1"/>
    <xf numFmtId="0" fontId="0" fillId="0" borderId="21" xfId="0" applyBorder="1"/>
    <xf numFmtId="0" fontId="0" fillId="5" borderId="14" xfId="0" applyFill="1" applyBorder="1"/>
    <xf numFmtId="2" fontId="0" fillId="5" borderId="14" xfId="0" applyNumberFormat="1" applyFill="1" applyBorder="1"/>
    <xf numFmtId="167" fontId="0" fillId="0" borderId="14" xfId="0" applyNumberFormat="1" applyBorder="1"/>
    <xf numFmtId="167" fontId="0" fillId="5" borderId="14" xfId="0" applyNumberFormat="1" applyFill="1" applyBorder="1"/>
    <xf numFmtId="0" fontId="0" fillId="14" borderId="14" xfId="0" applyFill="1" applyBorder="1"/>
    <xf numFmtId="2" fontId="0" fillId="14" borderId="14" xfId="0" applyNumberFormat="1" applyFill="1" applyBorder="1"/>
    <xf numFmtId="167" fontId="0" fillId="14" borderId="14" xfId="0" applyNumberFormat="1" applyFill="1" applyBorder="1"/>
    <xf numFmtId="0" fontId="0" fillId="15" borderId="14" xfId="0" applyFill="1" applyBorder="1"/>
    <xf numFmtId="2" fontId="0" fillId="15" borderId="14" xfId="0" applyNumberFormat="1" applyFill="1" applyBorder="1"/>
    <xf numFmtId="167" fontId="0" fillId="15" borderId="14" xfId="0" applyNumberFormat="1" applyFill="1" applyBorder="1"/>
    <xf numFmtId="9" fontId="0" fillId="0" borderId="14" xfId="4" applyFont="1" applyBorder="1"/>
    <xf numFmtId="9" fontId="0" fillId="5" borderId="14" xfId="4" applyFont="1" applyFill="1" applyBorder="1"/>
    <xf numFmtId="167" fontId="0" fillId="0" borderId="14" xfId="4" applyNumberFormat="1" applyFont="1" applyBorder="1"/>
    <xf numFmtId="167" fontId="0" fillId="5" borderId="14" xfId="4" applyNumberFormat="1" applyFont="1" applyFill="1" applyBorder="1"/>
    <xf numFmtId="0" fontId="0" fillId="2" borderId="14" xfId="0" applyFill="1" applyBorder="1"/>
    <xf numFmtId="0" fontId="40" fillId="2" borderId="0" xfId="1" applyFont="1" applyFill="1" applyAlignment="1">
      <alignment horizontal="left"/>
    </xf>
    <xf numFmtId="0" fontId="41" fillId="0" borderId="0" xfId="0" applyFont="1"/>
    <xf numFmtId="0" fontId="0" fillId="0" borderId="0" xfId="0" applyAlignment="1">
      <alignment horizontal="center"/>
    </xf>
    <xf numFmtId="0" fontId="22" fillId="2" borderId="0" xfId="1" applyFont="1" applyFill="1" applyAlignment="1">
      <alignment horizontal="left"/>
    </xf>
    <xf numFmtId="0" fontId="0" fillId="0" borderId="0" xfId="0"/>
    <xf numFmtId="0" fontId="4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3" fillId="2" borderId="0" xfId="0" applyFont="1" applyFill="1"/>
    <xf numFmtId="0" fontId="43" fillId="0" borderId="0" xfId="0" applyFont="1"/>
    <xf numFmtId="0" fontId="1" fillId="10" borderId="11" xfId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1" fillId="9" borderId="8" xfId="1" applyNumberFormat="1" applyFont="1" applyFill="1" applyBorder="1" applyAlignment="1">
      <alignment horizontal="center"/>
    </xf>
    <xf numFmtId="1" fontId="11" fillId="9" borderId="8" xfId="1" quotePrefix="1" applyNumberFormat="1" applyFont="1" applyFill="1" applyBorder="1" applyAlignment="1">
      <alignment horizontal="center" wrapText="1"/>
    </xf>
    <xf numFmtId="16" fontId="0" fillId="12" borderId="14" xfId="0" applyNumberForma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right" vertical="center"/>
    </xf>
    <xf numFmtId="0" fontId="1" fillId="12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5" fontId="1" fillId="0" borderId="15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9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0" fillId="0" borderId="14" xfId="0" applyBorder="1"/>
  </cellXfs>
  <cellStyles count="5">
    <cellStyle name="Bad" xfId="3" builtinId="27"/>
    <cellStyle name="Good" xfId="2" builtinId="26"/>
    <cellStyle name="Normal" xfId="0" builtinId="0"/>
    <cellStyle name="Normal 4 2" xfId="1" xr:uid="{4041B2A2-22F7-4404-B444-2A93C4242031}"/>
    <cellStyle name="Percent" xfId="4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EC-</a:t>
            </a:r>
            <a:r>
              <a:rPr lang="en-US" baseline="0">
                <a:solidFill>
                  <a:sysClr val="windowText" lastClr="000000"/>
                </a:solidFill>
              </a:rPr>
              <a:t> </a:t>
            </a:r>
            <a:r>
              <a:rPr lang="en-US">
                <a:solidFill>
                  <a:sysClr val="windowText" lastClr="000000"/>
                </a:solidFill>
              </a:rPr>
              <a:t>Control (1.1</a:t>
            </a:r>
            <a:r>
              <a:rPr lang="en-US" baseline="0">
                <a:solidFill>
                  <a:sysClr val="windowText" lastClr="000000"/>
                </a:solidFill>
              </a:rPr>
              <a:t> dS/m</a:t>
            </a:r>
            <a:r>
              <a:rPr lang="en-US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0"/>
          <c:order val="0"/>
          <c:tx>
            <c:v>T56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Graphs'!$C$59:$S$59</c:f>
              <c:numCache>
                <c:formatCode>General</c:formatCode>
                <c:ptCount val="17"/>
                <c:pt idx="0">
                  <c:v>1.1100000000000001</c:v>
                </c:pt>
                <c:pt idx="1">
                  <c:v>1.06</c:v>
                </c:pt>
                <c:pt idx="2" formatCode="0.00">
                  <c:v>1.17</c:v>
                </c:pt>
                <c:pt idx="3" formatCode="0.00">
                  <c:v>0.93300000000000005</c:v>
                </c:pt>
                <c:pt idx="4" formatCode="0.00">
                  <c:v>0.9</c:v>
                </c:pt>
                <c:pt idx="5" formatCode="0.00">
                  <c:v>0.52</c:v>
                </c:pt>
                <c:pt idx="6" formatCode="0.00">
                  <c:v>0.45</c:v>
                </c:pt>
                <c:pt idx="7" formatCode="0.00">
                  <c:v>0.57999999999999996</c:v>
                </c:pt>
                <c:pt idx="8" formatCode="0.00">
                  <c:v>0.37</c:v>
                </c:pt>
                <c:pt idx="9" formatCode="0.00">
                  <c:v>0.96</c:v>
                </c:pt>
                <c:pt idx="10" formatCode="0.00">
                  <c:v>0.88</c:v>
                </c:pt>
                <c:pt idx="15" formatCode="0.00">
                  <c:v>1.085</c:v>
                </c:pt>
                <c:pt idx="16" formatCode="0.000">
                  <c:v>2.5000000000000022E-2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B-4A5D-8880-100984A3D0A7}"/>
            </c:ext>
          </c:extLst>
        </c:ser>
        <c:ser>
          <c:idx val="1"/>
          <c:order val="1"/>
          <c:tx>
            <c:v>T57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Graphs'!$C$60:$S$60</c:f>
              <c:numCache>
                <c:formatCode>General</c:formatCode>
                <c:ptCount val="17"/>
                <c:pt idx="0">
                  <c:v>1.1499999999999999</c:v>
                </c:pt>
                <c:pt idx="1">
                  <c:v>1.1000000000000001</c:v>
                </c:pt>
                <c:pt idx="2" formatCode="0.00">
                  <c:v>1.21</c:v>
                </c:pt>
                <c:pt idx="3" formatCode="0.00">
                  <c:v>0.98</c:v>
                </c:pt>
                <c:pt idx="4" formatCode="0.00">
                  <c:v>0.97</c:v>
                </c:pt>
                <c:pt idx="5" formatCode="0.00">
                  <c:v>0.62</c:v>
                </c:pt>
                <c:pt idx="6" formatCode="0.00">
                  <c:v>0.46</c:v>
                </c:pt>
                <c:pt idx="7" formatCode="0.00">
                  <c:v>0.74</c:v>
                </c:pt>
                <c:pt idx="8" formatCode="0.00">
                  <c:v>0.54</c:v>
                </c:pt>
                <c:pt idx="9" formatCode="0.00">
                  <c:v>1.08</c:v>
                </c:pt>
                <c:pt idx="10" formatCode="0.00">
                  <c:v>0.97</c:v>
                </c:pt>
                <c:pt idx="15" formatCode="0.00">
                  <c:v>1.125</c:v>
                </c:pt>
                <c:pt idx="16" formatCode="0.000">
                  <c:v>2.4999999999999911E-2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DB-4A5D-8880-100984A3D0A7}"/>
            </c:ext>
          </c:extLst>
        </c:ser>
        <c:ser>
          <c:idx val="2"/>
          <c:order val="2"/>
          <c:tx>
            <c:v>T58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Graphs'!$C$61:$S$61</c:f>
              <c:numCache>
                <c:formatCode>General</c:formatCode>
                <c:ptCount val="17"/>
                <c:pt idx="0">
                  <c:v>1.0900000000000001</c:v>
                </c:pt>
                <c:pt idx="1">
                  <c:v>1.06</c:v>
                </c:pt>
                <c:pt idx="2" formatCode="0.00">
                  <c:v>1.1599999999999999</c:v>
                </c:pt>
                <c:pt idx="3" formatCode="0.00">
                  <c:v>0.9</c:v>
                </c:pt>
                <c:pt idx="4" formatCode="0.00">
                  <c:v>0.88</c:v>
                </c:pt>
                <c:pt idx="5" formatCode="0.00">
                  <c:v>0.53</c:v>
                </c:pt>
                <c:pt idx="6" formatCode="0.00">
                  <c:v>0.38</c:v>
                </c:pt>
                <c:pt idx="7" formatCode="0.00">
                  <c:v>0.65</c:v>
                </c:pt>
                <c:pt idx="8" formatCode="0.00">
                  <c:v>0.44</c:v>
                </c:pt>
                <c:pt idx="9" formatCode="0.00">
                  <c:v>1</c:v>
                </c:pt>
                <c:pt idx="10" formatCode="0.00">
                  <c:v>0.89</c:v>
                </c:pt>
                <c:pt idx="15" formatCode="0.00">
                  <c:v>1.0750000000000002</c:v>
                </c:pt>
                <c:pt idx="16" formatCode="0.000">
                  <c:v>1.5000000000000012E-2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DB-4A5D-8880-100984A3D0A7}"/>
            </c:ext>
          </c:extLst>
        </c:ser>
        <c:ser>
          <c:idx val="3"/>
          <c:order val="3"/>
          <c:tx>
            <c:v>T59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Graphs'!$C$62:$S$62</c:f>
              <c:numCache>
                <c:formatCode>General</c:formatCode>
                <c:ptCount val="17"/>
                <c:pt idx="0">
                  <c:v>1.1200000000000001</c:v>
                </c:pt>
                <c:pt idx="1">
                  <c:v>1.07</c:v>
                </c:pt>
                <c:pt idx="2" formatCode="0.00">
                  <c:v>1.1599999999999999</c:v>
                </c:pt>
                <c:pt idx="3" formatCode="0.00">
                  <c:v>0.93</c:v>
                </c:pt>
                <c:pt idx="4" formatCode="0.00">
                  <c:v>0.92</c:v>
                </c:pt>
                <c:pt idx="5" formatCode="0.00">
                  <c:v>0.55000000000000004</c:v>
                </c:pt>
                <c:pt idx="6" formatCode="0.00">
                  <c:v>0.38</c:v>
                </c:pt>
                <c:pt idx="7" formatCode="0.00">
                  <c:v>0.66</c:v>
                </c:pt>
                <c:pt idx="8" formatCode="0.00">
                  <c:v>0.47</c:v>
                </c:pt>
                <c:pt idx="9" formatCode="0.00">
                  <c:v>0.99</c:v>
                </c:pt>
                <c:pt idx="10" formatCode="0.00">
                  <c:v>0.88</c:v>
                </c:pt>
                <c:pt idx="15" formatCode="0.00">
                  <c:v>1.0950000000000002</c:v>
                </c:pt>
                <c:pt idx="16" formatCode="0.000">
                  <c:v>2.5000000000000022E-2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DB-4A5D-8880-100984A3D0A7}"/>
            </c:ext>
          </c:extLst>
        </c:ser>
        <c:ser>
          <c:idx val="4"/>
          <c:order val="4"/>
          <c:tx>
            <c:v>T60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Graphs'!$C$63:$S$63</c:f>
              <c:numCache>
                <c:formatCode>General</c:formatCode>
                <c:ptCount val="17"/>
                <c:pt idx="0">
                  <c:v>1.0900000000000001</c:v>
                </c:pt>
                <c:pt idx="1">
                  <c:v>1.06</c:v>
                </c:pt>
                <c:pt idx="2" formatCode="0.00">
                  <c:v>1.18</c:v>
                </c:pt>
                <c:pt idx="3" formatCode="0.00">
                  <c:v>0.93</c:v>
                </c:pt>
                <c:pt idx="4" formatCode="0.00">
                  <c:v>0.9</c:v>
                </c:pt>
                <c:pt idx="5" formatCode="0.00">
                  <c:v>0.54</c:v>
                </c:pt>
                <c:pt idx="6" formatCode="0.00">
                  <c:v>0.37</c:v>
                </c:pt>
                <c:pt idx="7" formatCode="0.00">
                  <c:v>0.66</c:v>
                </c:pt>
                <c:pt idx="8" formatCode="0.00">
                  <c:v>0.46</c:v>
                </c:pt>
                <c:pt idx="9" formatCode="0.00">
                  <c:v>0.99</c:v>
                </c:pt>
                <c:pt idx="10" formatCode="0.00">
                  <c:v>0.86</c:v>
                </c:pt>
                <c:pt idx="15" formatCode="0.00">
                  <c:v>1.0750000000000002</c:v>
                </c:pt>
                <c:pt idx="16" formatCode="0.000">
                  <c:v>1.5000000000000012E-2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DB-4A5D-8880-100984A3D0A7}"/>
            </c:ext>
          </c:extLst>
        </c:ser>
        <c:ser>
          <c:idx val="5"/>
          <c:order val="5"/>
          <c:tx>
            <c:v>T61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Graphs'!$C$64:$S$64</c:f>
              <c:numCache>
                <c:formatCode>General</c:formatCode>
                <c:ptCount val="17"/>
                <c:pt idx="0">
                  <c:v>1.1000000000000001</c:v>
                </c:pt>
                <c:pt idx="1">
                  <c:v>1.05</c:v>
                </c:pt>
                <c:pt idx="2" formatCode="0.00">
                  <c:v>1.18</c:v>
                </c:pt>
                <c:pt idx="3" formatCode="0.00">
                  <c:v>0.92</c:v>
                </c:pt>
                <c:pt idx="4" formatCode="0.00">
                  <c:v>0.89</c:v>
                </c:pt>
                <c:pt idx="5" formatCode="0.00">
                  <c:v>0.53</c:v>
                </c:pt>
                <c:pt idx="6" formatCode="0.00">
                  <c:v>0.36</c:v>
                </c:pt>
                <c:pt idx="7" formatCode="0.00">
                  <c:v>0.69</c:v>
                </c:pt>
                <c:pt idx="8" formatCode="0.00">
                  <c:v>0.48</c:v>
                </c:pt>
                <c:pt idx="9" formatCode="0.00">
                  <c:v>0.99</c:v>
                </c:pt>
                <c:pt idx="10" formatCode="0.00">
                  <c:v>0.85</c:v>
                </c:pt>
                <c:pt idx="15" formatCode="0.00">
                  <c:v>1.0750000000000002</c:v>
                </c:pt>
                <c:pt idx="16" formatCode="0.000">
                  <c:v>2.5000000000000022E-2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DB-4A5D-8880-100984A3D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dateAx>
        <c:axId val="7123586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Offset val="100"/>
        <c:baseTimeUnit val="days"/>
      </c:dateAx>
      <c:valAx>
        <c:axId val="71236391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EC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 (dS/m)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EC- Moderate Salinity (12</a:t>
            </a:r>
            <a:r>
              <a:rPr lang="en-US" baseline="0">
                <a:solidFill>
                  <a:sysClr val="windowText" lastClr="000000"/>
                </a:solidFill>
              </a:rPr>
              <a:t> dS/m</a:t>
            </a:r>
            <a:r>
              <a:rPr lang="en-US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Graphs'!$C$5:$P$5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1.1000000000000001</c:v>
                </c:pt>
                <c:pt idx="2" formatCode="0.00">
                  <c:v>11.91</c:v>
                </c:pt>
                <c:pt idx="3" formatCode="0.00">
                  <c:v>10.99</c:v>
                </c:pt>
                <c:pt idx="4" formatCode="0.00">
                  <c:v>11.92</c:v>
                </c:pt>
                <c:pt idx="5" formatCode="0.00">
                  <c:v>12.02</c:v>
                </c:pt>
                <c:pt idx="6" formatCode="0.00">
                  <c:v>11.97</c:v>
                </c:pt>
                <c:pt idx="7" formatCode="0.00">
                  <c:v>11.67</c:v>
                </c:pt>
                <c:pt idx="8" formatCode="0.00">
                  <c:v>12.15</c:v>
                </c:pt>
                <c:pt idx="9" formatCode="0.00">
                  <c:v>11.91</c:v>
                </c:pt>
                <c:pt idx="10" formatCode="0.00">
                  <c:v>11.72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B-4DA1-B6BF-1A3D0A7611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Graphs'!$C$6:$P$6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11.87</c:v>
                </c:pt>
                <c:pt idx="3" formatCode="0.00">
                  <c:v>11.05</c:v>
                </c:pt>
                <c:pt idx="4" formatCode="0.00">
                  <c:v>12</c:v>
                </c:pt>
                <c:pt idx="5" formatCode="0.00">
                  <c:v>12.2</c:v>
                </c:pt>
                <c:pt idx="6" formatCode="0.00">
                  <c:v>12.13</c:v>
                </c:pt>
                <c:pt idx="7" formatCode="0.00">
                  <c:v>11.95</c:v>
                </c:pt>
                <c:pt idx="8" formatCode="0.00">
                  <c:v>12.06</c:v>
                </c:pt>
                <c:pt idx="9">
                  <c:v>11.94</c:v>
                </c:pt>
                <c:pt idx="10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B-4DA1-B6BF-1A3D0A76118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Graphs'!$C$7:$P$7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1.1000000000000001</c:v>
                </c:pt>
                <c:pt idx="2" formatCode="0.00">
                  <c:v>11.86</c:v>
                </c:pt>
                <c:pt idx="3" formatCode="0.00">
                  <c:v>11.03</c:v>
                </c:pt>
                <c:pt idx="4" formatCode="0.00">
                  <c:v>12.16</c:v>
                </c:pt>
                <c:pt idx="5" formatCode="0.00">
                  <c:v>12.15</c:v>
                </c:pt>
                <c:pt idx="6" formatCode="0.00">
                  <c:v>12.08</c:v>
                </c:pt>
                <c:pt idx="7" formatCode="0.00">
                  <c:v>12</c:v>
                </c:pt>
                <c:pt idx="8" formatCode="0.00">
                  <c:v>12.01</c:v>
                </c:pt>
                <c:pt idx="9" formatCode="0.00">
                  <c:v>11.9</c:v>
                </c:pt>
                <c:pt idx="10">
                  <c:v>11.82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B-4DA1-B6BF-1A3D0A76118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Graphs'!$C$8:$P$8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11.93</c:v>
                </c:pt>
                <c:pt idx="3" formatCode="0.00">
                  <c:v>11.06</c:v>
                </c:pt>
                <c:pt idx="4" formatCode="0.00">
                  <c:v>12.14</c:v>
                </c:pt>
                <c:pt idx="5" formatCode="0.00">
                  <c:v>12.12</c:v>
                </c:pt>
                <c:pt idx="6" formatCode="0.00">
                  <c:v>12.08</c:v>
                </c:pt>
                <c:pt idx="7" formatCode="0.00">
                  <c:v>12.24</c:v>
                </c:pt>
                <c:pt idx="8" formatCode="0.00">
                  <c:v>12.23</c:v>
                </c:pt>
                <c:pt idx="9">
                  <c:v>12.21</c:v>
                </c:pt>
                <c:pt idx="10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4B-4DA1-B6BF-1A3D0A76118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Graphs'!$C$9:$P$9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11.96</c:v>
                </c:pt>
                <c:pt idx="3" formatCode="0.00">
                  <c:v>11.44</c:v>
                </c:pt>
                <c:pt idx="4" formatCode="0.00">
                  <c:v>11.97</c:v>
                </c:pt>
                <c:pt idx="5" formatCode="0.00">
                  <c:v>11.8</c:v>
                </c:pt>
                <c:pt idx="6" formatCode="0.00">
                  <c:v>11.83</c:v>
                </c:pt>
                <c:pt idx="7" formatCode="0.00">
                  <c:v>12.16</c:v>
                </c:pt>
                <c:pt idx="8" formatCode="0.00">
                  <c:v>11.98</c:v>
                </c:pt>
                <c:pt idx="9" formatCode="0.00">
                  <c:v>11.9</c:v>
                </c:pt>
                <c:pt idx="10">
                  <c:v>11.89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4B-4DA1-B6BF-1A3D0A76118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Graphs'!$C$10:$P$10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1.1100000000000001</c:v>
                </c:pt>
                <c:pt idx="2" formatCode="0.00">
                  <c:v>11.95</c:v>
                </c:pt>
                <c:pt idx="3" formatCode="0.00">
                  <c:v>10.98</c:v>
                </c:pt>
                <c:pt idx="4" formatCode="0.00">
                  <c:v>11.93</c:v>
                </c:pt>
                <c:pt idx="5" formatCode="0.00">
                  <c:v>12.04</c:v>
                </c:pt>
                <c:pt idx="6" formatCode="0.00">
                  <c:v>11.68</c:v>
                </c:pt>
                <c:pt idx="7" formatCode="0.00">
                  <c:v>12.09</c:v>
                </c:pt>
                <c:pt idx="8" formatCode="0.00">
                  <c:v>12.16</c:v>
                </c:pt>
                <c:pt idx="9">
                  <c:v>11.97</c:v>
                </c:pt>
                <c:pt idx="10">
                  <c:v>11.91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4B-4DA1-B6BF-1A3D0A761182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Graphs'!$C$11:$P$11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1.1299999999999999</c:v>
                </c:pt>
                <c:pt idx="2" formatCode="0.00">
                  <c:v>12.05</c:v>
                </c:pt>
                <c:pt idx="3" formatCode="0.00">
                  <c:v>11.03</c:v>
                </c:pt>
                <c:pt idx="4" formatCode="0.00">
                  <c:v>12.05</c:v>
                </c:pt>
                <c:pt idx="5" formatCode="0.00">
                  <c:v>12.15</c:v>
                </c:pt>
                <c:pt idx="6" formatCode="0.00">
                  <c:v>12.11</c:v>
                </c:pt>
                <c:pt idx="7" formatCode="0.00">
                  <c:v>11.93</c:v>
                </c:pt>
                <c:pt idx="8" formatCode="0.00">
                  <c:v>12.05</c:v>
                </c:pt>
                <c:pt idx="9">
                  <c:v>11.95</c:v>
                </c:pt>
                <c:pt idx="10" formatCode="0.00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4B-4DA1-B6BF-1A3D0A76118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Graphs'!$C$12:$P$12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1.0900000000000001</c:v>
                </c:pt>
                <c:pt idx="2" formatCode="0.00">
                  <c:v>11.94</c:v>
                </c:pt>
                <c:pt idx="3" formatCode="0.00">
                  <c:v>10.96</c:v>
                </c:pt>
                <c:pt idx="4" formatCode="0.00">
                  <c:v>12.12</c:v>
                </c:pt>
                <c:pt idx="5" formatCode="0.00">
                  <c:v>12.16</c:v>
                </c:pt>
                <c:pt idx="6" formatCode="0.00">
                  <c:v>12.1</c:v>
                </c:pt>
                <c:pt idx="7" formatCode="0.00">
                  <c:v>12.07</c:v>
                </c:pt>
                <c:pt idx="8" formatCode="0.00">
                  <c:v>11.93</c:v>
                </c:pt>
                <c:pt idx="9" formatCode="0.00">
                  <c:v>11.8</c:v>
                </c:pt>
                <c:pt idx="10">
                  <c:v>11.72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4B-4DA1-B6BF-1A3D0A761182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Graphs'!$C$13:$P$13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11.84</c:v>
                </c:pt>
                <c:pt idx="3" formatCode="0.00">
                  <c:v>11.03</c:v>
                </c:pt>
                <c:pt idx="4" formatCode="0.00">
                  <c:v>12.11</c:v>
                </c:pt>
                <c:pt idx="5" formatCode="0.00">
                  <c:v>12.04</c:v>
                </c:pt>
                <c:pt idx="6" formatCode="0.00">
                  <c:v>11.94</c:v>
                </c:pt>
                <c:pt idx="7" formatCode="0.00">
                  <c:v>12.06</c:v>
                </c:pt>
                <c:pt idx="8" formatCode="0.00">
                  <c:v>12</c:v>
                </c:pt>
                <c:pt idx="9">
                  <c:v>11.92</c:v>
                </c:pt>
                <c:pt idx="10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4B-4DA1-B6BF-1A3D0A761182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Graphs'!$C$14:$P$14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11.96</c:v>
                </c:pt>
                <c:pt idx="3" formatCode="0.00">
                  <c:v>11.36</c:v>
                </c:pt>
                <c:pt idx="4" formatCode="0.00">
                  <c:v>11.89</c:v>
                </c:pt>
                <c:pt idx="5" formatCode="0.00">
                  <c:v>11.82</c:v>
                </c:pt>
                <c:pt idx="6" formatCode="0.00">
                  <c:v>11.74</c:v>
                </c:pt>
                <c:pt idx="7" formatCode="0.00">
                  <c:v>12.01</c:v>
                </c:pt>
                <c:pt idx="8" formatCode="0.00">
                  <c:v>11.96</c:v>
                </c:pt>
                <c:pt idx="9">
                  <c:v>11.96</c:v>
                </c:pt>
                <c:pt idx="10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4B-4DA1-B6BF-1A3D0A761182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Graphs'!$C$15:$P$15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1.1100000000000001</c:v>
                </c:pt>
                <c:pt idx="2" formatCode="0.00">
                  <c:v>11.93</c:v>
                </c:pt>
                <c:pt idx="3" formatCode="0.00">
                  <c:v>11.06</c:v>
                </c:pt>
                <c:pt idx="4" formatCode="0.00">
                  <c:v>11.98</c:v>
                </c:pt>
                <c:pt idx="5" formatCode="0.00">
                  <c:v>12.01</c:v>
                </c:pt>
                <c:pt idx="6" formatCode="0.00">
                  <c:v>12.04</c:v>
                </c:pt>
                <c:pt idx="7" formatCode="0.00">
                  <c:v>12</c:v>
                </c:pt>
                <c:pt idx="8" formatCode="0.00">
                  <c:v>12.01</c:v>
                </c:pt>
                <c:pt idx="9">
                  <c:v>11.99</c:v>
                </c:pt>
                <c:pt idx="10" formatCode="0.00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4B-4DA1-B6BF-1A3D0A761182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Graphs'!$C$16:$P$16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12.32</c:v>
                </c:pt>
                <c:pt idx="3" formatCode="0.00">
                  <c:v>11.43</c:v>
                </c:pt>
                <c:pt idx="4" formatCode="0.00">
                  <c:v>12.04</c:v>
                </c:pt>
                <c:pt idx="5" formatCode="0.00">
                  <c:v>12.02</c:v>
                </c:pt>
                <c:pt idx="6" formatCode="0.00">
                  <c:v>12.05</c:v>
                </c:pt>
                <c:pt idx="7" formatCode="0.00">
                  <c:v>12.16</c:v>
                </c:pt>
                <c:pt idx="8" formatCode="0.00">
                  <c:v>12.03</c:v>
                </c:pt>
                <c:pt idx="9">
                  <c:v>11.96</c:v>
                </c:pt>
                <c:pt idx="10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64B-4DA1-B6BF-1A3D0A761182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Graphs'!$C$17:$P$17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1.1100000000000001</c:v>
                </c:pt>
                <c:pt idx="2" formatCode="0.00">
                  <c:v>12.04</c:v>
                </c:pt>
                <c:pt idx="3" formatCode="0.00">
                  <c:v>11.24</c:v>
                </c:pt>
                <c:pt idx="4" formatCode="0.00">
                  <c:v>12.02</c:v>
                </c:pt>
                <c:pt idx="5" formatCode="0.00">
                  <c:v>11.99</c:v>
                </c:pt>
                <c:pt idx="6" formatCode="0.00">
                  <c:v>11.96</c:v>
                </c:pt>
                <c:pt idx="7" formatCode="0.00">
                  <c:v>12.05</c:v>
                </c:pt>
                <c:pt idx="8" formatCode="0.00">
                  <c:v>12.01</c:v>
                </c:pt>
                <c:pt idx="9">
                  <c:v>11.93</c:v>
                </c:pt>
                <c:pt idx="10">
                  <c:v>11.88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4B-4DA1-B6BF-1A3D0A761182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Graphs'!$C$18:$P$18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12</c:v>
                </c:pt>
                <c:pt idx="3" formatCode="0.00">
                  <c:v>11.22</c:v>
                </c:pt>
                <c:pt idx="4" formatCode="0.00">
                  <c:v>12.01</c:v>
                </c:pt>
                <c:pt idx="5" formatCode="0.00">
                  <c:v>11.9</c:v>
                </c:pt>
                <c:pt idx="6" formatCode="0.00">
                  <c:v>11.93</c:v>
                </c:pt>
                <c:pt idx="7" formatCode="0.00">
                  <c:v>11.79</c:v>
                </c:pt>
                <c:pt idx="8" formatCode="0.00">
                  <c:v>11.95</c:v>
                </c:pt>
                <c:pt idx="9" formatCode="0.00">
                  <c:v>11.9</c:v>
                </c:pt>
                <c:pt idx="10" formatCode="0.00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4B-4DA1-B6BF-1A3D0A761182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Graphs'!$C$19:$P$19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1.1000000000000001</c:v>
                </c:pt>
                <c:pt idx="2" formatCode="0.00">
                  <c:v>11.96</c:v>
                </c:pt>
                <c:pt idx="3" formatCode="0.00">
                  <c:v>11.26</c:v>
                </c:pt>
                <c:pt idx="4" formatCode="0.00">
                  <c:v>11.89</c:v>
                </c:pt>
                <c:pt idx="5" formatCode="0.00">
                  <c:v>11.81</c:v>
                </c:pt>
                <c:pt idx="6" formatCode="0.00">
                  <c:v>11.8</c:v>
                </c:pt>
                <c:pt idx="7" formatCode="0.00">
                  <c:v>12.04</c:v>
                </c:pt>
                <c:pt idx="8" formatCode="0.00">
                  <c:v>11.95</c:v>
                </c:pt>
                <c:pt idx="9">
                  <c:v>11.89</c:v>
                </c:pt>
                <c:pt idx="10">
                  <c:v>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64B-4DA1-B6BF-1A3D0A761182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Graphs'!$C$20:$P$20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11.86</c:v>
                </c:pt>
                <c:pt idx="3" formatCode="0.00">
                  <c:v>11.09</c:v>
                </c:pt>
                <c:pt idx="4" formatCode="0.00">
                  <c:v>12.03</c:v>
                </c:pt>
                <c:pt idx="5" formatCode="0.00">
                  <c:v>12.15</c:v>
                </c:pt>
                <c:pt idx="6" formatCode="0.00">
                  <c:v>12.06</c:v>
                </c:pt>
                <c:pt idx="7" formatCode="0.00">
                  <c:v>12.04</c:v>
                </c:pt>
                <c:pt idx="8" formatCode="0.00">
                  <c:v>12.06</c:v>
                </c:pt>
                <c:pt idx="9" formatCode="0.00">
                  <c:v>11.9</c:v>
                </c:pt>
                <c:pt idx="10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64B-4DA1-B6BF-1A3D0A761182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Graphs'!$C$21:$P$21</c:f>
              <c:numCache>
                <c:formatCode>General</c:formatCode>
                <c:ptCount val="14"/>
                <c:pt idx="0">
                  <c:v>1.1499999999999999</c:v>
                </c:pt>
                <c:pt idx="1">
                  <c:v>1.1399999999999999</c:v>
                </c:pt>
                <c:pt idx="2" formatCode="0.00">
                  <c:v>12</c:v>
                </c:pt>
                <c:pt idx="3" formatCode="0.00">
                  <c:v>11.33</c:v>
                </c:pt>
                <c:pt idx="4" formatCode="0.00">
                  <c:v>12.06</c:v>
                </c:pt>
                <c:pt idx="5" formatCode="0.00">
                  <c:v>12.1</c:v>
                </c:pt>
                <c:pt idx="6" formatCode="0.00">
                  <c:v>11.99</c:v>
                </c:pt>
                <c:pt idx="7" formatCode="0.00">
                  <c:v>12.06</c:v>
                </c:pt>
                <c:pt idx="8" formatCode="0.00">
                  <c:v>12.07</c:v>
                </c:pt>
                <c:pt idx="9">
                  <c:v>11.95</c:v>
                </c:pt>
                <c:pt idx="10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64B-4DA1-B6BF-1A3D0A761182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Graphs'!$C$22:$P$22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1.1100000000000001</c:v>
                </c:pt>
                <c:pt idx="2" formatCode="0.00">
                  <c:v>11.8</c:v>
                </c:pt>
                <c:pt idx="3" formatCode="0.00">
                  <c:v>10.86</c:v>
                </c:pt>
                <c:pt idx="4" formatCode="0.00">
                  <c:v>12.03</c:v>
                </c:pt>
                <c:pt idx="5" formatCode="0.00">
                  <c:v>12.09</c:v>
                </c:pt>
                <c:pt idx="6" formatCode="0.00">
                  <c:v>11.93</c:v>
                </c:pt>
                <c:pt idx="7" formatCode="0.00">
                  <c:v>11.99</c:v>
                </c:pt>
                <c:pt idx="8" formatCode="0.00">
                  <c:v>11.93</c:v>
                </c:pt>
                <c:pt idx="9">
                  <c:v>11.83</c:v>
                </c:pt>
                <c:pt idx="10">
                  <c:v>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64B-4DA1-B6BF-1A3D0A761182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Graphs'!$C$23:$P$23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1.1000000000000001</c:v>
                </c:pt>
                <c:pt idx="2" formatCode="0.00">
                  <c:v>11.98</c:v>
                </c:pt>
                <c:pt idx="3" formatCode="0.00">
                  <c:v>11.3</c:v>
                </c:pt>
                <c:pt idx="4" formatCode="0.00">
                  <c:v>11.94</c:v>
                </c:pt>
                <c:pt idx="5" formatCode="0.00">
                  <c:v>11.94</c:v>
                </c:pt>
                <c:pt idx="6" formatCode="0.00">
                  <c:v>11.84</c:v>
                </c:pt>
                <c:pt idx="7" formatCode="0.00">
                  <c:v>12.11</c:v>
                </c:pt>
                <c:pt idx="8" formatCode="0.00">
                  <c:v>12.11</c:v>
                </c:pt>
                <c:pt idx="9" formatCode="0.00">
                  <c:v>12</c:v>
                </c:pt>
                <c:pt idx="10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64B-4DA1-B6BF-1A3D0A761182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Graphs'!$C$24:$P$24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11.97</c:v>
                </c:pt>
                <c:pt idx="3" formatCode="0.00">
                  <c:v>11.3</c:v>
                </c:pt>
                <c:pt idx="4" formatCode="0.00">
                  <c:v>11.92</c:v>
                </c:pt>
                <c:pt idx="5" formatCode="0.00">
                  <c:v>11.93</c:v>
                </c:pt>
                <c:pt idx="6" formatCode="0.00">
                  <c:v>11.87</c:v>
                </c:pt>
                <c:pt idx="7" formatCode="0.00">
                  <c:v>12.18</c:v>
                </c:pt>
                <c:pt idx="8" formatCode="0.00">
                  <c:v>12.1</c:v>
                </c:pt>
                <c:pt idx="9">
                  <c:v>11.98</c:v>
                </c:pt>
                <c:pt idx="10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64B-4DA1-B6BF-1A3D0A761182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Graphs'!$C$25:$P$25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1.1000000000000001</c:v>
                </c:pt>
                <c:pt idx="2" formatCode="0.00">
                  <c:v>12.02</c:v>
                </c:pt>
                <c:pt idx="3" formatCode="0.00">
                  <c:v>11.23</c:v>
                </c:pt>
                <c:pt idx="4" formatCode="0.00">
                  <c:v>12.01</c:v>
                </c:pt>
                <c:pt idx="5" formatCode="0.00">
                  <c:v>11.96</c:v>
                </c:pt>
                <c:pt idx="6" formatCode="0.00">
                  <c:v>11.93</c:v>
                </c:pt>
                <c:pt idx="7" formatCode="0.00">
                  <c:v>12.03</c:v>
                </c:pt>
                <c:pt idx="8" formatCode="0.00">
                  <c:v>11.99</c:v>
                </c:pt>
                <c:pt idx="9">
                  <c:v>11.94</c:v>
                </c:pt>
                <c:pt idx="10">
                  <c:v>11.85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64B-4DA1-B6BF-1A3D0A761182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Graphs'!$C$26:$P$26</c:f>
              <c:numCache>
                <c:formatCode>General</c:formatCode>
                <c:ptCount val="14"/>
                <c:pt idx="0">
                  <c:v>1.1399999999999999</c:v>
                </c:pt>
                <c:pt idx="1">
                  <c:v>1.1299999999999999</c:v>
                </c:pt>
                <c:pt idx="2" formatCode="0.00">
                  <c:v>12.2</c:v>
                </c:pt>
                <c:pt idx="3" formatCode="0.00">
                  <c:v>11.21</c:v>
                </c:pt>
                <c:pt idx="4" formatCode="0.00">
                  <c:v>12.04</c:v>
                </c:pt>
                <c:pt idx="5" formatCode="0.00">
                  <c:v>12.06</c:v>
                </c:pt>
                <c:pt idx="6" formatCode="0.00">
                  <c:v>12.01</c:v>
                </c:pt>
                <c:pt idx="7" formatCode="0.00">
                  <c:v>12.05</c:v>
                </c:pt>
                <c:pt idx="8" formatCode="0.00">
                  <c:v>12.06</c:v>
                </c:pt>
                <c:pt idx="9">
                  <c:v>11.96</c:v>
                </c:pt>
                <c:pt idx="10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64B-4DA1-B6BF-1A3D0A761182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Graphs'!$C$27:$P$27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1.1200000000000001</c:v>
                </c:pt>
                <c:pt idx="2" formatCode="0.00">
                  <c:v>11.97</c:v>
                </c:pt>
                <c:pt idx="3" formatCode="0.00">
                  <c:v>11.23</c:v>
                </c:pt>
                <c:pt idx="4" formatCode="0.00">
                  <c:v>12.01</c:v>
                </c:pt>
                <c:pt idx="5" formatCode="0.00">
                  <c:v>11.97</c:v>
                </c:pt>
                <c:pt idx="6" formatCode="0.00">
                  <c:v>11.97</c:v>
                </c:pt>
                <c:pt idx="7" formatCode="0.00">
                  <c:v>12.01</c:v>
                </c:pt>
                <c:pt idx="8" formatCode="0.00">
                  <c:v>11.94</c:v>
                </c:pt>
                <c:pt idx="9">
                  <c:v>11.84</c:v>
                </c:pt>
                <c:pt idx="10" formatCode="0.00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64B-4DA1-B6BF-1A3D0A761182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Graphs'!$C$28:$P$28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1.1200000000000001</c:v>
                </c:pt>
                <c:pt idx="2" formatCode="0.00">
                  <c:v>12.14</c:v>
                </c:pt>
                <c:pt idx="3" formatCode="0.00">
                  <c:v>11.35</c:v>
                </c:pt>
                <c:pt idx="4" formatCode="0.00">
                  <c:v>11.98</c:v>
                </c:pt>
                <c:pt idx="5" formatCode="0.00">
                  <c:v>11.91</c:v>
                </c:pt>
                <c:pt idx="6" formatCode="0.00">
                  <c:v>11.84</c:v>
                </c:pt>
                <c:pt idx="7" formatCode="0.00">
                  <c:v>12.12</c:v>
                </c:pt>
                <c:pt idx="8" formatCode="0.00">
                  <c:v>11.99</c:v>
                </c:pt>
                <c:pt idx="9">
                  <c:v>11.89</c:v>
                </c:pt>
                <c:pt idx="10" formatCode="0.00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64B-4DA1-B6BF-1A3D0A761182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Graphs'!$C$29:$P$29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1.0900000000000001</c:v>
                </c:pt>
                <c:pt idx="2" formatCode="0.00">
                  <c:v>11.99</c:v>
                </c:pt>
                <c:pt idx="3" formatCode="0.00">
                  <c:v>11.35</c:v>
                </c:pt>
                <c:pt idx="4" formatCode="0.00">
                  <c:v>11.83</c:v>
                </c:pt>
                <c:pt idx="5" formatCode="0.00">
                  <c:v>11.76</c:v>
                </c:pt>
                <c:pt idx="6" formatCode="0.00">
                  <c:v>11.75</c:v>
                </c:pt>
                <c:pt idx="7" formatCode="0.00">
                  <c:v>12.11</c:v>
                </c:pt>
                <c:pt idx="8" formatCode="0.00">
                  <c:v>11.99</c:v>
                </c:pt>
                <c:pt idx="9">
                  <c:v>11.86</c:v>
                </c:pt>
                <c:pt idx="10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64B-4DA1-B6BF-1A3D0A761182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Graphs'!$C$30:$P$30</c:f>
              <c:numCache>
                <c:formatCode>General</c:formatCode>
                <c:ptCount val="14"/>
                <c:pt idx="0">
                  <c:v>1.1399999999999999</c:v>
                </c:pt>
                <c:pt idx="1">
                  <c:v>1.1200000000000001</c:v>
                </c:pt>
                <c:pt idx="2" formatCode="0.00">
                  <c:v>11.92</c:v>
                </c:pt>
                <c:pt idx="3" formatCode="0.00">
                  <c:v>11.26</c:v>
                </c:pt>
                <c:pt idx="4" formatCode="0.00">
                  <c:v>11.99</c:v>
                </c:pt>
                <c:pt idx="5" formatCode="0.00">
                  <c:v>11.96</c:v>
                </c:pt>
                <c:pt idx="6" formatCode="0.00">
                  <c:v>11.95</c:v>
                </c:pt>
                <c:pt idx="7" formatCode="0.00">
                  <c:v>11.91</c:v>
                </c:pt>
                <c:pt idx="8" formatCode="0.00">
                  <c:v>12</c:v>
                </c:pt>
                <c:pt idx="9">
                  <c:v>11.83</c:v>
                </c:pt>
                <c:pt idx="10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64B-4DA1-B6BF-1A3D0A761182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Graphs'!$C$31:$P$31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12.22</c:v>
                </c:pt>
                <c:pt idx="3" formatCode="0.00">
                  <c:v>11.19</c:v>
                </c:pt>
                <c:pt idx="4" formatCode="0.00">
                  <c:v>12.06</c:v>
                </c:pt>
                <c:pt idx="5" formatCode="0.00">
                  <c:v>12.05</c:v>
                </c:pt>
                <c:pt idx="6" formatCode="0.00">
                  <c:v>11.97</c:v>
                </c:pt>
                <c:pt idx="7" formatCode="0.00">
                  <c:v>11.94</c:v>
                </c:pt>
                <c:pt idx="8" formatCode="0.00">
                  <c:v>12</c:v>
                </c:pt>
                <c:pt idx="9">
                  <c:v>11.86</c:v>
                </c:pt>
                <c:pt idx="10">
                  <c:v>11.82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64B-4DA1-B6BF-1A3D0A761182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Graphs'!$C$32:$P$32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1.1200000000000001</c:v>
                </c:pt>
                <c:pt idx="2" formatCode="0.00">
                  <c:v>12.13</c:v>
                </c:pt>
                <c:pt idx="3" formatCode="0.00">
                  <c:v>11.18</c:v>
                </c:pt>
                <c:pt idx="4" formatCode="0.00">
                  <c:v>12.04</c:v>
                </c:pt>
                <c:pt idx="5" formatCode="0.00">
                  <c:v>11.98</c:v>
                </c:pt>
                <c:pt idx="6" formatCode="0.00">
                  <c:v>11.91</c:v>
                </c:pt>
                <c:pt idx="7" formatCode="0.00">
                  <c:v>11.93</c:v>
                </c:pt>
                <c:pt idx="8" formatCode="0.00">
                  <c:v>11.98</c:v>
                </c:pt>
                <c:pt idx="9">
                  <c:v>11.85</c:v>
                </c:pt>
                <c:pt idx="10">
                  <c:v>11.76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64B-4DA1-B6BF-1A3D0A761182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Graphs'!$C$33:$P$33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12.05</c:v>
                </c:pt>
                <c:pt idx="3" formatCode="0.00">
                  <c:v>11.32</c:v>
                </c:pt>
                <c:pt idx="4" formatCode="0.00">
                  <c:v>11.95</c:v>
                </c:pt>
                <c:pt idx="5" formatCode="0.00">
                  <c:v>11.87</c:v>
                </c:pt>
                <c:pt idx="6" formatCode="0.00">
                  <c:v>11.86</c:v>
                </c:pt>
                <c:pt idx="7" formatCode="0.00">
                  <c:v>12.053000000000001</c:v>
                </c:pt>
                <c:pt idx="8" formatCode="0.00">
                  <c:v>12</c:v>
                </c:pt>
                <c:pt idx="9">
                  <c:v>11.88</c:v>
                </c:pt>
                <c:pt idx="10">
                  <c:v>11.74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64B-4DA1-B6BF-1A3D0A761182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Graphs'!$C$34:$P$34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1.1000000000000001</c:v>
                </c:pt>
                <c:pt idx="2" formatCode="0.00">
                  <c:v>11.96</c:v>
                </c:pt>
                <c:pt idx="3" formatCode="0.00">
                  <c:v>11.34</c:v>
                </c:pt>
                <c:pt idx="4" formatCode="0.00">
                  <c:v>11.89</c:v>
                </c:pt>
                <c:pt idx="5" formatCode="0.00">
                  <c:v>11.83</c:v>
                </c:pt>
                <c:pt idx="6" formatCode="0.00">
                  <c:v>11.82</c:v>
                </c:pt>
                <c:pt idx="7" formatCode="0.00">
                  <c:v>12.02</c:v>
                </c:pt>
                <c:pt idx="8" formatCode="0.00">
                  <c:v>12</c:v>
                </c:pt>
                <c:pt idx="9">
                  <c:v>11.89</c:v>
                </c:pt>
                <c:pt idx="10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64B-4DA1-B6BF-1A3D0A761182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Graphs'!$C$35:$P$35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1.1000000000000001</c:v>
                </c:pt>
                <c:pt idx="2" formatCode="0.00">
                  <c:v>11.94</c:v>
                </c:pt>
                <c:pt idx="3" formatCode="0.00">
                  <c:v>11.06</c:v>
                </c:pt>
                <c:pt idx="4" formatCode="0.00">
                  <c:v>11.99</c:v>
                </c:pt>
                <c:pt idx="5" formatCode="0.00">
                  <c:v>11.97</c:v>
                </c:pt>
                <c:pt idx="6" formatCode="0.00">
                  <c:v>11.83</c:v>
                </c:pt>
                <c:pt idx="7" formatCode="0.00">
                  <c:v>11.96</c:v>
                </c:pt>
                <c:pt idx="8" formatCode="0.00">
                  <c:v>11.93</c:v>
                </c:pt>
                <c:pt idx="9">
                  <c:v>11.84</c:v>
                </c:pt>
                <c:pt idx="10">
                  <c:v>11.82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64B-4DA1-B6BF-1A3D0A761182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Graphs'!$C$36:$P$36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11.91</c:v>
                </c:pt>
                <c:pt idx="3" formatCode="0.00">
                  <c:v>11.11</c:v>
                </c:pt>
                <c:pt idx="4" formatCode="0.00">
                  <c:v>12.03</c:v>
                </c:pt>
                <c:pt idx="5" formatCode="0.00">
                  <c:v>11.93</c:v>
                </c:pt>
                <c:pt idx="6" formatCode="0.00">
                  <c:v>11.78</c:v>
                </c:pt>
                <c:pt idx="7" formatCode="0.00">
                  <c:v>12.07</c:v>
                </c:pt>
                <c:pt idx="8" formatCode="0.00">
                  <c:v>11.97</c:v>
                </c:pt>
                <c:pt idx="9">
                  <c:v>11.85</c:v>
                </c:pt>
                <c:pt idx="10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64B-4DA1-B6BF-1A3D0A761182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Graphs'!$C$37:$P$37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1.1000000000000001</c:v>
                </c:pt>
                <c:pt idx="2" formatCode="0.00">
                  <c:v>12.01</c:v>
                </c:pt>
                <c:pt idx="3" formatCode="0.00">
                  <c:v>11.32</c:v>
                </c:pt>
                <c:pt idx="4" formatCode="0.00">
                  <c:v>12.01</c:v>
                </c:pt>
                <c:pt idx="5" formatCode="0.00">
                  <c:v>11.91</c:v>
                </c:pt>
                <c:pt idx="6" formatCode="0.00">
                  <c:v>11.89</c:v>
                </c:pt>
                <c:pt idx="7" formatCode="0.00">
                  <c:v>12.3</c:v>
                </c:pt>
                <c:pt idx="8" formatCode="0.00">
                  <c:v>12.23</c:v>
                </c:pt>
                <c:pt idx="9">
                  <c:v>12.13</c:v>
                </c:pt>
                <c:pt idx="10" formatCode="0.00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64B-4DA1-B6BF-1A3D0A761182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Graphs'!$C$38:$P$38</c:f>
              <c:numCache>
                <c:formatCode>General</c:formatCode>
                <c:ptCount val="14"/>
                <c:pt idx="0">
                  <c:v>1.18</c:v>
                </c:pt>
                <c:pt idx="1">
                  <c:v>1.1100000000000001</c:v>
                </c:pt>
                <c:pt idx="2" formatCode="0.00">
                  <c:v>11.55</c:v>
                </c:pt>
                <c:pt idx="3" formatCode="0.00">
                  <c:v>10.84</c:v>
                </c:pt>
                <c:pt idx="4" formatCode="0.00">
                  <c:v>11.9</c:v>
                </c:pt>
                <c:pt idx="5" formatCode="0.00">
                  <c:v>11.84</c:v>
                </c:pt>
                <c:pt idx="6" formatCode="0.00">
                  <c:v>11.86</c:v>
                </c:pt>
                <c:pt idx="7" formatCode="0.00">
                  <c:v>12.1</c:v>
                </c:pt>
                <c:pt idx="8" formatCode="0.00">
                  <c:v>12.04</c:v>
                </c:pt>
                <c:pt idx="9">
                  <c:v>11.97</c:v>
                </c:pt>
                <c:pt idx="10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64B-4DA1-B6BF-1A3D0A761182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Graphs'!$C$39:$P$39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1.1000000000000001</c:v>
                </c:pt>
                <c:pt idx="2" formatCode="0.00">
                  <c:v>11.88</c:v>
                </c:pt>
                <c:pt idx="3" formatCode="0.00">
                  <c:v>11.26</c:v>
                </c:pt>
                <c:pt idx="4" formatCode="0.00">
                  <c:v>11.76</c:v>
                </c:pt>
                <c:pt idx="5" formatCode="0.00">
                  <c:v>11.68</c:v>
                </c:pt>
                <c:pt idx="6" formatCode="0.00">
                  <c:v>11.75</c:v>
                </c:pt>
                <c:pt idx="7" formatCode="0.00">
                  <c:v>11.9</c:v>
                </c:pt>
                <c:pt idx="8" formatCode="0.00">
                  <c:v>11.97</c:v>
                </c:pt>
                <c:pt idx="9">
                  <c:v>11.91</c:v>
                </c:pt>
                <c:pt idx="10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64B-4DA1-B6BF-1A3D0A761182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Graphs'!$C$40:$P$40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1.1000000000000001</c:v>
                </c:pt>
                <c:pt idx="2" formatCode="0.00">
                  <c:v>11.95</c:v>
                </c:pt>
                <c:pt idx="3" formatCode="0.00">
                  <c:v>11.17</c:v>
                </c:pt>
                <c:pt idx="4" formatCode="0.00">
                  <c:v>12.09</c:v>
                </c:pt>
                <c:pt idx="5" formatCode="0.00">
                  <c:v>11.97</c:v>
                </c:pt>
                <c:pt idx="6" formatCode="0.00">
                  <c:v>11.94</c:v>
                </c:pt>
                <c:pt idx="7" formatCode="0.00">
                  <c:v>12.03</c:v>
                </c:pt>
                <c:pt idx="8" formatCode="0.00">
                  <c:v>12.1</c:v>
                </c:pt>
                <c:pt idx="9">
                  <c:v>11.86</c:v>
                </c:pt>
                <c:pt idx="10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64B-4DA1-B6BF-1A3D0A761182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Graphs'!$C$41:$P$41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12.26</c:v>
                </c:pt>
                <c:pt idx="3" formatCode="0.00">
                  <c:v>11.52</c:v>
                </c:pt>
                <c:pt idx="4" formatCode="0.00">
                  <c:v>12.14</c:v>
                </c:pt>
                <c:pt idx="5" formatCode="0.00">
                  <c:v>12.05</c:v>
                </c:pt>
                <c:pt idx="6" formatCode="0.00">
                  <c:v>11.96</c:v>
                </c:pt>
                <c:pt idx="7" formatCode="0.00">
                  <c:v>11.88</c:v>
                </c:pt>
                <c:pt idx="8" formatCode="0.00">
                  <c:v>12.06</c:v>
                </c:pt>
                <c:pt idx="9">
                  <c:v>11.89</c:v>
                </c:pt>
                <c:pt idx="10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64B-4DA1-B6BF-1A3D0A761182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Graphs'!$C$42:$P$42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11.83</c:v>
                </c:pt>
                <c:pt idx="3" formatCode="0.00">
                  <c:v>11.18</c:v>
                </c:pt>
                <c:pt idx="4" formatCode="0.00">
                  <c:v>12.08</c:v>
                </c:pt>
                <c:pt idx="5" formatCode="0.00">
                  <c:v>12</c:v>
                </c:pt>
                <c:pt idx="6" formatCode="0.00">
                  <c:v>11.91</c:v>
                </c:pt>
                <c:pt idx="7" formatCode="0.00">
                  <c:v>11.66</c:v>
                </c:pt>
                <c:pt idx="8" formatCode="0.00">
                  <c:v>12.22</c:v>
                </c:pt>
                <c:pt idx="9" formatCode="0.00">
                  <c:v>12.1</c:v>
                </c:pt>
                <c:pt idx="10" formatCode="0.00">
                  <c:v>12.05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64B-4DA1-B6BF-1A3D0A761182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Graphs'!$C$43:$P$43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1.0900000000000001</c:v>
                </c:pt>
                <c:pt idx="2" formatCode="0.00">
                  <c:v>11.86</c:v>
                </c:pt>
                <c:pt idx="3" formatCode="0.00">
                  <c:v>11.29</c:v>
                </c:pt>
                <c:pt idx="4" formatCode="0.00">
                  <c:v>11.95</c:v>
                </c:pt>
                <c:pt idx="5" formatCode="0.00">
                  <c:v>11.77</c:v>
                </c:pt>
                <c:pt idx="6" formatCode="0.00">
                  <c:v>11.84</c:v>
                </c:pt>
                <c:pt idx="7" formatCode="0.00">
                  <c:v>11.83</c:v>
                </c:pt>
                <c:pt idx="8" formatCode="0.00">
                  <c:v>12.08</c:v>
                </c:pt>
                <c:pt idx="9" formatCode="0.00">
                  <c:v>12.05</c:v>
                </c:pt>
                <c:pt idx="10" formatCode="0.00">
                  <c:v>11.92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64B-4DA1-B6BF-1A3D0A761182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Graphs'!$C$44:$P$44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1.1000000000000001</c:v>
                </c:pt>
                <c:pt idx="2" formatCode="0.00">
                  <c:v>12.14</c:v>
                </c:pt>
                <c:pt idx="3" formatCode="0.00">
                  <c:v>11.44</c:v>
                </c:pt>
                <c:pt idx="4" formatCode="0.00">
                  <c:v>11.85</c:v>
                </c:pt>
                <c:pt idx="5" formatCode="0.00">
                  <c:v>11.76</c:v>
                </c:pt>
                <c:pt idx="6" formatCode="0.00">
                  <c:v>11.84</c:v>
                </c:pt>
                <c:pt idx="7" formatCode="0.00">
                  <c:v>12.03</c:v>
                </c:pt>
                <c:pt idx="8" formatCode="0.00">
                  <c:v>12.03</c:v>
                </c:pt>
                <c:pt idx="9" formatCode="0.00">
                  <c:v>11.96</c:v>
                </c:pt>
                <c:pt idx="10" formatCode="0.00">
                  <c:v>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64B-4DA1-B6BF-1A3D0A761182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Graphs'!$C$45:$P$45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1.1299999999999999</c:v>
                </c:pt>
                <c:pt idx="2" formatCode="0.00">
                  <c:v>12.03</c:v>
                </c:pt>
                <c:pt idx="3" formatCode="0.00">
                  <c:v>11.59</c:v>
                </c:pt>
                <c:pt idx="4" formatCode="0.00">
                  <c:v>11.95</c:v>
                </c:pt>
                <c:pt idx="5" formatCode="0.00">
                  <c:v>11.92</c:v>
                </c:pt>
                <c:pt idx="6" formatCode="0.00">
                  <c:v>11.87</c:v>
                </c:pt>
                <c:pt idx="7" formatCode="0.00">
                  <c:v>11.83</c:v>
                </c:pt>
                <c:pt idx="8" formatCode="0.00">
                  <c:v>11.96</c:v>
                </c:pt>
                <c:pt idx="9" formatCode="0.00">
                  <c:v>11.81</c:v>
                </c:pt>
                <c:pt idx="10" formatCode="0.00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64B-4DA1-B6BF-1A3D0A761182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Graphs'!$C$46:$P$46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11.94</c:v>
                </c:pt>
                <c:pt idx="3" formatCode="0.00">
                  <c:v>11.26</c:v>
                </c:pt>
                <c:pt idx="4" formatCode="0.00">
                  <c:v>11.97</c:v>
                </c:pt>
                <c:pt idx="5" formatCode="0.00">
                  <c:v>11.92</c:v>
                </c:pt>
                <c:pt idx="6" formatCode="0.00">
                  <c:v>11.79</c:v>
                </c:pt>
                <c:pt idx="7" formatCode="0.00">
                  <c:v>11.91</c:v>
                </c:pt>
                <c:pt idx="8" formatCode="0.00">
                  <c:v>11.93</c:v>
                </c:pt>
                <c:pt idx="9" formatCode="0.00">
                  <c:v>11.82</c:v>
                </c:pt>
                <c:pt idx="10" formatCode="0.00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64B-4DA1-B6BF-1A3D0A761182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Graphs'!$C$47:$P$47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1.0900000000000001</c:v>
                </c:pt>
                <c:pt idx="2" formatCode="0.00">
                  <c:v>11.93</c:v>
                </c:pt>
                <c:pt idx="3" formatCode="0.00">
                  <c:v>11.29</c:v>
                </c:pt>
                <c:pt idx="4" formatCode="0.00">
                  <c:v>12.02</c:v>
                </c:pt>
                <c:pt idx="5" formatCode="0.00">
                  <c:v>11.9</c:v>
                </c:pt>
                <c:pt idx="6" formatCode="0.00">
                  <c:v>11.72</c:v>
                </c:pt>
                <c:pt idx="7" formatCode="0.00">
                  <c:v>12.1</c:v>
                </c:pt>
                <c:pt idx="8" formatCode="0.00">
                  <c:v>11.88</c:v>
                </c:pt>
                <c:pt idx="9" formatCode="0.00">
                  <c:v>11.81</c:v>
                </c:pt>
                <c:pt idx="10" formatCode="0.00">
                  <c:v>11.79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64B-4DA1-B6BF-1A3D0A761182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Graphs'!$C$48:$P$48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11.98</c:v>
                </c:pt>
                <c:pt idx="3" formatCode="0.00">
                  <c:v>11.4</c:v>
                </c:pt>
                <c:pt idx="4" formatCode="0.00">
                  <c:v>11.92</c:v>
                </c:pt>
                <c:pt idx="5" formatCode="0.00">
                  <c:v>11.89</c:v>
                </c:pt>
                <c:pt idx="6" formatCode="0.00">
                  <c:v>11.8</c:v>
                </c:pt>
                <c:pt idx="7" formatCode="0.00">
                  <c:v>11.89</c:v>
                </c:pt>
                <c:pt idx="8" formatCode="0.00">
                  <c:v>12.01</c:v>
                </c:pt>
                <c:pt idx="9" formatCode="0.00">
                  <c:v>11.93</c:v>
                </c:pt>
                <c:pt idx="10" formatCode="0.00">
                  <c:v>11.89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64B-4DA1-B6BF-1A3D0A761182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Graphs'!$C$49:$P$49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11.87</c:v>
                </c:pt>
                <c:pt idx="3" formatCode="0.00">
                  <c:v>11.44</c:v>
                </c:pt>
                <c:pt idx="4" formatCode="0.00">
                  <c:v>11.8</c:v>
                </c:pt>
                <c:pt idx="5" formatCode="0.00">
                  <c:v>11.75</c:v>
                </c:pt>
                <c:pt idx="6" formatCode="0.00">
                  <c:v>11.76</c:v>
                </c:pt>
                <c:pt idx="7" formatCode="0.00">
                  <c:v>12</c:v>
                </c:pt>
                <c:pt idx="8" formatCode="0.00">
                  <c:v>12</c:v>
                </c:pt>
                <c:pt idx="9" formatCode="0.00">
                  <c:v>11.92</c:v>
                </c:pt>
                <c:pt idx="10" formatCode="0.00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64B-4DA1-B6BF-1A3D0A761182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Graphs'!$C$50:$P$50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11.96</c:v>
                </c:pt>
                <c:pt idx="3" formatCode="0.00">
                  <c:v>11.51</c:v>
                </c:pt>
                <c:pt idx="4" formatCode="0.00">
                  <c:v>12</c:v>
                </c:pt>
                <c:pt idx="5" formatCode="0.00">
                  <c:v>11.97</c:v>
                </c:pt>
                <c:pt idx="6" formatCode="0.00">
                  <c:v>12.07</c:v>
                </c:pt>
                <c:pt idx="7" formatCode="0.00">
                  <c:v>11.94</c:v>
                </c:pt>
                <c:pt idx="8" formatCode="0.00">
                  <c:v>12.05</c:v>
                </c:pt>
                <c:pt idx="9" formatCode="0.00">
                  <c:v>11.85</c:v>
                </c:pt>
                <c:pt idx="10" formatCode="0.00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64B-4DA1-B6BF-1A3D0A761182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Graphs'!$C$51:$P$51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11.95</c:v>
                </c:pt>
                <c:pt idx="3" formatCode="0.00">
                  <c:v>11.21</c:v>
                </c:pt>
                <c:pt idx="4" formatCode="0.00">
                  <c:v>12.05</c:v>
                </c:pt>
                <c:pt idx="5" formatCode="0.00">
                  <c:v>12.01</c:v>
                </c:pt>
                <c:pt idx="6" formatCode="0.00">
                  <c:v>12</c:v>
                </c:pt>
                <c:pt idx="7" formatCode="0.00">
                  <c:v>11.96</c:v>
                </c:pt>
                <c:pt idx="8" formatCode="0.00">
                  <c:v>12.04</c:v>
                </c:pt>
                <c:pt idx="9" formatCode="0.00">
                  <c:v>11.94</c:v>
                </c:pt>
                <c:pt idx="10" formatCode="0.00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64B-4DA1-B6BF-1A3D0A761182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Graphs'!$C$52:$P$52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11.94</c:v>
                </c:pt>
                <c:pt idx="3" formatCode="0.00">
                  <c:v>11.3</c:v>
                </c:pt>
                <c:pt idx="4" formatCode="0.00">
                  <c:v>12.08</c:v>
                </c:pt>
                <c:pt idx="5" formatCode="0.00">
                  <c:v>11.8</c:v>
                </c:pt>
                <c:pt idx="6" formatCode="0.00">
                  <c:v>11.79</c:v>
                </c:pt>
                <c:pt idx="7" formatCode="0.00">
                  <c:v>12.05</c:v>
                </c:pt>
                <c:pt idx="8" formatCode="0.00">
                  <c:v>11.94</c:v>
                </c:pt>
                <c:pt idx="9" formatCode="0.00">
                  <c:v>11.82</c:v>
                </c:pt>
                <c:pt idx="10" formatCode="0.00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64B-4DA1-B6BF-1A3D0A761182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Graphs'!$C$53:$P$53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12.23</c:v>
                </c:pt>
                <c:pt idx="3" formatCode="0.00">
                  <c:v>11.73</c:v>
                </c:pt>
                <c:pt idx="4" formatCode="0.00">
                  <c:v>12.03</c:v>
                </c:pt>
                <c:pt idx="5" formatCode="0.00">
                  <c:v>11.98</c:v>
                </c:pt>
                <c:pt idx="6" formatCode="0.00">
                  <c:v>11.86</c:v>
                </c:pt>
                <c:pt idx="7" formatCode="0.00">
                  <c:v>11.93</c:v>
                </c:pt>
                <c:pt idx="8" formatCode="0.00">
                  <c:v>11.97</c:v>
                </c:pt>
                <c:pt idx="9" formatCode="0.00">
                  <c:v>11.85</c:v>
                </c:pt>
                <c:pt idx="10" formatCode="0.00">
                  <c:v>11.85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64B-4DA1-B6BF-1A3D0A761182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Graphs'!$C$54:$P$54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1.1100000000000001</c:v>
                </c:pt>
                <c:pt idx="2" formatCode="0.00">
                  <c:v>12.2</c:v>
                </c:pt>
                <c:pt idx="3" formatCode="0.00">
                  <c:v>11.71</c:v>
                </c:pt>
                <c:pt idx="4" formatCode="0.00">
                  <c:v>11.9</c:v>
                </c:pt>
                <c:pt idx="5" formatCode="0.00">
                  <c:v>11.83</c:v>
                </c:pt>
                <c:pt idx="6" formatCode="0.00">
                  <c:v>11.82</c:v>
                </c:pt>
                <c:pt idx="7" formatCode="0.00">
                  <c:v>12</c:v>
                </c:pt>
                <c:pt idx="8" formatCode="0.00">
                  <c:v>11.99</c:v>
                </c:pt>
                <c:pt idx="9" formatCode="0.00">
                  <c:v>11.89</c:v>
                </c:pt>
                <c:pt idx="10" formatCode="0.00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64B-4DA1-B6BF-1A3D0A761182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Graphs'!$C$55:$P$55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1.1100000000000001</c:v>
                </c:pt>
                <c:pt idx="2" formatCode="0.00">
                  <c:v>11.73</c:v>
                </c:pt>
                <c:pt idx="3" formatCode="0.00">
                  <c:v>11.06</c:v>
                </c:pt>
                <c:pt idx="4" formatCode="0.00">
                  <c:v>11.99</c:v>
                </c:pt>
                <c:pt idx="5" formatCode="0.00">
                  <c:v>11.97</c:v>
                </c:pt>
                <c:pt idx="6" formatCode="0.00">
                  <c:v>11.91</c:v>
                </c:pt>
                <c:pt idx="7" formatCode="0.00">
                  <c:v>11.91</c:v>
                </c:pt>
                <c:pt idx="8" formatCode="0.00">
                  <c:v>11.98</c:v>
                </c:pt>
                <c:pt idx="9" formatCode="0.00">
                  <c:v>11.8</c:v>
                </c:pt>
                <c:pt idx="10" formatCode="0.00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64B-4DA1-B6BF-1A3D0A761182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Graphs'!$C$56:$P$56</c:f>
              <c:numCache>
                <c:formatCode>General</c:formatCode>
                <c:ptCount val="14"/>
                <c:pt idx="0">
                  <c:v>1.1399999999999999</c:v>
                </c:pt>
                <c:pt idx="1">
                  <c:v>1.1299999999999999</c:v>
                </c:pt>
                <c:pt idx="2" formatCode="0.00">
                  <c:v>12.03</c:v>
                </c:pt>
                <c:pt idx="3" formatCode="0.00">
                  <c:v>11.48</c:v>
                </c:pt>
                <c:pt idx="4" formatCode="0.00">
                  <c:v>11.94</c:v>
                </c:pt>
                <c:pt idx="5" formatCode="0.00">
                  <c:v>11.93</c:v>
                </c:pt>
                <c:pt idx="6" formatCode="0.00">
                  <c:v>11.88</c:v>
                </c:pt>
                <c:pt idx="7" formatCode="0.00">
                  <c:v>12</c:v>
                </c:pt>
                <c:pt idx="8" formatCode="0.00">
                  <c:v>11.97</c:v>
                </c:pt>
                <c:pt idx="9" formatCode="0.00">
                  <c:v>11.82</c:v>
                </c:pt>
                <c:pt idx="10" formatCode="0.00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64B-4DA1-B6BF-1A3D0A761182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Graphs'!$C$57:$P$57</c:f>
              <c:numCache>
                <c:formatCode>General</c:formatCode>
                <c:ptCount val="14"/>
                <c:pt idx="0">
                  <c:v>1.1299999999999999</c:v>
                </c:pt>
                <c:pt idx="1">
                  <c:v>1.1200000000000001</c:v>
                </c:pt>
                <c:pt idx="2" formatCode="0.00">
                  <c:v>12.32</c:v>
                </c:pt>
                <c:pt idx="3" formatCode="0.00">
                  <c:v>11.71</c:v>
                </c:pt>
                <c:pt idx="4" formatCode="0.00">
                  <c:v>11.84</c:v>
                </c:pt>
                <c:pt idx="5" formatCode="0.00">
                  <c:v>11.84</c:v>
                </c:pt>
                <c:pt idx="6" formatCode="0.00">
                  <c:v>11.84</c:v>
                </c:pt>
                <c:pt idx="7" formatCode="0.00">
                  <c:v>12.08</c:v>
                </c:pt>
                <c:pt idx="8" formatCode="0.00">
                  <c:v>12.09</c:v>
                </c:pt>
                <c:pt idx="9" formatCode="0.00">
                  <c:v>12</c:v>
                </c:pt>
                <c:pt idx="10" formatCode="0.00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64B-4DA1-B6BF-1A3D0A761182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Graphs'!$C$58:$P$58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1.1100000000000001</c:v>
                </c:pt>
                <c:pt idx="2" formatCode="0.00">
                  <c:v>11.88</c:v>
                </c:pt>
                <c:pt idx="3" formatCode="0.00">
                  <c:v>11.45</c:v>
                </c:pt>
                <c:pt idx="4" formatCode="0.00">
                  <c:v>11.78</c:v>
                </c:pt>
                <c:pt idx="5" formatCode="0.00">
                  <c:v>11.75</c:v>
                </c:pt>
                <c:pt idx="6" formatCode="0.00">
                  <c:v>11.71</c:v>
                </c:pt>
                <c:pt idx="7" formatCode="0.00">
                  <c:v>11.75</c:v>
                </c:pt>
                <c:pt idx="8" formatCode="0.00">
                  <c:v>12.08</c:v>
                </c:pt>
                <c:pt idx="9" formatCode="0.00">
                  <c:v>11.98</c:v>
                </c:pt>
                <c:pt idx="10" formatCode="0.00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64B-4DA1-B6BF-1A3D0A761182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Graphs'!$C$59:$P$59</c:f>
              <c:numCache>
                <c:formatCode>General</c:formatCode>
                <c:ptCount val="14"/>
                <c:pt idx="0">
                  <c:v>1.1100000000000001</c:v>
                </c:pt>
                <c:pt idx="1">
                  <c:v>1.06</c:v>
                </c:pt>
                <c:pt idx="2" formatCode="0.00">
                  <c:v>1.17</c:v>
                </c:pt>
                <c:pt idx="3" formatCode="0.00">
                  <c:v>0.93300000000000005</c:v>
                </c:pt>
                <c:pt idx="4" formatCode="0.00">
                  <c:v>0.9</c:v>
                </c:pt>
                <c:pt idx="5" formatCode="0.00">
                  <c:v>0.52</c:v>
                </c:pt>
                <c:pt idx="6" formatCode="0.00">
                  <c:v>0.45</c:v>
                </c:pt>
                <c:pt idx="7" formatCode="0.00">
                  <c:v>0.57999999999999996</c:v>
                </c:pt>
                <c:pt idx="8" formatCode="0.00">
                  <c:v>0.37</c:v>
                </c:pt>
                <c:pt idx="9" formatCode="0.00">
                  <c:v>0.96</c:v>
                </c:pt>
                <c:pt idx="10" formatCode="0.0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64B-4DA1-B6BF-1A3D0A761182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Graphs'!$C$60:$P$60</c:f>
              <c:numCache>
                <c:formatCode>General</c:formatCode>
                <c:ptCount val="14"/>
                <c:pt idx="0">
                  <c:v>1.1499999999999999</c:v>
                </c:pt>
                <c:pt idx="1">
                  <c:v>1.1000000000000001</c:v>
                </c:pt>
                <c:pt idx="2" formatCode="0.00">
                  <c:v>1.21</c:v>
                </c:pt>
                <c:pt idx="3" formatCode="0.00">
                  <c:v>0.98</c:v>
                </c:pt>
                <c:pt idx="4" formatCode="0.00">
                  <c:v>0.97</c:v>
                </c:pt>
                <c:pt idx="5" formatCode="0.00">
                  <c:v>0.62</c:v>
                </c:pt>
                <c:pt idx="6" formatCode="0.00">
                  <c:v>0.46</c:v>
                </c:pt>
                <c:pt idx="7" formatCode="0.00">
                  <c:v>0.74</c:v>
                </c:pt>
                <c:pt idx="8" formatCode="0.00">
                  <c:v>0.54</c:v>
                </c:pt>
                <c:pt idx="9" formatCode="0.00">
                  <c:v>1.08</c:v>
                </c:pt>
                <c:pt idx="10" formatCode="0.0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64B-4DA1-B6BF-1A3D0A761182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Graphs'!$C$61:$P$61</c:f>
              <c:numCache>
                <c:formatCode>General</c:formatCode>
                <c:ptCount val="14"/>
                <c:pt idx="0">
                  <c:v>1.0900000000000001</c:v>
                </c:pt>
                <c:pt idx="1">
                  <c:v>1.06</c:v>
                </c:pt>
                <c:pt idx="2" formatCode="0.00">
                  <c:v>1.1599999999999999</c:v>
                </c:pt>
                <c:pt idx="3" formatCode="0.00">
                  <c:v>0.9</c:v>
                </c:pt>
                <c:pt idx="4" formatCode="0.00">
                  <c:v>0.88</c:v>
                </c:pt>
                <c:pt idx="5" formatCode="0.00">
                  <c:v>0.53</c:v>
                </c:pt>
                <c:pt idx="6" formatCode="0.00">
                  <c:v>0.38</c:v>
                </c:pt>
                <c:pt idx="7" formatCode="0.00">
                  <c:v>0.65</c:v>
                </c:pt>
                <c:pt idx="8" formatCode="0.00">
                  <c:v>0.44</c:v>
                </c:pt>
                <c:pt idx="9" formatCode="0.00">
                  <c:v>1</c:v>
                </c:pt>
                <c:pt idx="10" formatCode="0.0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64B-4DA1-B6BF-1A3D0A761182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Graphs'!$C$62:$P$62</c:f>
              <c:numCache>
                <c:formatCode>General</c:formatCode>
                <c:ptCount val="14"/>
                <c:pt idx="0">
                  <c:v>1.1200000000000001</c:v>
                </c:pt>
                <c:pt idx="1">
                  <c:v>1.07</c:v>
                </c:pt>
                <c:pt idx="2" formatCode="0.00">
                  <c:v>1.1599999999999999</c:v>
                </c:pt>
                <c:pt idx="3" formatCode="0.00">
                  <c:v>0.93</c:v>
                </c:pt>
                <c:pt idx="4" formatCode="0.00">
                  <c:v>0.92</c:v>
                </c:pt>
                <c:pt idx="5" formatCode="0.00">
                  <c:v>0.55000000000000004</c:v>
                </c:pt>
                <c:pt idx="6" formatCode="0.00">
                  <c:v>0.38</c:v>
                </c:pt>
                <c:pt idx="7" formatCode="0.00">
                  <c:v>0.66</c:v>
                </c:pt>
                <c:pt idx="8" formatCode="0.00">
                  <c:v>0.47</c:v>
                </c:pt>
                <c:pt idx="9" formatCode="0.00">
                  <c:v>0.99</c:v>
                </c:pt>
                <c:pt idx="10" formatCode="0.00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64B-4DA1-B6BF-1A3D0A761182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Graphs'!$C$63:$P$63</c:f>
              <c:numCache>
                <c:formatCode>General</c:formatCode>
                <c:ptCount val="14"/>
                <c:pt idx="0">
                  <c:v>1.0900000000000001</c:v>
                </c:pt>
                <c:pt idx="1">
                  <c:v>1.06</c:v>
                </c:pt>
                <c:pt idx="2" formatCode="0.00">
                  <c:v>1.18</c:v>
                </c:pt>
                <c:pt idx="3" formatCode="0.00">
                  <c:v>0.93</c:v>
                </c:pt>
                <c:pt idx="4" formatCode="0.00">
                  <c:v>0.9</c:v>
                </c:pt>
                <c:pt idx="5" formatCode="0.00">
                  <c:v>0.54</c:v>
                </c:pt>
                <c:pt idx="6" formatCode="0.00">
                  <c:v>0.37</c:v>
                </c:pt>
                <c:pt idx="7" formatCode="0.00">
                  <c:v>0.66</c:v>
                </c:pt>
                <c:pt idx="8" formatCode="0.00">
                  <c:v>0.46</c:v>
                </c:pt>
                <c:pt idx="9" formatCode="0.00">
                  <c:v>0.99</c:v>
                </c:pt>
                <c:pt idx="10" formatCode="0.0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64B-4DA1-B6BF-1A3D0A761182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Graphs'!$C$4:$P$4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45375</c:v>
                </c:pt>
                <c:pt idx="3">
                  <c:v>45379</c:v>
                </c:pt>
                <c:pt idx="4">
                  <c:v>45380</c:v>
                </c:pt>
                <c:pt idx="5">
                  <c:v>45386</c:v>
                </c:pt>
                <c:pt idx="6">
                  <c:v>45393</c:v>
                </c:pt>
                <c:pt idx="7">
                  <c:v>45407</c:v>
                </c:pt>
                <c:pt idx="8">
                  <c:v>45414</c:v>
                </c:pt>
                <c:pt idx="9">
                  <c:v>45421</c:v>
                </c:pt>
                <c:pt idx="10">
                  <c:v>45428</c:v>
                </c:pt>
              </c:numCache>
            </c:numRef>
          </c:cat>
          <c:val>
            <c:numRef>
              <c:f>'EC &amp; pH Graphs'!$C$64:$P$64</c:f>
              <c:numCache>
                <c:formatCode>General</c:formatCode>
                <c:ptCount val="14"/>
                <c:pt idx="0">
                  <c:v>1.1000000000000001</c:v>
                </c:pt>
                <c:pt idx="1">
                  <c:v>1.05</c:v>
                </c:pt>
                <c:pt idx="2" formatCode="0.00">
                  <c:v>1.18</c:v>
                </c:pt>
                <c:pt idx="3" formatCode="0.00">
                  <c:v>0.92</c:v>
                </c:pt>
                <c:pt idx="4" formatCode="0.00">
                  <c:v>0.89</c:v>
                </c:pt>
                <c:pt idx="5" formatCode="0.00">
                  <c:v>0.53</c:v>
                </c:pt>
                <c:pt idx="6" formatCode="0.00">
                  <c:v>0.36</c:v>
                </c:pt>
                <c:pt idx="7" formatCode="0.00">
                  <c:v>0.69</c:v>
                </c:pt>
                <c:pt idx="8" formatCode="0.00">
                  <c:v>0.48</c:v>
                </c:pt>
                <c:pt idx="9" formatCode="0.00">
                  <c:v>0.99</c:v>
                </c:pt>
                <c:pt idx="10" formatCode="0.00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64B-4DA1-B6BF-1A3D0A76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dateAx>
        <c:axId val="7123586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Offset val="100"/>
        <c:baseTimeUnit val="days"/>
      </c:dateAx>
      <c:valAx>
        <c:axId val="712363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EC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 (dS/m)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pH- </a:t>
            </a: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Moderate Salinity (12 dS/m)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Graphs'!$C$70:$P$70</c:f>
              <c:numCache>
                <c:formatCode>General</c:formatCode>
                <c:ptCount val="14"/>
                <c:pt idx="0">
                  <c:v>7.48</c:v>
                </c:pt>
                <c:pt idx="1">
                  <c:v>7.31</c:v>
                </c:pt>
                <c:pt idx="2" formatCode="0.00">
                  <c:v>6.56</c:v>
                </c:pt>
                <c:pt idx="3" formatCode="0.00">
                  <c:v>5.99</c:v>
                </c:pt>
                <c:pt idx="4" formatCode="0.00">
                  <c:v>6.14</c:v>
                </c:pt>
                <c:pt idx="5" formatCode="0.00">
                  <c:v>5.44</c:v>
                </c:pt>
                <c:pt idx="6" formatCode="0.00">
                  <c:v>5.76</c:v>
                </c:pt>
                <c:pt idx="7" formatCode="0.00">
                  <c:v>5.36</c:v>
                </c:pt>
                <c:pt idx="8" formatCode="0.00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74-497A-9765-A08CDF8921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Graphs'!$C$71:$P$71</c:f>
              <c:numCache>
                <c:formatCode>General</c:formatCode>
                <c:ptCount val="14"/>
                <c:pt idx="0">
                  <c:v>7.22</c:v>
                </c:pt>
                <c:pt idx="1">
                  <c:v>7.28</c:v>
                </c:pt>
                <c:pt idx="2" formatCode="0.00">
                  <c:v>6.28</c:v>
                </c:pt>
                <c:pt idx="3" formatCode="0.00">
                  <c:v>6.02</c:v>
                </c:pt>
                <c:pt idx="4" formatCode="0.00">
                  <c:v>6.69</c:v>
                </c:pt>
                <c:pt idx="5" formatCode="0.00">
                  <c:v>5.65</c:v>
                </c:pt>
                <c:pt idx="6" formatCode="0.00">
                  <c:v>5.6</c:v>
                </c:pt>
                <c:pt idx="7" formatCode="0.00">
                  <c:v>5.26</c:v>
                </c:pt>
                <c:pt idx="8" formatCode="0.00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B74-497A-9765-A08CDF89216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Graphs'!$C$72:$P$72</c:f>
              <c:numCache>
                <c:formatCode>General</c:formatCode>
                <c:ptCount val="14"/>
                <c:pt idx="0">
                  <c:v>7.3</c:v>
                </c:pt>
                <c:pt idx="1">
                  <c:v>7.28</c:v>
                </c:pt>
                <c:pt idx="2" formatCode="0.00">
                  <c:v>5.7</c:v>
                </c:pt>
                <c:pt idx="3" formatCode="0.00">
                  <c:v>6.19</c:v>
                </c:pt>
                <c:pt idx="4" formatCode="0.00">
                  <c:v>6.04</c:v>
                </c:pt>
                <c:pt idx="5" formatCode="0.00">
                  <c:v>5.48</c:v>
                </c:pt>
                <c:pt idx="6" formatCode="0.00">
                  <c:v>5.56</c:v>
                </c:pt>
                <c:pt idx="7" formatCode="0.00">
                  <c:v>5.34</c:v>
                </c:pt>
                <c:pt idx="8" formatCode="0.00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74-497A-9765-A08CDF89216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Graphs'!$C$73:$P$73</c:f>
              <c:numCache>
                <c:formatCode>General</c:formatCode>
                <c:ptCount val="14"/>
                <c:pt idx="0">
                  <c:v>7.35</c:v>
                </c:pt>
                <c:pt idx="1">
                  <c:v>7.32</c:v>
                </c:pt>
                <c:pt idx="2" formatCode="0.00">
                  <c:v>5.87</c:v>
                </c:pt>
                <c:pt idx="3" formatCode="0.00">
                  <c:v>5.74</c:v>
                </c:pt>
                <c:pt idx="4" formatCode="0.00">
                  <c:v>5.75</c:v>
                </c:pt>
                <c:pt idx="5" formatCode="0.00">
                  <c:v>5.26</c:v>
                </c:pt>
                <c:pt idx="6" formatCode="0.00">
                  <c:v>5.41</c:v>
                </c:pt>
                <c:pt idx="7" formatCode="0.00">
                  <c:v>5.29</c:v>
                </c:pt>
                <c:pt idx="8" formatCode="0.00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B74-497A-9765-A08CDF89216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Graphs'!$C$74:$P$74</c:f>
              <c:numCache>
                <c:formatCode>General</c:formatCode>
                <c:ptCount val="14"/>
                <c:pt idx="0">
                  <c:v>7.37</c:v>
                </c:pt>
                <c:pt idx="1">
                  <c:v>7.36</c:v>
                </c:pt>
                <c:pt idx="2" formatCode="0.00">
                  <c:v>6.72</c:v>
                </c:pt>
                <c:pt idx="3" formatCode="0.00">
                  <c:v>5.81</c:v>
                </c:pt>
                <c:pt idx="4" formatCode="0.00">
                  <c:v>5.77</c:v>
                </c:pt>
                <c:pt idx="5" formatCode="0.00">
                  <c:v>5.4</c:v>
                </c:pt>
                <c:pt idx="6" formatCode="0.00">
                  <c:v>5.45</c:v>
                </c:pt>
                <c:pt idx="7" formatCode="0.00">
                  <c:v>5.34</c:v>
                </c:pt>
                <c:pt idx="8" formatCode="0.00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B74-497A-9765-A08CDF89216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Graphs'!$C$75:$P$75</c:f>
              <c:numCache>
                <c:formatCode>General</c:formatCode>
                <c:ptCount val="14"/>
                <c:pt idx="0">
                  <c:v>7.42</c:v>
                </c:pt>
                <c:pt idx="1">
                  <c:v>7.41</c:v>
                </c:pt>
                <c:pt idx="2" formatCode="0.00">
                  <c:v>6.78</c:v>
                </c:pt>
                <c:pt idx="3" formatCode="0.00">
                  <c:v>5.93</c:v>
                </c:pt>
                <c:pt idx="4" formatCode="0.00">
                  <c:v>5.78</c:v>
                </c:pt>
                <c:pt idx="5" formatCode="0.00">
                  <c:v>5.49</c:v>
                </c:pt>
                <c:pt idx="6" formatCode="0.00">
                  <c:v>5.49</c:v>
                </c:pt>
                <c:pt idx="7" formatCode="0.00">
                  <c:v>5.36</c:v>
                </c:pt>
                <c:pt idx="8" formatCode="0.00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B74-497A-9765-A08CDF89216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Graphs'!$C$76:$P$76</c:f>
              <c:numCache>
                <c:formatCode>General</c:formatCode>
                <c:ptCount val="14"/>
                <c:pt idx="0">
                  <c:v>7.51</c:v>
                </c:pt>
                <c:pt idx="1">
                  <c:v>7.48</c:v>
                </c:pt>
                <c:pt idx="2" formatCode="0.00">
                  <c:v>6.66</c:v>
                </c:pt>
                <c:pt idx="3" formatCode="0.00">
                  <c:v>6.25</c:v>
                </c:pt>
                <c:pt idx="4" formatCode="0.00">
                  <c:v>5.88</c:v>
                </c:pt>
                <c:pt idx="5" formatCode="0.00">
                  <c:v>5.47</c:v>
                </c:pt>
                <c:pt idx="6" formatCode="0.00">
                  <c:v>5.45</c:v>
                </c:pt>
                <c:pt idx="7" formatCode="0.00">
                  <c:v>5.33</c:v>
                </c:pt>
                <c:pt idx="8" formatCode="0.0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B74-497A-9765-A08CDF89216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Graphs'!$C$77:$P$77</c:f>
              <c:numCache>
                <c:formatCode>General</c:formatCode>
                <c:ptCount val="14"/>
                <c:pt idx="0">
                  <c:v>7.52</c:v>
                </c:pt>
                <c:pt idx="1">
                  <c:v>7.48</c:v>
                </c:pt>
                <c:pt idx="2" formatCode="0.00">
                  <c:v>6.43</c:v>
                </c:pt>
                <c:pt idx="3" formatCode="0.00">
                  <c:v>6.35</c:v>
                </c:pt>
                <c:pt idx="4" formatCode="0.00">
                  <c:v>5.9</c:v>
                </c:pt>
                <c:pt idx="5" formatCode="0.00">
                  <c:v>5.4</c:v>
                </c:pt>
                <c:pt idx="6" formatCode="0.00">
                  <c:v>5.36</c:v>
                </c:pt>
                <c:pt idx="7" formatCode="0.00">
                  <c:v>5.31</c:v>
                </c:pt>
                <c:pt idx="8" formatCode="0.00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B74-497A-9765-A08CDF89216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Graphs'!$C$78:$P$78</c:f>
              <c:numCache>
                <c:formatCode>General</c:formatCode>
                <c:ptCount val="14"/>
                <c:pt idx="0">
                  <c:v>7.48</c:v>
                </c:pt>
                <c:pt idx="1">
                  <c:v>7.47</c:v>
                </c:pt>
                <c:pt idx="2" formatCode="0.00">
                  <c:v>6.2</c:v>
                </c:pt>
                <c:pt idx="3" formatCode="0.00">
                  <c:v>6.21</c:v>
                </c:pt>
                <c:pt idx="4" formatCode="0.00">
                  <c:v>5.75</c:v>
                </c:pt>
                <c:pt idx="5" formatCode="0.00">
                  <c:v>5.4</c:v>
                </c:pt>
                <c:pt idx="6" formatCode="0.00">
                  <c:v>5.3</c:v>
                </c:pt>
                <c:pt idx="7" formatCode="0.00">
                  <c:v>5.27</c:v>
                </c:pt>
                <c:pt idx="8" formatCode="0.00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B74-497A-9765-A08CDF89216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Graphs'!$C$79:$P$79</c:f>
              <c:numCache>
                <c:formatCode>General</c:formatCode>
                <c:ptCount val="14"/>
                <c:pt idx="0">
                  <c:v>7.49</c:v>
                </c:pt>
                <c:pt idx="1">
                  <c:v>7.47</c:v>
                </c:pt>
                <c:pt idx="2" formatCode="0.00">
                  <c:v>5.79</c:v>
                </c:pt>
                <c:pt idx="3" formatCode="0.00">
                  <c:v>5.91</c:v>
                </c:pt>
                <c:pt idx="4" formatCode="0.00">
                  <c:v>5.56</c:v>
                </c:pt>
                <c:pt idx="5" formatCode="0.00">
                  <c:v>5.41</c:v>
                </c:pt>
                <c:pt idx="6" formatCode="0.00">
                  <c:v>5.3</c:v>
                </c:pt>
                <c:pt idx="7" formatCode="0.00">
                  <c:v>5.2</c:v>
                </c:pt>
                <c:pt idx="8" formatCode="0.00">
                  <c:v>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B74-497A-9765-A08CDF89216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Graphs'!$C$80:$P$80</c:f>
              <c:numCache>
                <c:formatCode>General</c:formatCode>
                <c:ptCount val="14"/>
                <c:pt idx="0">
                  <c:v>7.49</c:v>
                </c:pt>
                <c:pt idx="1">
                  <c:v>7.52</c:v>
                </c:pt>
                <c:pt idx="2" formatCode="0.00">
                  <c:v>6.61</c:v>
                </c:pt>
                <c:pt idx="3" formatCode="0.00">
                  <c:v>6.07</c:v>
                </c:pt>
                <c:pt idx="4" formatCode="0.00">
                  <c:v>5.58</c:v>
                </c:pt>
                <c:pt idx="5" formatCode="0.00">
                  <c:v>5.28</c:v>
                </c:pt>
                <c:pt idx="6" formatCode="0.00">
                  <c:v>5.34</c:v>
                </c:pt>
                <c:pt idx="7" formatCode="0.00">
                  <c:v>5.25</c:v>
                </c:pt>
                <c:pt idx="8" formatCode="0.00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B74-497A-9765-A08CDF89216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Graphs'!$C$81:$P$81</c:f>
              <c:numCache>
                <c:formatCode>General</c:formatCode>
                <c:ptCount val="14"/>
                <c:pt idx="0">
                  <c:v>7.55</c:v>
                </c:pt>
                <c:pt idx="1">
                  <c:v>7.55</c:v>
                </c:pt>
                <c:pt idx="2" formatCode="0.00">
                  <c:v>6.02</c:v>
                </c:pt>
                <c:pt idx="3" formatCode="0.00">
                  <c:v>6.34</c:v>
                </c:pt>
                <c:pt idx="4" formatCode="0.00">
                  <c:v>5.74</c:v>
                </c:pt>
                <c:pt idx="5" formatCode="0.00">
                  <c:v>5.24</c:v>
                </c:pt>
                <c:pt idx="6" formatCode="0.00">
                  <c:v>5.26</c:v>
                </c:pt>
                <c:pt idx="7" formatCode="0.00">
                  <c:v>5.14</c:v>
                </c:pt>
                <c:pt idx="8" formatCode="0.00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B74-497A-9765-A08CDF89216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Graphs'!$C$82:$P$82</c:f>
              <c:numCache>
                <c:formatCode>General</c:formatCode>
                <c:ptCount val="14"/>
                <c:pt idx="0">
                  <c:v>7.21</c:v>
                </c:pt>
                <c:pt idx="1">
                  <c:v>7.18</c:v>
                </c:pt>
                <c:pt idx="2" formatCode="0.00">
                  <c:v>5.76</c:v>
                </c:pt>
                <c:pt idx="3" formatCode="0.00">
                  <c:v>5.79</c:v>
                </c:pt>
                <c:pt idx="4" formatCode="0.00">
                  <c:v>5.62</c:v>
                </c:pt>
                <c:pt idx="5" formatCode="0.00">
                  <c:v>5.21</c:v>
                </c:pt>
                <c:pt idx="6" formatCode="0.00">
                  <c:v>5.2</c:v>
                </c:pt>
                <c:pt idx="7" formatCode="0.00">
                  <c:v>5.15</c:v>
                </c:pt>
                <c:pt idx="8" formatCode="0.00">
                  <c:v>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B74-497A-9765-A08CDF89216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Graphs'!$C$83:$P$83</c:f>
              <c:numCache>
                <c:formatCode>General</c:formatCode>
                <c:ptCount val="14"/>
                <c:pt idx="0">
                  <c:v>7.32</c:v>
                </c:pt>
                <c:pt idx="1">
                  <c:v>7.29</c:v>
                </c:pt>
                <c:pt idx="2" formatCode="0.00">
                  <c:v>6.39</c:v>
                </c:pt>
                <c:pt idx="3" formatCode="0.00">
                  <c:v>5.87</c:v>
                </c:pt>
                <c:pt idx="4" formatCode="0.00">
                  <c:v>5.57</c:v>
                </c:pt>
                <c:pt idx="5" formatCode="0.00">
                  <c:v>5.33</c:v>
                </c:pt>
                <c:pt idx="6" formatCode="0.00">
                  <c:v>5.23</c:v>
                </c:pt>
                <c:pt idx="7" formatCode="0.00">
                  <c:v>5.18</c:v>
                </c:pt>
                <c:pt idx="8" formatCode="0.00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B74-497A-9765-A08CDF89216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Graphs'!$C$84:$P$84</c:f>
              <c:numCache>
                <c:formatCode>General</c:formatCode>
                <c:ptCount val="14"/>
                <c:pt idx="0">
                  <c:v>7.49</c:v>
                </c:pt>
                <c:pt idx="1">
                  <c:v>7.41</c:v>
                </c:pt>
                <c:pt idx="2" formatCode="0.00">
                  <c:v>6.49</c:v>
                </c:pt>
                <c:pt idx="3" formatCode="0.00">
                  <c:v>5.94</c:v>
                </c:pt>
                <c:pt idx="4" formatCode="0.00">
                  <c:v>5.7</c:v>
                </c:pt>
                <c:pt idx="5" formatCode="0.00">
                  <c:v>5.46</c:v>
                </c:pt>
                <c:pt idx="6" formatCode="0.00">
                  <c:v>5.35</c:v>
                </c:pt>
                <c:pt idx="7" formatCode="0.00">
                  <c:v>5.31</c:v>
                </c:pt>
                <c:pt idx="8" formatCode="0.00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B74-497A-9765-A08CDF89216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Graphs'!$C$85:$P$85</c:f>
              <c:numCache>
                <c:formatCode>General</c:formatCode>
                <c:ptCount val="14"/>
                <c:pt idx="0">
                  <c:v>7.53</c:v>
                </c:pt>
                <c:pt idx="1">
                  <c:v>7.51</c:v>
                </c:pt>
                <c:pt idx="2" formatCode="0.00">
                  <c:v>6.7</c:v>
                </c:pt>
                <c:pt idx="3" formatCode="0.00">
                  <c:v>6.11</c:v>
                </c:pt>
                <c:pt idx="4" formatCode="0.00">
                  <c:v>5.72</c:v>
                </c:pt>
                <c:pt idx="5" formatCode="0.00">
                  <c:v>5.14</c:v>
                </c:pt>
                <c:pt idx="6" formatCode="0.00">
                  <c:v>5.22</c:v>
                </c:pt>
                <c:pt idx="7" formatCode="0.00">
                  <c:v>5.26</c:v>
                </c:pt>
                <c:pt idx="8" formatCode="0.00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B74-497A-9765-A08CDF892163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Graphs'!$C$86:$P$86</c:f>
              <c:numCache>
                <c:formatCode>General</c:formatCode>
                <c:ptCount val="14"/>
                <c:pt idx="0">
                  <c:v>7.56</c:v>
                </c:pt>
                <c:pt idx="1">
                  <c:v>7.56</c:v>
                </c:pt>
                <c:pt idx="2" formatCode="0.00">
                  <c:v>6.52</c:v>
                </c:pt>
                <c:pt idx="3" formatCode="0.00">
                  <c:v>6.14</c:v>
                </c:pt>
                <c:pt idx="4" formatCode="0.00">
                  <c:v>5.7</c:v>
                </c:pt>
                <c:pt idx="5" formatCode="0.00">
                  <c:v>5.4</c:v>
                </c:pt>
                <c:pt idx="6" formatCode="0.00">
                  <c:v>5.25</c:v>
                </c:pt>
                <c:pt idx="7" formatCode="0.00">
                  <c:v>5.24</c:v>
                </c:pt>
                <c:pt idx="8" formatCode="0.0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B74-497A-9765-A08CDF892163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Graphs'!$C$87:$P$87</c:f>
              <c:numCache>
                <c:formatCode>General</c:formatCode>
                <c:ptCount val="14"/>
                <c:pt idx="0">
                  <c:v>7.61</c:v>
                </c:pt>
                <c:pt idx="1">
                  <c:v>6.9</c:v>
                </c:pt>
                <c:pt idx="2" formatCode="0.00">
                  <c:v>6.04</c:v>
                </c:pt>
                <c:pt idx="3" formatCode="0.00">
                  <c:v>5.9</c:v>
                </c:pt>
                <c:pt idx="4" formatCode="0.00">
                  <c:v>5.73</c:v>
                </c:pt>
                <c:pt idx="5" formatCode="0.00">
                  <c:v>5.47</c:v>
                </c:pt>
                <c:pt idx="6" formatCode="0.00">
                  <c:v>5.25</c:v>
                </c:pt>
                <c:pt idx="7" formatCode="0.00">
                  <c:v>5.34</c:v>
                </c:pt>
                <c:pt idx="8" formatCode="0.00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B74-497A-9765-A08CDF892163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Graphs'!$C$88:$P$88</c:f>
              <c:numCache>
                <c:formatCode>General</c:formatCode>
                <c:ptCount val="14"/>
                <c:pt idx="0">
                  <c:v>7.61</c:v>
                </c:pt>
                <c:pt idx="1">
                  <c:v>7.46</c:v>
                </c:pt>
                <c:pt idx="2" formatCode="0.00">
                  <c:v>6.72</c:v>
                </c:pt>
                <c:pt idx="3" formatCode="0.00">
                  <c:v>6</c:v>
                </c:pt>
                <c:pt idx="4" formatCode="0.00">
                  <c:v>5.82</c:v>
                </c:pt>
                <c:pt idx="5" formatCode="0.00">
                  <c:v>5.34</c:v>
                </c:pt>
                <c:pt idx="6" formatCode="0.00">
                  <c:v>5.32</c:v>
                </c:pt>
                <c:pt idx="7" formatCode="0.00">
                  <c:v>5.45</c:v>
                </c:pt>
                <c:pt idx="8" formatCode="0.00">
                  <c:v>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B74-497A-9765-A08CDF892163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Graphs'!$C$89:$P$89</c:f>
              <c:numCache>
                <c:formatCode>General</c:formatCode>
                <c:ptCount val="14"/>
                <c:pt idx="0">
                  <c:v>7.64</c:v>
                </c:pt>
                <c:pt idx="1">
                  <c:v>7.55</c:v>
                </c:pt>
                <c:pt idx="2" formatCode="0.00">
                  <c:v>6.69</c:v>
                </c:pt>
                <c:pt idx="3" formatCode="0.00">
                  <c:v>6.05</c:v>
                </c:pt>
                <c:pt idx="4" formatCode="0.00">
                  <c:v>5.85</c:v>
                </c:pt>
                <c:pt idx="5" formatCode="0.00">
                  <c:v>5.35</c:v>
                </c:pt>
                <c:pt idx="6" formatCode="0.00">
                  <c:v>5.31</c:v>
                </c:pt>
                <c:pt idx="7" formatCode="0.00">
                  <c:v>5.48</c:v>
                </c:pt>
                <c:pt idx="8" formatCode="0.0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B74-497A-9765-A08CDF892163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Graphs'!$C$90:$P$90</c:f>
              <c:numCache>
                <c:formatCode>General</c:formatCode>
                <c:ptCount val="14"/>
                <c:pt idx="0">
                  <c:v>7.61</c:v>
                </c:pt>
                <c:pt idx="1">
                  <c:v>7.56</c:v>
                </c:pt>
                <c:pt idx="2" formatCode="0.00">
                  <c:v>6.56</c:v>
                </c:pt>
                <c:pt idx="3" formatCode="0.00">
                  <c:v>5.93</c:v>
                </c:pt>
                <c:pt idx="4" formatCode="0.00">
                  <c:v>5.82</c:v>
                </c:pt>
                <c:pt idx="5" formatCode="0.00">
                  <c:v>5.36</c:v>
                </c:pt>
                <c:pt idx="6" formatCode="0.00">
                  <c:v>5.46</c:v>
                </c:pt>
                <c:pt idx="7" formatCode="0.00">
                  <c:v>5.47</c:v>
                </c:pt>
                <c:pt idx="8" formatCode="0.00">
                  <c:v>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B74-497A-9765-A08CDF892163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Graphs'!$C$91:$P$91</c:f>
              <c:numCache>
                <c:formatCode>General</c:formatCode>
                <c:ptCount val="14"/>
                <c:pt idx="0">
                  <c:v>7.6</c:v>
                </c:pt>
                <c:pt idx="1">
                  <c:v>7.57</c:v>
                </c:pt>
                <c:pt idx="2" formatCode="0.00">
                  <c:v>6.43</c:v>
                </c:pt>
                <c:pt idx="3" formatCode="0.00">
                  <c:v>6.01</c:v>
                </c:pt>
                <c:pt idx="4" formatCode="0.00">
                  <c:v>5.71</c:v>
                </c:pt>
                <c:pt idx="5" formatCode="0.00">
                  <c:v>5.25</c:v>
                </c:pt>
                <c:pt idx="6" formatCode="0.00">
                  <c:v>5.3</c:v>
                </c:pt>
                <c:pt idx="7" formatCode="0.00">
                  <c:v>5.32</c:v>
                </c:pt>
                <c:pt idx="8" formatCode="0.00">
                  <c:v>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B74-497A-9765-A08CDF892163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Graphs'!$C$92:$P$92</c:f>
              <c:numCache>
                <c:formatCode>General</c:formatCode>
                <c:ptCount val="14"/>
                <c:pt idx="0">
                  <c:v>6.94</c:v>
                </c:pt>
                <c:pt idx="1">
                  <c:v>6.7</c:v>
                </c:pt>
                <c:pt idx="2" formatCode="0.00">
                  <c:v>5.95</c:v>
                </c:pt>
                <c:pt idx="3" formatCode="0.00">
                  <c:v>6.17</c:v>
                </c:pt>
                <c:pt idx="4" formatCode="0.00">
                  <c:v>5.66</c:v>
                </c:pt>
                <c:pt idx="5" formatCode="0.00">
                  <c:v>5.32</c:v>
                </c:pt>
                <c:pt idx="6" formatCode="0.00">
                  <c:v>5.27</c:v>
                </c:pt>
                <c:pt idx="7" formatCode="0.00">
                  <c:v>5.26</c:v>
                </c:pt>
                <c:pt idx="8" formatCode="0.00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B74-497A-9765-A08CDF892163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Graphs'!$C$93:$P$93</c:f>
              <c:numCache>
                <c:formatCode>General</c:formatCode>
                <c:ptCount val="14"/>
                <c:pt idx="0">
                  <c:v>7.2</c:v>
                </c:pt>
                <c:pt idx="1">
                  <c:v>7.46</c:v>
                </c:pt>
                <c:pt idx="2" formatCode="0.00">
                  <c:v>5.65</c:v>
                </c:pt>
                <c:pt idx="3" formatCode="0.00">
                  <c:v>6.05</c:v>
                </c:pt>
                <c:pt idx="4" formatCode="0.00">
                  <c:v>5.6</c:v>
                </c:pt>
                <c:pt idx="5" formatCode="0.00">
                  <c:v>5.3</c:v>
                </c:pt>
                <c:pt idx="6" formatCode="0.00">
                  <c:v>5.26</c:v>
                </c:pt>
                <c:pt idx="7" formatCode="0.00">
                  <c:v>5.2</c:v>
                </c:pt>
                <c:pt idx="8" formatCode="0.00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B74-497A-9765-A08CDF892163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Graphs'!$C$94:$P$94</c:f>
              <c:numCache>
                <c:formatCode>General</c:formatCode>
                <c:ptCount val="14"/>
                <c:pt idx="0">
                  <c:v>7.43</c:v>
                </c:pt>
                <c:pt idx="1">
                  <c:v>7.09</c:v>
                </c:pt>
                <c:pt idx="2" formatCode="0.00">
                  <c:v>5.67</c:v>
                </c:pt>
                <c:pt idx="3" formatCode="0.00">
                  <c:v>5.67</c:v>
                </c:pt>
                <c:pt idx="4" formatCode="0.00">
                  <c:v>5.46</c:v>
                </c:pt>
                <c:pt idx="5" formatCode="0.00">
                  <c:v>5.14</c:v>
                </c:pt>
                <c:pt idx="6" formatCode="0.00">
                  <c:v>5.21</c:v>
                </c:pt>
                <c:pt idx="7" formatCode="0.00">
                  <c:v>5.26</c:v>
                </c:pt>
                <c:pt idx="8" formatCode="0.00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B74-497A-9765-A08CDF892163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Graphs'!$C$95:$P$95</c:f>
              <c:numCache>
                <c:formatCode>General</c:formatCode>
                <c:ptCount val="14"/>
                <c:pt idx="0">
                  <c:v>7.54</c:v>
                </c:pt>
                <c:pt idx="1">
                  <c:v>7.5</c:v>
                </c:pt>
                <c:pt idx="2" formatCode="0.00">
                  <c:v>6.01</c:v>
                </c:pt>
                <c:pt idx="3" formatCode="0.00">
                  <c:v>5.56</c:v>
                </c:pt>
                <c:pt idx="4" formatCode="0.00">
                  <c:v>5.55</c:v>
                </c:pt>
                <c:pt idx="5" formatCode="0.00">
                  <c:v>5.26</c:v>
                </c:pt>
                <c:pt idx="6" formatCode="0.00">
                  <c:v>5.3</c:v>
                </c:pt>
                <c:pt idx="7" formatCode="0.00">
                  <c:v>5.45</c:v>
                </c:pt>
                <c:pt idx="8" formatCode="0.00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B74-497A-9765-A08CDF892163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Graphs'!$C$96:$P$96</c:f>
              <c:numCache>
                <c:formatCode>General</c:formatCode>
                <c:ptCount val="14"/>
                <c:pt idx="0">
                  <c:v>7.57</c:v>
                </c:pt>
                <c:pt idx="1">
                  <c:v>7.56</c:v>
                </c:pt>
                <c:pt idx="2" formatCode="0.00">
                  <c:v>6.2</c:v>
                </c:pt>
                <c:pt idx="3" formatCode="0.00">
                  <c:v>5.72</c:v>
                </c:pt>
                <c:pt idx="4" formatCode="0.00">
                  <c:v>5.77</c:v>
                </c:pt>
                <c:pt idx="5" formatCode="0.00">
                  <c:v>5.24</c:v>
                </c:pt>
                <c:pt idx="6" formatCode="0.00">
                  <c:v>5.23</c:v>
                </c:pt>
                <c:pt idx="7" formatCode="0.00">
                  <c:v>5.38</c:v>
                </c:pt>
                <c:pt idx="8" formatCode="0.00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B74-497A-9765-A08CDF892163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Graphs'!$C$97:$P$97</c:f>
              <c:numCache>
                <c:formatCode>General</c:formatCode>
                <c:ptCount val="14"/>
                <c:pt idx="0">
                  <c:v>7.03</c:v>
                </c:pt>
                <c:pt idx="1">
                  <c:v>6.99</c:v>
                </c:pt>
                <c:pt idx="2" formatCode="0.00">
                  <c:v>6.07</c:v>
                </c:pt>
                <c:pt idx="3" formatCode="0.00">
                  <c:v>5.96</c:v>
                </c:pt>
                <c:pt idx="4" formatCode="0.00">
                  <c:v>5.71</c:v>
                </c:pt>
                <c:pt idx="5" formatCode="0.00">
                  <c:v>5.23</c:v>
                </c:pt>
                <c:pt idx="6" formatCode="0.00">
                  <c:v>5.24</c:v>
                </c:pt>
                <c:pt idx="7" formatCode="0.00">
                  <c:v>5.35</c:v>
                </c:pt>
                <c:pt idx="8" formatCode="0.00">
                  <c:v>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B74-497A-9765-A08CDF892163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Graphs'!$C$98:$P$98</c:f>
              <c:numCache>
                <c:formatCode>General</c:formatCode>
                <c:ptCount val="14"/>
                <c:pt idx="0">
                  <c:v>7.39</c:v>
                </c:pt>
                <c:pt idx="1">
                  <c:v>7.48</c:v>
                </c:pt>
                <c:pt idx="2" formatCode="0.00">
                  <c:v>5.67</c:v>
                </c:pt>
                <c:pt idx="3" formatCode="0.00">
                  <c:v>5.91</c:v>
                </c:pt>
                <c:pt idx="4" formatCode="0.00">
                  <c:v>5.6</c:v>
                </c:pt>
                <c:pt idx="5" formatCode="0.00">
                  <c:v>5.21</c:v>
                </c:pt>
                <c:pt idx="6" formatCode="0.00">
                  <c:v>5.2</c:v>
                </c:pt>
                <c:pt idx="7" formatCode="0.00">
                  <c:v>5.33</c:v>
                </c:pt>
                <c:pt idx="8" formatCode="0.00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B74-497A-9765-A08CDF892163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Graphs'!$C$99:$P$99</c:f>
              <c:numCache>
                <c:formatCode>General</c:formatCode>
                <c:ptCount val="14"/>
                <c:pt idx="0">
                  <c:v>7.51</c:v>
                </c:pt>
                <c:pt idx="1">
                  <c:v>7.37</c:v>
                </c:pt>
                <c:pt idx="2" formatCode="0.00">
                  <c:v>5.41</c:v>
                </c:pt>
                <c:pt idx="3" formatCode="0.00">
                  <c:v>5.71</c:v>
                </c:pt>
                <c:pt idx="4" formatCode="0.00">
                  <c:v>5.48</c:v>
                </c:pt>
                <c:pt idx="5" formatCode="0.00">
                  <c:v>5.0999999999999996</c:v>
                </c:pt>
                <c:pt idx="6" formatCode="0.00">
                  <c:v>5.12</c:v>
                </c:pt>
                <c:pt idx="7" formatCode="0.00">
                  <c:v>5.29</c:v>
                </c:pt>
                <c:pt idx="8" formatCode="0.00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B74-497A-9765-A08CDF892163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Graphs'!$C$100:$P$100</c:f>
              <c:numCache>
                <c:formatCode>General</c:formatCode>
                <c:ptCount val="14"/>
                <c:pt idx="0">
                  <c:v>7.46</c:v>
                </c:pt>
                <c:pt idx="1">
                  <c:v>6.5</c:v>
                </c:pt>
                <c:pt idx="2" formatCode="0.00">
                  <c:v>5.63</c:v>
                </c:pt>
                <c:pt idx="3" formatCode="0.00">
                  <c:v>5.46</c:v>
                </c:pt>
                <c:pt idx="4" formatCode="0.00">
                  <c:v>5.33</c:v>
                </c:pt>
                <c:pt idx="5" formatCode="0.00">
                  <c:v>5.54</c:v>
                </c:pt>
                <c:pt idx="6" formatCode="0.00">
                  <c:v>5.35</c:v>
                </c:pt>
                <c:pt idx="7" formatCode="0.00">
                  <c:v>5.28</c:v>
                </c:pt>
                <c:pt idx="8" formatCode="0.00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B74-497A-9765-A08CDF892163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Graphs'!$C$101:$P$101</c:f>
              <c:numCache>
                <c:formatCode>General</c:formatCode>
                <c:ptCount val="14"/>
                <c:pt idx="0">
                  <c:v>7.51</c:v>
                </c:pt>
                <c:pt idx="1">
                  <c:v>7.25</c:v>
                </c:pt>
                <c:pt idx="2" formatCode="0.00">
                  <c:v>5.73</c:v>
                </c:pt>
                <c:pt idx="3" formatCode="0.00">
                  <c:v>5.64</c:v>
                </c:pt>
                <c:pt idx="4" formatCode="0.00">
                  <c:v>5.57</c:v>
                </c:pt>
                <c:pt idx="5" formatCode="0.00">
                  <c:v>5.46</c:v>
                </c:pt>
                <c:pt idx="6" formatCode="0.00">
                  <c:v>5.41</c:v>
                </c:pt>
                <c:pt idx="7" formatCode="0.00">
                  <c:v>5.41</c:v>
                </c:pt>
                <c:pt idx="8" formatCode="0.00">
                  <c:v>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B74-497A-9765-A08CDF892163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Graphs'!$C$102:$P$102</c:f>
              <c:numCache>
                <c:formatCode>General</c:formatCode>
                <c:ptCount val="14"/>
                <c:pt idx="0">
                  <c:v>7.53</c:v>
                </c:pt>
                <c:pt idx="1">
                  <c:v>6.51</c:v>
                </c:pt>
                <c:pt idx="2" formatCode="0.00">
                  <c:v>5.31</c:v>
                </c:pt>
                <c:pt idx="3" formatCode="0.00">
                  <c:v>5.41</c:v>
                </c:pt>
                <c:pt idx="4" formatCode="0.00">
                  <c:v>5.35</c:v>
                </c:pt>
                <c:pt idx="5" formatCode="0.00">
                  <c:v>5.16</c:v>
                </c:pt>
                <c:pt idx="6" formatCode="0.00">
                  <c:v>5.21</c:v>
                </c:pt>
                <c:pt idx="7" formatCode="0.00">
                  <c:v>5.31</c:v>
                </c:pt>
                <c:pt idx="8" formatCode="0.00">
                  <c:v>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B74-497A-9765-A08CDF892163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Graphs'!$C$103:$P$103</c:f>
              <c:numCache>
                <c:formatCode>General</c:formatCode>
                <c:ptCount val="14"/>
                <c:pt idx="0">
                  <c:v>7.56</c:v>
                </c:pt>
                <c:pt idx="1">
                  <c:v>7.09</c:v>
                </c:pt>
                <c:pt idx="2" formatCode="0.00">
                  <c:v>5.41</c:v>
                </c:pt>
                <c:pt idx="3" formatCode="0.00">
                  <c:v>5.33</c:v>
                </c:pt>
                <c:pt idx="4" formatCode="0.00">
                  <c:v>5.32</c:v>
                </c:pt>
                <c:pt idx="5" formatCode="0.00">
                  <c:v>5.01</c:v>
                </c:pt>
                <c:pt idx="6" formatCode="0.00">
                  <c:v>5.14</c:v>
                </c:pt>
                <c:pt idx="7" formatCode="0.00">
                  <c:v>5.22</c:v>
                </c:pt>
                <c:pt idx="8" formatCode="0.0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B74-497A-9765-A08CDF892163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Graphs'!$C$104:$P$104</c:f>
              <c:numCache>
                <c:formatCode>General</c:formatCode>
                <c:ptCount val="14"/>
                <c:pt idx="0">
                  <c:v>7.73</c:v>
                </c:pt>
                <c:pt idx="1">
                  <c:v>7.41</c:v>
                </c:pt>
                <c:pt idx="2" formatCode="0.00">
                  <c:v>5.64</c:v>
                </c:pt>
                <c:pt idx="3" formatCode="0.00">
                  <c:v>5.72</c:v>
                </c:pt>
                <c:pt idx="4" formatCode="0.00">
                  <c:v>5.6</c:v>
                </c:pt>
                <c:pt idx="5" formatCode="0.00">
                  <c:v>5.51</c:v>
                </c:pt>
                <c:pt idx="6" formatCode="0.00">
                  <c:v>5.57</c:v>
                </c:pt>
                <c:pt idx="7" formatCode="0.00">
                  <c:v>5.78</c:v>
                </c:pt>
                <c:pt idx="8" formatCode="0.0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B74-497A-9765-A08CDF892163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Graphs'!$C$105:$P$105</c:f>
              <c:numCache>
                <c:formatCode>General</c:formatCode>
                <c:ptCount val="14"/>
                <c:pt idx="0">
                  <c:v>7.38</c:v>
                </c:pt>
                <c:pt idx="1">
                  <c:v>6.94</c:v>
                </c:pt>
                <c:pt idx="2" formatCode="0.00">
                  <c:v>5.57</c:v>
                </c:pt>
                <c:pt idx="3" formatCode="0.00">
                  <c:v>5.53</c:v>
                </c:pt>
                <c:pt idx="4" formatCode="0.00">
                  <c:v>5.61</c:v>
                </c:pt>
                <c:pt idx="5" formatCode="0.00">
                  <c:v>5.19</c:v>
                </c:pt>
                <c:pt idx="6" formatCode="0.00">
                  <c:v>5.34</c:v>
                </c:pt>
                <c:pt idx="7" formatCode="0.00">
                  <c:v>5.58</c:v>
                </c:pt>
                <c:pt idx="8" formatCode="0.00">
                  <c:v>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B74-497A-9765-A08CDF892163}"/>
            </c:ext>
          </c:extLst>
        </c:ser>
        <c:ser>
          <c:idx val="37"/>
          <c:order val="36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Graphs'!$C$107:$P$107</c:f>
              <c:numCache>
                <c:formatCode>General</c:formatCode>
                <c:ptCount val="14"/>
                <c:pt idx="0">
                  <c:v>7.59</c:v>
                </c:pt>
                <c:pt idx="1">
                  <c:v>7.5</c:v>
                </c:pt>
                <c:pt idx="2" formatCode="0.00">
                  <c:v>5.97</c:v>
                </c:pt>
                <c:pt idx="3" formatCode="0.00">
                  <c:v>5.69</c:v>
                </c:pt>
                <c:pt idx="4" formatCode="0.00">
                  <c:v>5.55</c:v>
                </c:pt>
                <c:pt idx="5" formatCode="0.00">
                  <c:v>5.24</c:v>
                </c:pt>
                <c:pt idx="6" formatCode="0.00">
                  <c:v>5.21</c:v>
                </c:pt>
                <c:pt idx="7" formatCode="0.00">
                  <c:v>5.28</c:v>
                </c:pt>
                <c:pt idx="8" formatCode="0.00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B74-497A-9765-A08CDF892163}"/>
            </c:ext>
          </c:extLst>
        </c:ser>
        <c:ser>
          <c:idx val="38"/>
          <c:order val="37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Graphs'!$C$108:$P$108</c:f>
              <c:numCache>
                <c:formatCode>General</c:formatCode>
                <c:ptCount val="14"/>
                <c:pt idx="0">
                  <c:v>7.6</c:v>
                </c:pt>
                <c:pt idx="1">
                  <c:v>7.53</c:v>
                </c:pt>
                <c:pt idx="2" formatCode="0.00">
                  <c:v>5.71</c:v>
                </c:pt>
                <c:pt idx="3" formatCode="0.00">
                  <c:v>5.66</c:v>
                </c:pt>
                <c:pt idx="4" formatCode="0.00">
                  <c:v>5.43</c:v>
                </c:pt>
                <c:pt idx="5" formatCode="0.00">
                  <c:v>5.24</c:v>
                </c:pt>
                <c:pt idx="6" formatCode="0.00">
                  <c:v>5.18</c:v>
                </c:pt>
                <c:pt idx="7" formatCode="0.00">
                  <c:v>5.2</c:v>
                </c:pt>
                <c:pt idx="8" formatCode="0.00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B74-497A-9765-A08CDF892163}"/>
            </c:ext>
          </c:extLst>
        </c:ser>
        <c:ser>
          <c:idx val="39"/>
          <c:order val="38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Graphs'!$C$109:$P$109</c:f>
              <c:numCache>
                <c:formatCode>General</c:formatCode>
                <c:ptCount val="14"/>
                <c:pt idx="0">
                  <c:v>7.18</c:v>
                </c:pt>
                <c:pt idx="1">
                  <c:v>7.13</c:v>
                </c:pt>
                <c:pt idx="2" formatCode="0.00">
                  <c:v>5.6</c:v>
                </c:pt>
                <c:pt idx="3" formatCode="0.00">
                  <c:v>5.56</c:v>
                </c:pt>
                <c:pt idx="4" formatCode="0.00">
                  <c:v>5.37</c:v>
                </c:pt>
                <c:pt idx="5" formatCode="0.00">
                  <c:v>5.54</c:v>
                </c:pt>
                <c:pt idx="6" formatCode="0.00">
                  <c:v>5.34</c:v>
                </c:pt>
                <c:pt idx="7" formatCode="0.00">
                  <c:v>5.22</c:v>
                </c:pt>
                <c:pt idx="8" formatCode="0.00">
                  <c:v>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B74-497A-9765-A08CDF892163}"/>
            </c:ext>
          </c:extLst>
        </c:ser>
        <c:ser>
          <c:idx val="40"/>
          <c:order val="39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Graphs'!$C$110:$P$110</c:f>
              <c:numCache>
                <c:formatCode>General</c:formatCode>
                <c:ptCount val="14"/>
                <c:pt idx="0">
                  <c:v>6.92</c:v>
                </c:pt>
                <c:pt idx="1">
                  <c:v>6.59</c:v>
                </c:pt>
                <c:pt idx="2" formatCode="0.00">
                  <c:v>5.71</c:v>
                </c:pt>
                <c:pt idx="3" formatCode="0.00">
                  <c:v>5.43</c:v>
                </c:pt>
                <c:pt idx="4" formatCode="0.00">
                  <c:v>5.56</c:v>
                </c:pt>
                <c:pt idx="5" formatCode="0.00">
                  <c:v>5.41</c:v>
                </c:pt>
                <c:pt idx="6" formatCode="0.00">
                  <c:v>5.37</c:v>
                </c:pt>
                <c:pt idx="7" formatCode="0.00">
                  <c:v>5.3</c:v>
                </c:pt>
                <c:pt idx="8" formatCode="0.00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B74-497A-9765-A08CDF892163}"/>
            </c:ext>
          </c:extLst>
        </c:ser>
        <c:ser>
          <c:idx val="41"/>
          <c:order val="40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Graphs'!$C$111:$P$111</c:f>
              <c:numCache>
                <c:formatCode>General</c:formatCode>
                <c:ptCount val="14"/>
                <c:pt idx="0">
                  <c:v>6.96</c:v>
                </c:pt>
                <c:pt idx="1">
                  <c:v>7.4</c:v>
                </c:pt>
                <c:pt idx="2" formatCode="0.00">
                  <c:v>6.24</c:v>
                </c:pt>
                <c:pt idx="3" formatCode="0.00">
                  <c:v>5.66</c:v>
                </c:pt>
                <c:pt idx="4" formatCode="0.00">
                  <c:v>5.51</c:v>
                </c:pt>
                <c:pt idx="5" formatCode="0.00">
                  <c:v>5.2</c:v>
                </c:pt>
                <c:pt idx="6" formatCode="0.00">
                  <c:v>5.24</c:v>
                </c:pt>
                <c:pt idx="7" formatCode="0.00">
                  <c:v>5.24</c:v>
                </c:pt>
                <c:pt idx="8" formatCode="0.00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B74-497A-9765-A08CDF892163}"/>
            </c:ext>
          </c:extLst>
        </c:ser>
        <c:ser>
          <c:idx val="42"/>
          <c:order val="41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Graphs'!$C$112:$P$112</c:f>
              <c:numCache>
                <c:formatCode>General</c:formatCode>
                <c:ptCount val="14"/>
                <c:pt idx="0">
                  <c:v>7.41</c:v>
                </c:pt>
                <c:pt idx="1">
                  <c:v>7.48</c:v>
                </c:pt>
                <c:pt idx="2" formatCode="0.00">
                  <c:v>5.51</c:v>
                </c:pt>
                <c:pt idx="3" formatCode="0.00">
                  <c:v>5.63</c:v>
                </c:pt>
                <c:pt idx="4" formatCode="0.00">
                  <c:v>5.36</c:v>
                </c:pt>
                <c:pt idx="5" formatCode="0.00">
                  <c:v>5.29</c:v>
                </c:pt>
                <c:pt idx="6" formatCode="0.00">
                  <c:v>5.32</c:v>
                </c:pt>
                <c:pt idx="7" formatCode="0.00">
                  <c:v>5.41</c:v>
                </c:pt>
                <c:pt idx="8" formatCode="0.00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B74-497A-9765-A08CDF892163}"/>
            </c:ext>
          </c:extLst>
        </c:ser>
        <c:ser>
          <c:idx val="43"/>
          <c:order val="42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Graphs'!$C$113:$P$113</c:f>
              <c:numCache>
                <c:formatCode>General</c:formatCode>
                <c:ptCount val="14"/>
                <c:pt idx="0">
                  <c:v>7.49</c:v>
                </c:pt>
                <c:pt idx="1">
                  <c:v>7.14</c:v>
                </c:pt>
                <c:pt idx="2" formatCode="0.00">
                  <c:v>5.69</c:v>
                </c:pt>
                <c:pt idx="3" formatCode="0.00">
                  <c:v>5.44</c:v>
                </c:pt>
                <c:pt idx="4" formatCode="0.00">
                  <c:v>5.28</c:v>
                </c:pt>
                <c:pt idx="5" formatCode="0.00">
                  <c:v>5.1100000000000003</c:v>
                </c:pt>
                <c:pt idx="6" formatCode="0.00">
                  <c:v>5.19</c:v>
                </c:pt>
                <c:pt idx="7" formatCode="0.00">
                  <c:v>5.27</c:v>
                </c:pt>
                <c:pt idx="8" formatCode="0.00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B74-497A-9765-A08CDF892163}"/>
            </c:ext>
          </c:extLst>
        </c:ser>
        <c:ser>
          <c:idx val="44"/>
          <c:order val="43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Graphs'!$C$114:$P$114</c:f>
              <c:numCache>
                <c:formatCode>General</c:formatCode>
                <c:ptCount val="14"/>
                <c:pt idx="0">
                  <c:v>6.83</c:v>
                </c:pt>
                <c:pt idx="1">
                  <c:v>6.86</c:v>
                </c:pt>
                <c:pt idx="2" formatCode="0.00">
                  <c:v>5.84</c:v>
                </c:pt>
                <c:pt idx="3" formatCode="0.00">
                  <c:v>5.51</c:v>
                </c:pt>
                <c:pt idx="4" formatCode="0.00">
                  <c:v>5.42</c:v>
                </c:pt>
                <c:pt idx="5" formatCode="0.00">
                  <c:v>5.3</c:v>
                </c:pt>
                <c:pt idx="6" formatCode="0.00">
                  <c:v>5.28</c:v>
                </c:pt>
                <c:pt idx="7" formatCode="0.00">
                  <c:v>5.26</c:v>
                </c:pt>
                <c:pt idx="8" formatCode="0.00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B74-497A-9765-A08CDF892163}"/>
            </c:ext>
          </c:extLst>
        </c:ser>
        <c:ser>
          <c:idx val="45"/>
          <c:order val="44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Graphs'!$C$115:$P$115</c:f>
              <c:numCache>
                <c:formatCode>General</c:formatCode>
                <c:ptCount val="14"/>
                <c:pt idx="0">
                  <c:v>7.35</c:v>
                </c:pt>
                <c:pt idx="1">
                  <c:v>7.18</c:v>
                </c:pt>
                <c:pt idx="2" formatCode="0.00">
                  <c:v>5.81</c:v>
                </c:pt>
                <c:pt idx="3" formatCode="0.00">
                  <c:v>5.57</c:v>
                </c:pt>
                <c:pt idx="4" formatCode="0.00">
                  <c:v>5.59</c:v>
                </c:pt>
                <c:pt idx="5" formatCode="0.00">
                  <c:v>5.09</c:v>
                </c:pt>
                <c:pt idx="6" formatCode="0.00">
                  <c:v>5.21</c:v>
                </c:pt>
                <c:pt idx="7" formatCode="0.00">
                  <c:v>5.28</c:v>
                </c:pt>
                <c:pt idx="8" formatCode="0.0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B74-497A-9765-A08CDF892163}"/>
            </c:ext>
          </c:extLst>
        </c:ser>
        <c:ser>
          <c:idx val="46"/>
          <c:order val="45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Graphs'!$C$116:$P$116</c:f>
              <c:numCache>
                <c:formatCode>General</c:formatCode>
                <c:ptCount val="14"/>
                <c:pt idx="0">
                  <c:v>7.49</c:v>
                </c:pt>
                <c:pt idx="1">
                  <c:v>7.4</c:v>
                </c:pt>
                <c:pt idx="2" formatCode="0.00">
                  <c:v>6.31</c:v>
                </c:pt>
                <c:pt idx="3" formatCode="0.00">
                  <c:v>5.55</c:v>
                </c:pt>
                <c:pt idx="4" formatCode="0.00">
                  <c:v>5.79</c:v>
                </c:pt>
                <c:pt idx="5" formatCode="0.00">
                  <c:v>5.41</c:v>
                </c:pt>
                <c:pt idx="6" formatCode="0.00">
                  <c:v>5.21</c:v>
                </c:pt>
                <c:pt idx="7" formatCode="0.00">
                  <c:v>5.24</c:v>
                </c:pt>
                <c:pt idx="8" formatCode="0.00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B74-497A-9765-A08CDF892163}"/>
            </c:ext>
          </c:extLst>
        </c:ser>
        <c:ser>
          <c:idx val="47"/>
          <c:order val="46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Graphs'!$C$117:$P$117</c:f>
              <c:numCache>
                <c:formatCode>General</c:formatCode>
                <c:ptCount val="14"/>
                <c:pt idx="0">
                  <c:v>7.52</c:v>
                </c:pt>
                <c:pt idx="1">
                  <c:v>7.49</c:v>
                </c:pt>
                <c:pt idx="2" formatCode="0.00">
                  <c:v>5.78</c:v>
                </c:pt>
                <c:pt idx="3" formatCode="0.00">
                  <c:v>5.76</c:v>
                </c:pt>
                <c:pt idx="4" formatCode="0.00">
                  <c:v>5.69</c:v>
                </c:pt>
                <c:pt idx="5" formatCode="0.00">
                  <c:v>5.17</c:v>
                </c:pt>
                <c:pt idx="6" formatCode="0.00">
                  <c:v>5.18</c:v>
                </c:pt>
                <c:pt idx="7" formatCode="0.00">
                  <c:v>5.21</c:v>
                </c:pt>
                <c:pt idx="8" formatCode="0.00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B74-497A-9765-A08CDF892163}"/>
            </c:ext>
          </c:extLst>
        </c:ser>
        <c:ser>
          <c:idx val="48"/>
          <c:order val="47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Graphs'!$C$118:$P$118</c:f>
              <c:numCache>
                <c:formatCode>General</c:formatCode>
                <c:ptCount val="14"/>
                <c:pt idx="0">
                  <c:v>7.54</c:v>
                </c:pt>
                <c:pt idx="1">
                  <c:v>7.48</c:v>
                </c:pt>
                <c:pt idx="2" formatCode="0.00">
                  <c:v>6.21</c:v>
                </c:pt>
                <c:pt idx="3" formatCode="0.00">
                  <c:v>5.84</c:v>
                </c:pt>
                <c:pt idx="4" formatCode="0.00">
                  <c:v>5.65</c:v>
                </c:pt>
                <c:pt idx="5" formatCode="0.00">
                  <c:v>5.14</c:v>
                </c:pt>
                <c:pt idx="6" formatCode="0.00">
                  <c:v>5.12</c:v>
                </c:pt>
                <c:pt idx="7" formatCode="0.00">
                  <c:v>5.2</c:v>
                </c:pt>
                <c:pt idx="8" formatCode="0.00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B74-497A-9765-A08CDF892163}"/>
            </c:ext>
          </c:extLst>
        </c:ser>
        <c:ser>
          <c:idx val="49"/>
          <c:order val="48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Graphs'!$C$119:$P$119</c:f>
              <c:numCache>
                <c:formatCode>General</c:formatCode>
                <c:ptCount val="14"/>
                <c:pt idx="0">
                  <c:v>7.54</c:v>
                </c:pt>
                <c:pt idx="1">
                  <c:v>7.04</c:v>
                </c:pt>
                <c:pt idx="2" formatCode="0.00">
                  <c:v>6.15</c:v>
                </c:pt>
                <c:pt idx="3" formatCode="0.00">
                  <c:v>6</c:v>
                </c:pt>
                <c:pt idx="4" formatCode="0.00">
                  <c:v>5.84</c:v>
                </c:pt>
                <c:pt idx="5" formatCode="0.00">
                  <c:v>5.59</c:v>
                </c:pt>
                <c:pt idx="6" formatCode="0.00">
                  <c:v>5.21</c:v>
                </c:pt>
                <c:pt idx="7" formatCode="0.00">
                  <c:v>5.25</c:v>
                </c:pt>
                <c:pt idx="8" formatCode="0.0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B74-497A-9765-A08CDF892163}"/>
            </c:ext>
          </c:extLst>
        </c:ser>
        <c:ser>
          <c:idx val="50"/>
          <c:order val="49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Graphs'!$C$120:$P$120</c:f>
              <c:numCache>
                <c:formatCode>General</c:formatCode>
                <c:ptCount val="14"/>
                <c:pt idx="0">
                  <c:v>7.38</c:v>
                </c:pt>
                <c:pt idx="1">
                  <c:v>7.23</c:v>
                </c:pt>
                <c:pt idx="2" formatCode="0.00">
                  <c:v>6.11</c:v>
                </c:pt>
                <c:pt idx="3" formatCode="0.00">
                  <c:v>6.03</c:v>
                </c:pt>
                <c:pt idx="4" formatCode="0.00">
                  <c:v>5.86</c:v>
                </c:pt>
                <c:pt idx="5" formatCode="0.00">
                  <c:v>5.23</c:v>
                </c:pt>
                <c:pt idx="6" formatCode="0.00">
                  <c:v>5.25</c:v>
                </c:pt>
                <c:pt idx="7" formatCode="0.00">
                  <c:v>5.31</c:v>
                </c:pt>
                <c:pt idx="8" formatCode="0.00">
                  <c:v>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B74-497A-9765-A08CDF892163}"/>
            </c:ext>
          </c:extLst>
        </c:ser>
        <c:ser>
          <c:idx val="51"/>
          <c:order val="50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Graphs'!$C$121:$P$121</c:f>
              <c:numCache>
                <c:formatCode>General</c:formatCode>
                <c:ptCount val="14"/>
                <c:pt idx="0">
                  <c:v>7.58</c:v>
                </c:pt>
                <c:pt idx="1">
                  <c:v>7.48</c:v>
                </c:pt>
                <c:pt idx="2" formatCode="0.00">
                  <c:v>5.81</c:v>
                </c:pt>
                <c:pt idx="3" formatCode="0.00">
                  <c:v>5.97</c:v>
                </c:pt>
                <c:pt idx="4" formatCode="0.00">
                  <c:v>5.83</c:v>
                </c:pt>
                <c:pt idx="5" formatCode="0.00">
                  <c:v>5.33</c:v>
                </c:pt>
                <c:pt idx="6" formatCode="0.00">
                  <c:v>5.29</c:v>
                </c:pt>
                <c:pt idx="7" formatCode="0.00">
                  <c:v>5.32</c:v>
                </c:pt>
                <c:pt idx="8" formatCode="0.00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B74-497A-9765-A08CDF892163}"/>
            </c:ext>
          </c:extLst>
        </c:ser>
        <c:ser>
          <c:idx val="52"/>
          <c:order val="51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Graphs'!$C$122:$P$122</c:f>
              <c:numCache>
                <c:formatCode>General</c:formatCode>
                <c:ptCount val="14"/>
                <c:pt idx="0">
                  <c:v>7.64</c:v>
                </c:pt>
                <c:pt idx="1">
                  <c:v>7.59</c:v>
                </c:pt>
                <c:pt idx="2" formatCode="0.00">
                  <c:v>5.77</c:v>
                </c:pt>
                <c:pt idx="3" formatCode="0.00">
                  <c:v>5.89</c:v>
                </c:pt>
                <c:pt idx="4" formatCode="0.00">
                  <c:v>5.9</c:v>
                </c:pt>
                <c:pt idx="5" formatCode="0.00">
                  <c:v>5.23</c:v>
                </c:pt>
                <c:pt idx="6" formatCode="0.00">
                  <c:v>5.38</c:v>
                </c:pt>
                <c:pt idx="7" formatCode="0.00">
                  <c:v>5.42</c:v>
                </c:pt>
                <c:pt idx="8" formatCode="0.00">
                  <c:v>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B74-497A-9765-A08CDF892163}"/>
            </c:ext>
          </c:extLst>
        </c:ser>
        <c:ser>
          <c:idx val="53"/>
          <c:order val="52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Graphs'!$C$123:$P$123</c:f>
              <c:numCache>
                <c:formatCode>General</c:formatCode>
                <c:ptCount val="14"/>
                <c:pt idx="0">
                  <c:v>7.64</c:v>
                </c:pt>
                <c:pt idx="1">
                  <c:v>7.6</c:v>
                </c:pt>
                <c:pt idx="2" formatCode="0.00">
                  <c:v>5.74</c:v>
                </c:pt>
                <c:pt idx="3" formatCode="0.00">
                  <c:v>5.65</c:v>
                </c:pt>
                <c:pt idx="4" formatCode="0.00">
                  <c:v>5.66</c:v>
                </c:pt>
                <c:pt idx="5" formatCode="0.00">
                  <c:v>5.2</c:v>
                </c:pt>
                <c:pt idx="6" formatCode="0.00">
                  <c:v>5.38</c:v>
                </c:pt>
                <c:pt idx="7" formatCode="0.00">
                  <c:v>5.52</c:v>
                </c:pt>
                <c:pt idx="8" formatCode="0.00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B74-497A-9765-A08CDF892163}"/>
            </c:ext>
          </c:extLst>
        </c:ser>
        <c:ser>
          <c:idx val="36"/>
          <c:order val="53"/>
          <c:tx>
            <c:v>Series 37</c:v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Graphs'!$C$69:$F$69</c:f>
              <c:numCache>
                <c:formatCode>[$-409]d\-mmm\-yy;@</c:formatCode>
                <c:ptCount val="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</c:numCache>
            </c:numRef>
          </c:cat>
          <c:val>
            <c:numRef>
              <c:f>'EC &amp; pH Graphs'!$C$106:$P$106</c:f>
              <c:numCache>
                <c:formatCode>General</c:formatCode>
                <c:ptCount val="14"/>
                <c:pt idx="0">
                  <c:v>7.45</c:v>
                </c:pt>
                <c:pt idx="1">
                  <c:v>7.31</c:v>
                </c:pt>
                <c:pt idx="2" formatCode="0.00">
                  <c:v>5.96</c:v>
                </c:pt>
                <c:pt idx="3" formatCode="0.00">
                  <c:v>5.52</c:v>
                </c:pt>
                <c:pt idx="4" formatCode="0.00">
                  <c:v>5.51</c:v>
                </c:pt>
                <c:pt idx="5" formatCode="0.00">
                  <c:v>5.3</c:v>
                </c:pt>
                <c:pt idx="6" formatCode="0.00">
                  <c:v>5.25</c:v>
                </c:pt>
                <c:pt idx="7" formatCode="0.00">
                  <c:v>5.39</c:v>
                </c:pt>
                <c:pt idx="8" formatCode="0.00">
                  <c:v>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9-4D27-90ED-25532B117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dateAx>
        <c:axId val="7123586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Offset val="100"/>
        <c:baseTimeUnit val="days"/>
        <c:majorUnit val="7"/>
      </c:dateAx>
      <c:valAx>
        <c:axId val="712363912"/>
        <c:scaling>
          <c:orientation val="minMax"/>
          <c:max val="8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pH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pH- </a:t>
            </a: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Control (1.1 dS/m)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Graphs'!$C$124:$P$124</c:f>
              <c:numCache>
                <c:formatCode>General</c:formatCode>
                <c:ptCount val="14"/>
                <c:pt idx="0">
                  <c:v>7.25</c:v>
                </c:pt>
                <c:pt idx="1">
                  <c:v>5.81</c:v>
                </c:pt>
                <c:pt idx="2" formatCode="0.00">
                  <c:v>6.08</c:v>
                </c:pt>
                <c:pt idx="3" formatCode="0.00">
                  <c:v>6.32</c:v>
                </c:pt>
                <c:pt idx="4" formatCode="0.00">
                  <c:v>7.21</c:v>
                </c:pt>
                <c:pt idx="5" formatCode="0.00">
                  <c:v>7.08</c:v>
                </c:pt>
                <c:pt idx="6" formatCode="0.00">
                  <c:v>6.94</c:v>
                </c:pt>
                <c:pt idx="7" formatCode="0.00">
                  <c:v>6.24</c:v>
                </c:pt>
                <c:pt idx="8" formatCode="0.0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A-4B0E-AC4F-425F34BA5A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Graphs'!$C$125:$P$125</c:f>
              <c:numCache>
                <c:formatCode>General</c:formatCode>
                <c:ptCount val="14"/>
                <c:pt idx="0">
                  <c:v>7.08</c:v>
                </c:pt>
                <c:pt idx="1">
                  <c:v>5.79</c:v>
                </c:pt>
                <c:pt idx="2" formatCode="0.00">
                  <c:v>6.12</c:v>
                </c:pt>
                <c:pt idx="3" formatCode="0.00">
                  <c:v>6.64</c:v>
                </c:pt>
                <c:pt idx="4" formatCode="0.00">
                  <c:v>7.18</c:v>
                </c:pt>
                <c:pt idx="5" formatCode="0.00">
                  <c:v>6.94</c:v>
                </c:pt>
                <c:pt idx="6" formatCode="0.00">
                  <c:v>6.95</c:v>
                </c:pt>
                <c:pt idx="7" formatCode="0.00">
                  <c:v>6.26</c:v>
                </c:pt>
                <c:pt idx="8" formatCode="0.00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A-4B0E-AC4F-425F34BA5A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Graphs'!$C$126:$P$126</c:f>
              <c:numCache>
                <c:formatCode>General</c:formatCode>
                <c:ptCount val="14"/>
                <c:pt idx="0">
                  <c:v>7.03</c:v>
                </c:pt>
                <c:pt idx="1">
                  <c:v>5.72</c:v>
                </c:pt>
                <c:pt idx="2" formatCode="0.00">
                  <c:v>6.18</c:v>
                </c:pt>
                <c:pt idx="3" formatCode="0.00">
                  <c:v>6.75</c:v>
                </c:pt>
                <c:pt idx="4" formatCode="0.00">
                  <c:v>7.12</c:v>
                </c:pt>
                <c:pt idx="5" formatCode="0.00">
                  <c:v>6.96</c:v>
                </c:pt>
                <c:pt idx="6" formatCode="0.00">
                  <c:v>7.1</c:v>
                </c:pt>
                <c:pt idx="7" formatCode="0.00">
                  <c:v>6.28</c:v>
                </c:pt>
                <c:pt idx="8" formatCode="0.00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A-4B0E-AC4F-425F34BA5A6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Graphs'!$C$127:$P$127</c:f>
              <c:numCache>
                <c:formatCode>General</c:formatCode>
                <c:ptCount val="14"/>
                <c:pt idx="0">
                  <c:v>6.95</c:v>
                </c:pt>
                <c:pt idx="1">
                  <c:v>5.69</c:v>
                </c:pt>
                <c:pt idx="2" formatCode="0.00">
                  <c:v>6.18</c:v>
                </c:pt>
                <c:pt idx="3" formatCode="0.00">
                  <c:v>6.75</c:v>
                </c:pt>
                <c:pt idx="4" formatCode="0.00">
                  <c:v>7</c:v>
                </c:pt>
                <c:pt idx="5" formatCode="0.00">
                  <c:v>6.99</c:v>
                </c:pt>
                <c:pt idx="6" formatCode="0.00">
                  <c:v>7.11</c:v>
                </c:pt>
                <c:pt idx="7" formatCode="0.00">
                  <c:v>6.32</c:v>
                </c:pt>
                <c:pt idx="8" formatCode="0.0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A-4B0E-AC4F-425F34BA5A6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Graphs'!$C$128:$P$128</c:f>
              <c:numCache>
                <c:formatCode>General</c:formatCode>
                <c:ptCount val="14"/>
                <c:pt idx="0">
                  <c:v>6.92</c:v>
                </c:pt>
                <c:pt idx="1">
                  <c:v>5.66</c:v>
                </c:pt>
                <c:pt idx="2" formatCode="0.00">
                  <c:v>6.22</c:v>
                </c:pt>
                <c:pt idx="3" formatCode="0.00">
                  <c:v>6.71</c:v>
                </c:pt>
                <c:pt idx="4" formatCode="0.00">
                  <c:v>6.87</c:v>
                </c:pt>
                <c:pt idx="5" formatCode="0.00">
                  <c:v>7.02</c:v>
                </c:pt>
                <c:pt idx="6" formatCode="0.00">
                  <c:v>7.16</c:v>
                </c:pt>
                <c:pt idx="7" formatCode="0.00">
                  <c:v>6.32</c:v>
                </c:pt>
                <c:pt idx="8" formatCode="0.00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A-4B0E-AC4F-425F34BA5A6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'EC &amp; pH Graphs'!$C$69:$P$69</c:f>
              <c:numCache>
                <c:formatCode>[$-409]d\-mmm\-yy;@</c:formatCode>
                <c:ptCount val="14"/>
                <c:pt idx="0">
                  <c:v>45358</c:v>
                </c:pt>
                <c:pt idx="1">
                  <c:v>45365</c:v>
                </c:pt>
                <c:pt idx="2">
                  <c:v>45379</c:v>
                </c:pt>
                <c:pt idx="3">
                  <c:v>45386</c:v>
                </c:pt>
                <c:pt idx="4">
                  <c:v>45393</c:v>
                </c:pt>
                <c:pt idx="5">
                  <c:v>45407</c:v>
                </c:pt>
                <c:pt idx="6">
                  <c:v>45414</c:v>
                </c:pt>
                <c:pt idx="7">
                  <c:v>45421</c:v>
                </c:pt>
                <c:pt idx="8">
                  <c:v>45428</c:v>
                </c:pt>
              </c:numCache>
            </c:numRef>
          </c:cat>
          <c:val>
            <c:numRef>
              <c:f>'EC &amp; pH Graphs'!$C$129:$P$129</c:f>
              <c:numCache>
                <c:formatCode>General</c:formatCode>
                <c:ptCount val="14"/>
                <c:pt idx="0">
                  <c:v>6.94</c:v>
                </c:pt>
                <c:pt idx="1">
                  <c:v>5.57</c:v>
                </c:pt>
                <c:pt idx="2" formatCode="0.00">
                  <c:v>6.33</c:v>
                </c:pt>
                <c:pt idx="3" formatCode="0.00">
                  <c:v>6.71</c:v>
                </c:pt>
                <c:pt idx="4" formatCode="0.00">
                  <c:v>6.76</c:v>
                </c:pt>
                <c:pt idx="5" formatCode="0.00">
                  <c:v>7.04</c:v>
                </c:pt>
                <c:pt idx="6" formatCode="0.00">
                  <c:v>7.2</c:v>
                </c:pt>
                <c:pt idx="7" formatCode="0.00">
                  <c:v>6.26</c:v>
                </c:pt>
                <c:pt idx="8" formatCode="0.00">
                  <c:v>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A-4B0E-AC4F-425F34BA5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dateAx>
        <c:axId val="7123586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Offset val="100"/>
        <c:baseTimeUnit val="days"/>
      </c:dateAx>
      <c:valAx>
        <c:axId val="71236391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pH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Weekly</a:t>
            </a:r>
            <a:r>
              <a:rPr lang="en-US" baseline="0">
                <a:solidFill>
                  <a:sysClr val="windowText" lastClr="000000"/>
                </a:solidFill>
              </a:rPr>
              <a:t> Water Use</a:t>
            </a:r>
            <a:r>
              <a:rPr lang="en-US">
                <a:solidFill>
                  <a:sysClr val="windowText" lastClr="000000"/>
                </a:solidFill>
              </a:rPr>
              <a:t>- Control (1.1 dS/m)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Graphs'!$C$65:$AN$65</c:f>
              <c:numCache>
                <c:formatCode>General</c:formatCode>
                <c:ptCount val="38"/>
                <c:pt idx="0">
                  <c:v>70</c:v>
                </c:pt>
                <c:pt idx="1">
                  <c:v>100</c:v>
                </c:pt>
                <c:pt idx="2">
                  <c:v>170</c:v>
                </c:pt>
                <c:pt idx="3">
                  <c:v>175</c:v>
                </c:pt>
                <c:pt idx="4">
                  <c:v>70</c:v>
                </c:pt>
                <c:pt idx="5">
                  <c:v>75</c:v>
                </c:pt>
                <c:pt idx="6">
                  <c:v>120</c:v>
                </c:pt>
                <c:pt idx="7">
                  <c:v>100</c:v>
                </c:pt>
                <c:pt idx="8">
                  <c:v>80</c:v>
                </c:pt>
                <c:pt idx="9">
                  <c:v>130</c:v>
                </c:pt>
                <c:pt idx="10">
                  <c:v>105</c:v>
                </c:pt>
                <c:pt idx="11">
                  <c:v>200</c:v>
                </c:pt>
                <c:pt idx="12">
                  <c:v>85</c:v>
                </c:pt>
                <c:pt idx="13">
                  <c:v>95</c:v>
                </c:pt>
                <c:pt idx="14">
                  <c:v>240</c:v>
                </c:pt>
                <c:pt idx="15">
                  <c:v>85</c:v>
                </c:pt>
                <c:pt idx="16">
                  <c:v>175</c:v>
                </c:pt>
                <c:pt idx="17">
                  <c:v>170</c:v>
                </c:pt>
                <c:pt idx="18">
                  <c:v>130</c:v>
                </c:pt>
                <c:pt idx="19">
                  <c:v>140</c:v>
                </c:pt>
                <c:pt idx="20">
                  <c:v>135</c:v>
                </c:pt>
                <c:pt idx="21">
                  <c:v>110</c:v>
                </c:pt>
                <c:pt idx="22">
                  <c:v>95</c:v>
                </c:pt>
                <c:pt idx="23">
                  <c:v>120</c:v>
                </c:pt>
                <c:pt idx="24">
                  <c:v>110</c:v>
                </c:pt>
                <c:pt idx="25">
                  <c:v>80</c:v>
                </c:pt>
                <c:pt idx="26">
                  <c:v>55</c:v>
                </c:pt>
                <c:pt idx="27" formatCode="0">
                  <c:v>60</c:v>
                </c:pt>
                <c:pt idx="28" formatCode="0">
                  <c:v>55</c:v>
                </c:pt>
                <c:pt idx="29" formatCode="0">
                  <c:v>85</c:v>
                </c:pt>
                <c:pt idx="30" formatCode="0">
                  <c:v>70</c:v>
                </c:pt>
                <c:pt idx="31" formatCode="0">
                  <c:v>95</c:v>
                </c:pt>
                <c:pt idx="32" formatCode="0">
                  <c:v>160</c:v>
                </c:pt>
                <c:pt idx="33" formatCode="0">
                  <c:v>35</c:v>
                </c:pt>
                <c:pt idx="34" formatCode="0">
                  <c:v>45</c:v>
                </c:pt>
                <c:pt idx="35" formatCode="0">
                  <c:v>75</c:v>
                </c:pt>
                <c:pt idx="36" formatCode="0">
                  <c:v>95</c:v>
                </c:pt>
                <c:pt idx="37" formatCode="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8-426E-9F81-368399424E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Graphs'!$C$66:$AN$66</c:f>
              <c:numCache>
                <c:formatCode>General</c:formatCode>
                <c:ptCount val="38"/>
                <c:pt idx="0">
                  <c:v>60</c:v>
                </c:pt>
                <c:pt idx="1">
                  <c:v>100</c:v>
                </c:pt>
                <c:pt idx="2">
                  <c:v>205</c:v>
                </c:pt>
                <c:pt idx="3">
                  <c:v>175</c:v>
                </c:pt>
                <c:pt idx="4">
                  <c:v>50</c:v>
                </c:pt>
                <c:pt idx="5">
                  <c:v>70</c:v>
                </c:pt>
                <c:pt idx="6">
                  <c:v>120</c:v>
                </c:pt>
                <c:pt idx="7">
                  <c:v>90</c:v>
                </c:pt>
                <c:pt idx="8">
                  <c:v>60</c:v>
                </c:pt>
                <c:pt idx="9">
                  <c:v>120</c:v>
                </c:pt>
                <c:pt idx="10">
                  <c:v>75</c:v>
                </c:pt>
                <c:pt idx="11">
                  <c:v>150</c:v>
                </c:pt>
                <c:pt idx="12">
                  <c:v>65</c:v>
                </c:pt>
                <c:pt idx="13">
                  <c:v>80</c:v>
                </c:pt>
                <c:pt idx="14">
                  <c:v>115</c:v>
                </c:pt>
                <c:pt idx="15">
                  <c:v>130</c:v>
                </c:pt>
                <c:pt idx="16">
                  <c:v>120</c:v>
                </c:pt>
                <c:pt idx="17">
                  <c:v>145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90</c:v>
                </c:pt>
                <c:pt idx="22">
                  <c:v>25</c:v>
                </c:pt>
                <c:pt idx="23">
                  <c:v>80</c:v>
                </c:pt>
                <c:pt idx="24">
                  <c:v>140</c:v>
                </c:pt>
                <c:pt idx="25">
                  <c:v>85</c:v>
                </c:pt>
                <c:pt idx="26">
                  <c:v>50</c:v>
                </c:pt>
                <c:pt idx="27" formatCode="0">
                  <c:v>40</c:v>
                </c:pt>
                <c:pt idx="28" formatCode="0">
                  <c:v>60</c:v>
                </c:pt>
                <c:pt idx="29" formatCode="0">
                  <c:v>90</c:v>
                </c:pt>
                <c:pt idx="30" formatCode="0">
                  <c:v>65</c:v>
                </c:pt>
                <c:pt idx="31" formatCode="0">
                  <c:v>100</c:v>
                </c:pt>
                <c:pt idx="32" formatCode="0">
                  <c:v>140</c:v>
                </c:pt>
                <c:pt idx="33" formatCode="0">
                  <c:v>65</c:v>
                </c:pt>
                <c:pt idx="34" formatCode="0">
                  <c:v>40</c:v>
                </c:pt>
                <c:pt idx="35" formatCode="0">
                  <c:v>85</c:v>
                </c:pt>
                <c:pt idx="36" formatCode="0">
                  <c:v>130</c:v>
                </c:pt>
                <c:pt idx="37" formatCode="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C-4E6C-947A-16C8B54A992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Graphs'!$C$67:$AN$67</c:f>
              <c:numCache>
                <c:formatCode>General</c:formatCode>
                <c:ptCount val="38"/>
                <c:pt idx="0">
                  <c:v>65</c:v>
                </c:pt>
                <c:pt idx="1">
                  <c:v>95</c:v>
                </c:pt>
                <c:pt idx="2">
                  <c:v>195</c:v>
                </c:pt>
                <c:pt idx="3">
                  <c:v>175</c:v>
                </c:pt>
                <c:pt idx="4">
                  <c:v>90</c:v>
                </c:pt>
                <c:pt idx="5">
                  <c:v>70</c:v>
                </c:pt>
                <c:pt idx="6">
                  <c:v>130</c:v>
                </c:pt>
                <c:pt idx="7">
                  <c:v>75</c:v>
                </c:pt>
                <c:pt idx="8">
                  <c:v>60</c:v>
                </c:pt>
                <c:pt idx="9">
                  <c:v>135</c:v>
                </c:pt>
                <c:pt idx="10">
                  <c:v>80</c:v>
                </c:pt>
                <c:pt idx="11">
                  <c:v>155</c:v>
                </c:pt>
                <c:pt idx="12">
                  <c:v>85</c:v>
                </c:pt>
                <c:pt idx="13">
                  <c:v>70</c:v>
                </c:pt>
                <c:pt idx="14">
                  <c:v>190</c:v>
                </c:pt>
                <c:pt idx="15">
                  <c:v>80</c:v>
                </c:pt>
                <c:pt idx="16">
                  <c:v>180</c:v>
                </c:pt>
                <c:pt idx="17">
                  <c:v>170</c:v>
                </c:pt>
                <c:pt idx="18">
                  <c:v>120</c:v>
                </c:pt>
                <c:pt idx="19">
                  <c:v>170</c:v>
                </c:pt>
                <c:pt idx="20">
                  <c:v>165</c:v>
                </c:pt>
                <c:pt idx="21">
                  <c:v>90</c:v>
                </c:pt>
                <c:pt idx="22">
                  <c:v>65</c:v>
                </c:pt>
                <c:pt idx="23">
                  <c:v>85</c:v>
                </c:pt>
                <c:pt idx="24">
                  <c:v>115</c:v>
                </c:pt>
                <c:pt idx="25">
                  <c:v>65</c:v>
                </c:pt>
                <c:pt idx="26">
                  <c:v>65</c:v>
                </c:pt>
                <c:pt idx="27" formatCode="0">
                  <c:v>15</c:v>
                </c:pt>
                <c:pt idx="28" formatCode="0">
                  <c:v>40</c:v>
                </c:pt>
                <c:pt idx="29" formatCode="0">
                  <c:v>100</c:v>
                </c:pt>
                <c:pt idx="30" formatCode="0">
                  <c:v>65</c:v>
                </c:pt>
                <c:pt idx="31" formatCode="0">
                  <c:v>105</c:v>
                </c:pt>
                <c:pt idx="32" formatCode="0">
                  <c:v>130</c:v>
                </c:pt>
                <c:pt idx="33" formatCode="0">
                  <c:v>60</c:v>
                </c:pt>
                <c:pt idx="34" formatCode="0">
                  <c:v>10</c:v>
                </c:pt>
                <c:pt idx="35" formatCode="0">
                  <c:v>75</c:v>
                </c:pt>
                <c:pt idx="36" formatCode="0">
                  <c:v>130</c:v>
                </c:pt>
                <c:pt idx="37" formatCode="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6C-4E6C-947A-16C8B54A992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Graphs'!$C$68:$AN$68</c:f>
              <c:numCache>
                <c:formatCode>General</c:formatCode>
                <c:ptCount val="38"/>
                <c:pt idx="0">
                  <c:v>65</c:v>
                </c:pt>
                <c:pt idx="1">
                  <c:v>105</c:v>
                </c:pt>
                <c:pt idx="2">
                  <c:v>160</c:v>
                </c:pt>
                <c:pt idx="3">
                  <c:v>175</c:v>
                </c:pt>
                <c:pt idx="4">
                  <c:v>95</c:v>
                </c:pt>
                <c:pt idx="5">
                  <c:v>55</c:v>
                </c:pt>
                <c:pt idx="6">
                  <c:v>120</c:v>
                </c:pt>
                <c:pt idx="7">
                  <c:v>90</c:v>
                </c:pt>
                <c:pt idx="8">
                  <c:v>60</c:v>
                </c:pt>
                <c:pt idx="9">
                  <c:v>130</c:v>
                </c:pt>
                <c:pt idx="10">
                  <c:v>75</c:v>
                </c:pt>
                <c:pt idx="11">
                  <c:v>160</c:v>
                </c:pt>
                <c:pt idx="12">
                  <c:v>70</c:v>
                </c:pt>
                <c:pt idx="13">
                  <c:v>120</c:v>
                </c:pt>
                <c:pt idx="14">
                  <c:v>175</c:v>
                </c:pt>
                <c:pt idx="15">
                  <c:v>180</c:v>
                </c:pt>
                <c:pt idx="16">
                  <c:v>165</c:v>
                </c:pt>
                <c:pt idx="17">
                  <c:v>160</c:v>
                </c:pt>
                <c:pt idx="18">
                  <c:v>140</c:v>
                </c:pt>
                <c:pt idx="19">
                  <c:v>155</c:v>
                </c:pt>
                <c:pt idx="20">
                  <c:v>160</c:v>
                </c:pt>
                <c:pt idx="21">
                  <c:v>90</c:v>
                </c:pt>
                <c:pt idx="22">
                  <c:v>70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55</c:v>
                </c:pt>
                <c:pt idx="27" formatCode="0">
                  <c:v>60</c:v>
                </c:pt>
                <c:pt idx="28" formatCode="0">
                  <c:v>50</c:v>
                </c:pt>
                <c:pt idx="29" formatCode="0">
                  <c:v>140</c:v>
                </c:pt>
                <c:pt idx="30" formatCode="0">
                  <c:v>100</c:v>
                </c:pt>
                <c:pt idx="31" formatCode="0">
                  <c:v>90</c:v>
                </c:pt>
                <c:pt idx="32" formatCode="0">
                  <c:v>160</c:v>
                </c:pt>
                <c:pt idx="33" formatCode="0">
                  <c:v>85</c:v>
                </c:pt>
                <c:pt idx="34" formatCode="0">
                  <c:v>60</c:v>
                </c:pt>
                <c:pt idx="35" formatCode="0">
                  <c:v>75</c:v>
                </c:pt>
                <c:pt idx="36" formatCode="0">
                  <c:v>140</c:v>
                </c:pt>
                <c:pt idx="37" formatCode="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6C-4E6C-947A-16C8B54A992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Graphs'!$C$69:$AN$69</c:f>
              <c:numCache>
                <c:formatCode>General</c:formatCode>
                <c:ptCount val="38"/>
                <c:pt idx="0">
                  <c:v>65</c:v>
                </c:pt>
                <c:pt idx="1">
                  <c:v>100</c:v>
                </c:pt>
                <c:pt idx="2">
                  <c:v>215</c:v>
                </c:pt>
                <c:pt idx="3">
                  <c:v>175</c:v>
                </c:pt>
                <c:pt idx="4">
                  <c:v>105</c:v>
                </c:pt>
                <c:pt idx="5">
                  <c:v>65</c:v>
                </c:pt>
                <c:pt idx="6">
                  <c:v>130</c:v>
                </c:pt>
                <c:pt idx="7">
                  <c:v>85</c:v>
                </c:pt>
                <c:pt idx="8">
                  <c:v>60</c:v>
                </c:pt>
                <c:pt idx="9">
                  <c:v>115</c:v>
                </c:pt>
                <c:pt idx="10">
                  <c:v>95</c:v>
                </c:pt>
                <c:pt idx="11">
                  <c:v>165</c:v>
                </c:pt>
                <c:pt idx="12">
                  <c:v>85</c:v>
                </c:pt>
                <c:pt idx="13">
                  <c:v>85</c:v>
                </c:pt>
                <c:pt idx="14">
                  <c:v>170</c:v>
                </c:pt>
                <c:pt idx="15">
                  <c:v>110</c:v>
                </c:pt>
                <c:pt idx="16">
                  <c:v>160</c:v>
                </c:pt>
                <c:pt idx="17">
                  <c:v>160</c:v>
                </c:pt>
                <c:pt idx="18">
                  <c:v>135</c:v>
                </c:pt>
                <c:pt idx="19">
                  <c:v>150</c:v>
                </c:pt>
                <c:pt idx="20">
                  <c:v>160</c:v>
                </c:pt>
                <c:pt idx="21">
                  <c:v>95</c:v>
                </c:pt>
                <c:pt idx="22">
                  <c:v>65</c:v>
                </c:pt>
                <c:pt idx="23">
                  <c:v>90</c:v>
                </c:pt>
                <c:pt idx="24">
                  <c:v>105</c:v>
                </c:pt>
                <c:pt idx="25">
                  <c:v>80</c:v>
                </c:pt>
                <c:pt idx="26">
                  <c:v>55</c:v>
                </c:pt>
                <c:pt idx="27" formatCode="0">
                  <c:v>65</c:v>
                </c:pt>
                <c:pt idx="28" formatCode="0">
                  <c:v>65</c:v>
                </c:pt>
                <c:pt idx="29" formatCode="0">
                  <c:v>155</c:v>
                </c:pt>
                <c:pt idx="30" formatCode="0">
                  <c:v>95</c:v>
                </c:pt>
                <c:pt idx="31" formatCode="0">
                  <c:v>105</c:v>
                </c:pt>
                <c:pt idx="32" formatCode="0">
                  <c:v>175</c:v>
                </c:pt>
                <c:pt idx="33" formatCode="0">
                  <c:v>50</c:v>
                </c:pt>
                <c:pt idx="34" formatCode="0">
                  <c:v>50</c:v>
                </c:pt>
                <c:pt idx="35" formatCode="0">
                  <c:v>80</c:v>
                </c:pt>
                <c:pt idx="36" formatCode="0">
                  <c:v>150</c:v>
                </c:pt>
                <c:pt idx="37" formatCode="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6C-4E6C-947A-16C8B54A992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'Water Graphs'!$C$64:$AN$64</c:f>
              <c:numCache>
                <c:formatCode>[$-409]d\-mmm\-yy;@</c:formatCode>
                <c:ptCount val="38"/>
                <c:pt idx="0">
                  <c:v>45357</c:v>
                </c:pt>
                <c:pt idx="1">
                  <c:v>45364</c:v>
                </c:pt>
                <c:pt idx="2">
                  <c:v>45372</c:v>
                </c:pt>
                <c:pt idx="3">
                  <c:v>45375</c:v>
                </c:pt>
                <c:pt idx="4">
                  <c:v>45377</c:v>
                </c:pt>
                <c:pt idx="5">
                  <c:v>45378</c:v>
                </c:pt>
                <c:pt idx="6">
                  <c:v>45380</c:v>
                </c:pt>
                <c:pt idx="7">
                  <c:v>45381</c:v>
                </c:pt>
                <c:pt idx="8">
                  <c:v>45382</c:v>
                </c:pt>
                <c:pt idx="9">
                  <c:v>45384</c:v>
                </c:pt>
                <c:pt idx="10">
                  <c:v>45385</c:v>
                </c:pt>
                <c:pt idx="11">
                  <c:v>45387</c:v>
                </c:pt>
                <c:pt idx="12">
                  <c:v>45389</c:v>
                </c:pt>
                <c:pt idx="13">
                  <c:v>45391</c:v>
                </c:pt>
                <c:pt idx="14">
                  <c:v>45393</c:v>
                </c:pt>
                <c:pt idx="15">
                  <c:v>45397</c:v>
                </c:pt>
                <c:pt idx="16">
                  <c:v>45399</c:v>
                </c:pt>
                <c:pt idx="17">
                  <c:v>45401</c:v>
                </c:pt>
                <c:pt idx="18">
                  <c:v>45403</c:v>
                </c:pt>
                <c:pt idx="19">
                  <c:v>45405</c:v>
                </c:pt>
                <c:pt idx="20">
                  <c:v>45407</c:v>
                </c:pt>
                <c:pt idx="21">
                  <c:v>45408</c:v>
                </c:pt>
                <c:pt idx="22">
                  <c:v>45409</c:v>
                </c:pt>
                <c:pt idx="23">
                  <c:v>45410</c:v>
                </c:pt>
                <c:pt idx="24">
                  <c:v>45411</c:v>
                </c:pt>
                <c:pt idx="25">
                  <c:v>45412</c:v>
                </c:pt>
                <c:pt idx="26">
                  <c:v>45413</c:v>
                </c:pt>
                <c:pt idx="27">
                  <c:v>45414</c:v>
                </c:pt>
                <c:pt idx="28">
                  <c:v>45415</c:v>
                </c:pt>
                <c:pt idx="29">
                  <c:v>45418</c:v>
                </c:pt>
                <c:pt idx="30">
                  <c:v>45420</c:v>
                </c:pt>
                <c:pt idx="31">
                  <c:v>45422</c:v>
                </c:pt>
                <c:pt idx="32">
                  <c:v>45424</c:v>
                </c:pt>
                <c:pt idx="33">
                  <c:v>45425</c:v>
                </c:pt>
                <c:pt idx="34">
                  <c:v>45426</c:v>
                </c:pt>
                <c:pt idx="35">
                  <c:v>45428</c:v>
                </c:pt>
                <c:pt idx="36">
                  <c:v>45432</c:v>
                </c:pt>
                <c:pt idx="37">
                  <c:v>45433</c:v>
                </c:pt>
              </c:numCache>
            </c:numRef>
          </c:cat>
          <c:val>
            <c:numRef>
              <c:f>'Water Graphs'!$C$70:$AN$70</c:f>
              <c:numCache>
                <c:formatCode>General</c:formatCode>
                <c:ptCount val="38"/>
                <c:pt idx="0">
                  <c:v>55</c:v>
                </c:pt>
                <c:pt idx="1">
                  <c:v>110</c:v>
                </c:pt>
                <c:pt idx="2">
                  <c:v>145</c:v>
                </c:pt>
                <c:pt idx="3">
                  <c:v>175</c:v>
                </c:pt>
                <c:pt idx="4">
                  <c:v>95</c:v>
                </c:pt>
                <c:pt idx="5">
                  <c:v>60</c:v>
                </c:pt>
                <c:pt idx="6">
                  <c:v>120</c:v>
                </c:pt>
                <c:pt idx="7">
                  <c:v>65</c:v>
                </c:pt>
                <c:pt idx="8">
                  <c:v>60</c:v>
                </c:pt>
                <c:pt idx="9">
                  <c:v>110</c:v>
                </c:pt>
                <c:pt idx="10">
                  <c:v>60</c:v>
                </c:pt>
                <c:pt idx="11">
                  <c:v>140</c:v>
                </c:pt>
                <c:pt idx="12">
                  <c:v>80</c:v>
                </c:pt>
                <c:pt idx="13">
                  <c:v>105</c:v>
                </c:pt>
                <c:pt idx="14">
                  <c:v>140</c:v>
                </c:pt>
                <c:pt idx="15">
                  <c:v>160</c:v>
                </c:pt>
                <c:pt idx="16">
                  <c:v>130</c:v>
                </c:pt>
                <c:pt idx="17">
                  <c:v>140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85</c:v>
                </c:pt>
                <c:pt idx="22">
                  <c:v>65</c:v>
                </c:pt>
                <c:pt idx="23">
                  <c:v>70</c:v>
                </c:pt>
                <c:pt idx="24">
                  <c:v>90</c:v>
                </c:pt>
                <c:pt idx="25">
                  <c:v>75</c:v>
                </c:pt>
                <c:pt idx="26">
                  <c:v>55</c:v>
                </c:pt>
                <c:pt idx="27" formatCode="0">
                  <c:v>55</c:v>
                </c:pt>
                <c:pt idx="28" formatCode="0">
                  <c:v>45</c:v>
                </c:pt>
                <c:pt idx="29" formatCode="0">
                  <c:v>140</c:v>
                </c:pt>
                <c:pt idx="30" formatCode="0">
                  <c:v>75</c:v>
                </c:pt>
                <c:pt idx="31" formatCode="0">
                  <c:v>100</c:v>
                </c:pt>
                <c:pt idx="32" formatCode="0">
                  <c:v>150</c:v>
                </c:pt>
                <c:pt idx="33" formatCode="0">
                  <c:v>80</c:v>
                </c:pt>
                <c:pt idx="34" formatCode="0">
                  <c:v>50</c:v>
                </c:pt>
                <c:pt idx="35" formatCode="0">
                  <c:v>85</c:v>
                </c:pt>
                <c:pt idx="36" formatCode="0">
                  <c:v>145</c:v>
                </c:pt>
                <c:pt idx="37" formatCode="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6C-4E6C-947A-16C8B54A9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dateAx>
        <c:axId val="7123586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Offset val="100"/>
        <c:baseTimeUnit val="days"/>
      </c:dateAx>
      <c:valAx>
        <c:axId val="712363912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>
                    <a:solidFill>
                      <a:sysClr val="windowText" lastClr="000000"/>
                    </a:solidFill>
                  </a:rPr>
                  <a:t>Volume Replaced (mm))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Weekly Water Use- Moderate Salinity</a:t>
            </a:r>
            <a:r>
              <a:rPr lang="en-US" baseline="0">
                <a:solidFill>
                  <a:sysClr val="windowText" lastClr="000000"/>
                </a:solidFill>
              </a:rPr>
              <a:t> (12 dS/m)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46937001"/>
          <c:y val="0.24814402094535384"/>
          <c:w val="0.83578152584713938"/>
          <c:h val="0.56638572785781938"/>
        </c:manualLayout>
      </c:layout>
      <c:lineChart>
        <c:grouping val="standard"/>
        <c:varyColors val="0"/>
        <c:ser>
          <c:idx val="11"/>
          <c:order val="0"/>
          <c:tx>
            <c:strRef>
              <c:f>'Water Graphs'!$A$6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Graphs'!$C$6:$P$6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30</c:v>
                </c:pt>
                <c:pt idx="5">
                  <c:v>35</c:v>
                </c:pt>
                <c:pt idx="6">
                  <c:v>60</c:v>
                </c:pt>
                <c:pt idx="7">
                  <c:v>45</c:v>
                </c:pt>
                <c:pt idx="8">
                  <c:v>55</c:v>
                </c:pt>
                <c:pt idx="9">
                  <c:v>55</c:v>
                </c:pt>
                <c:pt idx="10">
                  <c:v>65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73D-4E99-A65C-A1B27677D057}"/>
            </c:ext>
          </c:extLst>
        </c:ser>
        <c:ser>
          <c:idx val="0"/>
          <c:order val="1"/>
          <c:tx>
            <c:strRef>
              <c:f>'Water Graphs'!$A$7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Graphs'!$C$7:$P$7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30</c:v>
                </c:pt>
                <c:pt idx="5">
                  <c:v>35</c:v>
                </c:pt>
                <c:pt idx="6">
                  <c:v>60</c:v>
                </c:pt>
                <c:pt idx="7">
                  <c:v>40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1-4B92-9065-B5AD9510E721}"/>
            </c:ext>
          </c:extLst>
        </c:ser>
        <c:ser>
          <c:idx val="1"/>
          <c:order val="2"/>
          <c:tx>
            <c:strRef>
              <c:f>'Water Graphs'!$A$8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Graphs'!$C$8:$P$8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15</c:v>
                </c:pt>
                <c:pt idx="4">
                  <c:v>30</c:v>
                </c:pt>
                <c:pt idx="5">
                  <c:v>35</c:v>
                </c:pt>
                <c:pt idx="6">
                  <c:v>45</c:v>
                </c:pt>
                <c:pt idx="7">
                  <c:v>30</c:v>
                </c:pt>
                <c:pt idx="8">
                  <c:v>45</c:v>
                </c:pt>
                <c:pt idx="9">
                  <c:v>35</c:v>
                </c:pt>
                <c:pt idx="10">
                  <c:v>40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1-4B92-9065-B5AD9510E721}"/>
            </c:ext>
          </c:extLst>
        </c:ser>
        <c:ser>
          <c:idx val="2"/>
          <c:order val="3"/>
          <c:tx>
            <c:strRef>
              <c:f>'Water Graphs'!$A$9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Graphs'!$C$9:$P$9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30</c:v>
                </c:pt>
                <c:pt idx="5">
                  <c:v>30</c:v>
                </c:pt>
                <c:pt idx="6">
                  <c:v>40</c:v>
                </c:pt>
                <c:pt idx="7">
                  <c:v>15</c:v>
                </c:pt>
                <c:pt idx="8">
                  <c:v>40</c:v>
                </c:pt>
                <c:pt idx="9">
                  <c:v>35</c:v>
                </c:pt>
                <c:pt idx="10">
                  <c:v>45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1-4B92-9065-B5AD9510E721}"/>
            </c:ext>
          </c:extLst>
        </c:ser>
        <c:ser>
          <c:idx val="3"/>
          <c:order val="4"/>
          <c:tx>
            <c:strRef>
              <c:f>'Water Graphs'!$A$10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Graphs'!$C$10:$N$10</c:f>
              <c:numCache>
                <c:formatCode>0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65</c:v>
                </c:pt>
                <c:pt idx="6">
                  <c:v>105</c:v>
                </c:pt>
                <c:pt idx="7">
                  <c:v>60</c:v>
                </c:pt>
                <c:pt idx="8">
                  <c:v>100</c:v>
                </c:pt>
                <c:pt idx="9">
                  <c:v>75</c:v>
                </c:pt>
                <c:pt idx="10">
                  <c:v>80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1-4B92-9065-B5AD9510E721}"/>
            </c:ext>
          </c:extLst>
        </c:ser>
        <c:ser>
          <c:idx val="4"/>
          <c:order val="5"/>
          <c:tx>
            <c:strRef>
              <c:f>'Water Graphs'!$A$11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Graphs'!$C$11:$P$11</c:f>
              <c:numCache>
                <c:formatCode>0</c:formatCode>
                <c:ptCount val="14"/>
                <c:pt idx="0">
                  <c:v>35</c:v>
                </c:pt>
                <c:pt idx="1">
                  <c:v>25</c:v>
                </c:pt>
                <c:pt idx="2">
                  <c:v>40</c:v>
                </c:pt>
                <c:pt idx="3">
                  <c:v>10</c:v>
                </c:pt>
                <c:pt idx="4">
                  <c:v>25</c:v>
                </c:pt>
                <c:pt idx="5">
                  <c:v>25</c:v>
                </c:pt>
                <c:pt idx="6">
                  <c:v>55</c:v>
                </c:pt>
                <c:pt idx="7">
                  <c:v>30</c:v>
                </c:pt>
                <c:pt idx="8">
                  <c:v>55</c:v>
                </c:pt>
                <c:pt idx="9">
                  <c:v>50</c:v>
                </c:pt>
                <c:pt idx="10">
                  <c:v>55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E-4344-8C8F-E06D6C959DEF}"/>
            </c:ext>
          </c:extLst>
        </c:ser>
        <c:ser>
          <c:idx val="5"/>
          <c:order val="6"/>
          <c:tx>
            <c:strRef>
              <c:f>'Water Graphs'!$A$12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Graphs'!$C$12:$P$12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45</c:v>
                </c:pt>
                <c:pt idx="7">
                  <c:v>25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344-8C8F-E06D6C959DEF}"/>
            </c:ext>
          </c:extLst>
        </c:ser>
        <c:ser>
          <c:idx val="6"/>
          <c:order val="7"/>
          <c:tx>
            <c:strRef>
              <c:f>'Water Graphs'!$A$13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Graphs'!$C$13:$P$13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25</c:v>
                </c:pt>
                <c:pt idx="4">
                  <c:v>25</c:v>
                </c:pt>
                <c:pt idx="5">
                  <c:v>55</c:v>
                </c:pt>
                <c:pt idx="6">
                  <c:v>90</c:v>
                </c:pt>
                <c:pt idx="7">
                  <c:v>50</c:v>
                </c:pt>
                <c:pt idx="8">
                  <c:v>90</c:v>
                </c:pt>
                <c:pt idx="9">
                  <c:v>65</c:v>
                </c:pt>
                <c:pt idx="10">
                  <c:v>60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FE-4344-8C8F-E06D6C959DEF}"/>
            </c:ext>
          </c:extLst>
        </c:ser>
        <c:ser>
          <c:idx val="7"/>
          <c:order val="8"/>
          <c:tx>
            <c:strRef>
              <c:f>'Water Graphs'!$A$14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Graphs'!$C$14:$P$14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20</c:v>
                </c:pt>
                <c:pt idx="4">
                  <c:v>35</c:v>
                </c:pt>
                <c:pt idx="5">
                  <c:v>45</c:v>
                </c:pt>
                <c:pt idx="6">
                  <c:v>65</c:v>
                </c:pt>
                <c:pt idx="7">
                  <c:v>35</c:v>
                </c:pt>
                <c:pt idx="8">
                  <c:v>55</c:v>
                </c:pt>
                <c:pt idx="9">
                  <c:v>50</c:v>
                </c:pt>
                <c:pt idx="10">
                  <c:v>60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FE-4344-8C8F-E06D6C959DEF}"/>
            </c:ext>
          </c:extLst>
        </c:ser>
        <c:ser>
          <c:idx val="8"/>
          <c:order val="9"/>
          <c:tx>
            <c:strRef>
              <c:f>'Water Graphs'!$A$15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Graphs'!$C$15:$P$15</c:f>
              <c:numCache>
                <c:formatCode>0</c:formatCode>
                <c:ptCount val="14"/>
                <c:pt idx="0">
                  <c:v>50</c:v>
                </c:pt>
                <c:pt idx="1">
                  <c:v>35</c:v>
                </c:pt>
                <c:pt idx="2">
                  <c:v>40</c:v>
                </c:pt>
                <c:pt idx="3">
                  <c:v>25</c:v>
                </c:pt>
                <c:pt idx="4">
                  <c:v>35</c:v>
                </c:pt>
                <c:pt idx="5">
                  <c:v>55</c:v>
                </c:pt>
                <c:pt idx="6">
                  <c:v>75</c:v>
                </c:pt>
                <c:pt idx="7">
                  <c:v>45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FE-4344-8C8F-E06D6C959DEF}"/>
            </c:ext>
          </c:extLst>
        </c:ser>
        <c:ser>
          <c:idx val="9"/>
          <c:order val="10"/>
          <c:tx>
            <c:strRef>
              <c:f>'Water Graphs'!$A$16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Graphs'!$C$16:$P$16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55</c:v>
                </c:pt>
                <c:pt idx="7">
                  <c:v>35</c:v>
                </c:pt>
                <c:pt idx="8">
                  <c:v>40</c:v>
                </c:pt>
                <c:pt idx="9">
                  <c:v>40</c:v>
                </c:pt>
                <c:pt idx="10">
                  <c:v>50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344-8C8F-E06D6C959DEF}"/>
            </c:ext>
          </c:extLst>
        </c:ser>
        <c:ser>
          <c:idx val="10"/>
          <c:order val="11"/>
          <c:tx>
            <c:strRef>
              <c:f>'Water Graphs'!$A$17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Graphs'!$C$17:$P$17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30</c:v>
                </c:pt>
                <c:pt idx="5">
                  <c:v>50</c:v>
                </c:pt>
                <c:pt idx="6">
                  <c:v>65</c:v>
                </c:pt>
                <c:pt idx="7">
                  <c:v>50</c:v>
                </c:pt>
                <c:pt idx="8">
                  <c:v>70</c:v>
                </c:pt>
                <c:pt idx="9">
                  <c:v>50</c:v>
                </c:pt>
                <c:pt idx="10">
                  <c:v>55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344-8C8F-E06D6C959DEF}"/>
            </c:ext>
          </c:extLst>
        </c:ser>
        <c:ser>
          <c:idx val="12"/>
          <c:order val="12"/>
          <c:tx>
            <c:strRef>
              <c:f>'Water Graphs'!$A$18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Graphs'!$C$18:$P$18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50</c:v>
                </c:pt>
                <c:pt idx="5">
                  <c:v>55</c:v>
                </c:pt>
                <c:pt idx="6">
                  <c:v>65</c:v>
                </c:pt>
                <c:pt idx="7">
                  <c:v>45</c:v>
                </c:pt>
                <c:pt idx="8">
                  <c:v>65</c:v>
                </c:pt>
                <c:pt idx="9">
                  <c:v>50</c:v>
                </c:pt>
                <c:pt idx="10">
                  <c:v>55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FE-4344-8C8F-E06D6C959DEF}"/>
            </c:ext>
          </c:extLst>
        </c:ser>
        <c:ser>
          <c:idx val="13"/>
          <c:order val="13"/>
          <c:tx>
            <c:strRef>
              <c:f>'Water Graphs'!$A$19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Graphs'!$C$19:$P$19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50</c:v>
                </c:pt>
                <c:pt idx="5">
                  <c:v>50</c:v>
                </c:pt>
                <c:pt idx="6">
                  <c:v>70</c:v>
                </c:pt>
                <c:pt idx="7">
                  <c:v>50</c:v>
                </c:pt>
                <c:pt idx="8">
                  <c:v>70</c:v>
                </c:pt>
                <c:pt idx="9">
                  <c:v>50</c:v>
                </c:pt>
                <c:pt idx="10">
                  <c:v>60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FE-4344-8C8F-E06D6C959DEF}"/>
            </c:ext>
          </c:extLst>
        </c:ser>
        <c:ser>
          <c:idx val="14"/>
          <c:order val="14"/>
          <c:tx>
            <c:strRef>
              <c:f>'Water Graphs'!$A$20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Graphs'!$C$20:$P$20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30</c:v>
                </c:pt>
                <c:pt idx="4">
                  <c:v>45</c:v>
                </c:pt>
                <c:pt idx="5">
                  <c:v>65</c:v>
                </c:pt>
                <c:pt idx="6">
                  <c:v>85</c:v>
                </c:pt>
                <c:pt idx="7">
                  <c:v>55</c:v>
                </c:pt>
                <c:pt idx="8">
                  <c:v>75</c:v>
                </c:pt>
                <c:pt idx="9">
                  <c:v>65</c:v>
                </c:pt>
                <c:pt idx="10">
                  <c:v>70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FE-4344-8C8F-E06D6C959DEF}"/>
            </c:ext>
          </c:extLst>
        </c:ser>
        <c:ser>
          <c:idx val="15"/>
          <c:order val="15"/>
          <c:tx>
            <c:strRef>
              <c:f>'Water Graphs'!$A$21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Graphs'!$C$21:$P$21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25</c:v>
                </c:pt>
                <c:pt idx="4">
                  <c:v>50</c:v>
                </c:pt>
                <c:pt idx="5">
                  <c:v>55</c:v>
                </c:pt>
                <c:pt idx="6">
                  <c:v>85</c:v>
                </c:pt>
                <c:pt idx="7">
                  <c:v>60</c:v>
                </c:pt>
                <c:pt idx="8">
                  <c:v>75</c:v>
                </c:pt>
                <c:pt idx="9">
                  <c:v>60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FE-4344-8C8F-E06D6C959DEF}"/>
            </c:ext>
          </c:extLst>
        </c:ser>
        <c:ser>
          <c:idx val="16"/>
          <c:order val="16"/>
          <c:tx>
            <c:strRef>
              <c:f>'Water Graphs'!$A$22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Graphs'!$C$22:$P$22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25</c:v>
                </c:pt>
                <c:pt idx="4">
                  <c:v>45</c:v>
                </c:pt>
                <c:pt idx="5">
                  <c:v>50</c:v>
                </c:pt>
                <c:pt idx="6">
                  <c:v>65</c:v>
                </c:pt>
                <c:pt idx="7">
                  <c:v>45</c:v>
                </c:pt>
                <c:pt idx="8">
                  <c:v>55</c:v>
                </c:pt>
                <c:pt idx="9">
                  <c:v>55</c:v>
                </c:pt>
                <c:pt idx="10">
                  <c:v>50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FE-4344-8C8F-E06D6C959DEF}"/>
            </c:ext>
          </c:extLst>
        </c:ser>
        <c:ser>
          <c:idx val="17"/>
          <c:order val="17"/>
          <c:tx>
            <c:strRef>
              <c:f>'Water Graphs'!$A$23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Graphs'!$C$23:$P$23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45</c:v>
                </c:pt>
                <c:pt idx="5">
                  <c:v>65</c:v>
                </c:pt>
                <c:pt idx="6">
                  <c:v>80</c:v>
                </c:pt>
                <c:pt idx="7">
                  <c:v>60</c:v>
                </c:pt>
                <c:pt idx="8">
                  <c:v>75</c:v>
                </c:pt>
                <c:pt idx="9">
                  <c:v>55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FE-4344-8C8F-E06D6C959DEF}"/>
            </c:ext>
          </c:extLst>
        </c:ser>
        <c:ser>
          <c:idx val="18"/>
          <c:order val="18"/>
          <c:tx>
            <c:strRef>
              <c:f>'Water Graphs'!$A$24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Graphs'!$C$24:$P$24</c:f>
              <c:numCache>
                <c:formatCode>0</c:formatCode>
                <c:ptCount val="14"/>
                <c:pt idx="0">
                  <c:v>45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60</c:v>
                </c:pt>
                <c:pt idx="8">
                  <c:v>75</c:v>
                </c:pt>
                <c:pt idx="9">
                  <c:v>65</c:v>
                </c:pt>
                <c:pt idx="10">
                  <c:v>70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FE-4344-8C8F-E06D6C959DEF}"/>
            </c:ext>
          </c:extLst>
        </c:ser>
        <c:ser>
          <c:idx val="19"/>
          <c:order val="19"/>
          <c:tx>
            <c:strRef>
              <c:f>'Water Graphs'!$A$25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Graphs'!$C$25:$P$25</c:f>
              <c:numCache>
                <c:formatCode>0</c:formatCode>
                <c:ptCount val="14"/>
                <c:pt idx="0">
                  <c:v>50</c:v>
                </c:pt>
                <c:pt idx="1">
                  <c:v>30</c:v>
                </c:pt>
                <c:pt idx="2">
                  <c:v>40</c:v>
                </c:pt>
                <c:pt idx="3">
                  <c:v>35</c:v>
                </c:pt>
                <c:pt idx="4">
                  <c:v>45</c:v>
                </c:pt>
                <c:pt idx="5">
                  <c:v>60</c:v>
                </c:pt>
                <c:pt idx="6">
                  <c:v>85</c:v>
                </c:pt>
                <c:pt idx="7">
                  <c:v>65</c:v>
                </c:pt>
                <c:pt idx="8">
                  <c:v>75</c:v>
                </c:pt>
                <c:pt idx="9">
                  <c:v>60</c:v>
                </c:pt>
                <c:pt idx="10">
                  <c:v>65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FE-4344-8C8F-E06D6C959DEF}"/>
            </c:ext>
          </c:extLst>
        </c:ser>
        <c:ser>
          <c:idx val="20"/>
          <c:order val="20"/>
          <c:tx>
            <c:strRef>
              <c:f>'Water Graphs'!$A$26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Graphs'!$C$26:$P$26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20</c:v>
                </c:pt>
                <c:pt idx="4">
                  <c:v>50</c:v>
                </c:pt>
                <c:pt idx="5">
                  <c:v>55</c:v>
                </c:pt>
                <c:pt idx="6">
                  <c:v>65</c:v>
                </c:pt>
                <c:pt idx="7">
                  <c:v>70</c:v>
                </c:pt>
                <c:pt idx="8">
                  <c:v>65</c:v>
                </c:pt>
                <c:pt idx="9">
                  <c:v>55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FE-4344-8C8F-E06D6C959DEF}"/>
            </c:ext>
          </c:extLst>
        </c:ser>
        <c:ser>
          <c:idx val="21"/>
          <c:order val="21"/>
          <c:tx>
            <c:strRef>
              <c:f>'Water Graphs'!$A$27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Graphs'!$C$27:$P$27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25</c:v>
                </c:pt>
                <c:pt idx="4">
                  <c:v>40</c:v>
                </c:pt>
                <c:pt idx="5">
                  <c:v>45</c:v>
                </c:pt>
                <c:pt idx="6">
                  <c:v>55</c:v>
                </c:pt>
                <c:pt idx="7">
                  <c:v>50</c:v>
                </c:pt>
                <c:pt idx="8">
                  <c:v>55</c:v>
                </c:pt>
                <c:pt idx="9">
                  <c:v>45</c:v>
                </c:pt>
                <c:pt idx="10">
                  <c:v>45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FE-4344-8C8F-E06D6C959DEF}"/>
            </c:ext>
          </c:extLst>
        </c:ser>
        <c:ser>
          <c:idx val="22"/>
          <c:order val="22"/>
          <c:tx>
            <c:strRef>
              <c:f>'Water Graphs'!$A$28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Graphs'!$C$28:$P$28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50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45</c:v>
                </c:pt>
                <c:pt idx="10">
                  <c:v>50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FE-4344-8C8F-E06D6C959DEF}"/>
            </c:ext>
          </c:extLst>
        </c:ser>
        <c:ser>
          <c:idx val="23"/>
          <c:order val="23"/>
          <c:tx>
            <c:strRef>
              <c:f>'Water Graphs'!$A$29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Graphs'!$C$29:$P$29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65</c:v>
                </c:pt>
                <c:pt idx="9">
                  <c:v>55</c:v>
                </c:pt>
                <c:pt idx="10">
                  <c:v>50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FE-4344-8C8F-E06D6C959DEF}"/>
            </c:ext>
          </c:extLst>
        </c:ser>
        <c:ser>
          <c:idx val="24"/>
          <c:order val="24"/>
          <c:tx>
            <c:strRef>
              <c:f>'Water Graphs'!$A$30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Graphs'!$C$30:$P$30</c:f>
              <c:numCache>
                <c:formatCode>0</c:formatCode>
                <c:ptCount val="14"/>
                <c:pt idx="0">
                  <c:v>45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65</c:v>
                </c:pt>
                <c:pt idx="5">
                  <c:v>75</c:v>
                </c:pt>
                <c:pt idx="6">
                  <c:v>70</c:v>
                </c:pt>
                <c:pt idx="7">
                  <c:v>90</c:v>
                </c:pt>
                <c:pt idx="8">
                  <c:v>100</c:v>
                </c:pt>
                <c:pt idx="9">
                  <c:v>80</c:v>
                </c:pt>
                <c:pt idx="10">
                  <c:v>85</c:v>
                </c:pt>
                <c:pt idx="1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FE-4344-8C8F-E06D6C959DEF}"/>
            </c:ext>
          </c:extLst>
        </c:ser>
        <c:ser>
          <c:idx val="25"/>
          <c:order val="25"/>
          <c:tx>
            <c:strRef>
              <c:f>'Water Graphs'!$A$31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Graphs'!$C$31:$P$31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40</c:v>
                </c:pt>
                <c:pt idx="4">
                  <c:v>60</c:v>
                </c:pt>
                <c:pt idx="5">
                  <c:v>65</c:v>
                </c:pt>
                <c:pt idx="6">
                  <c:v>65</c:v>
                </c:pt>
                <c:pt idx="7">
                  <c:v>80</c:v>
                </c:pt>
                <c:pt idx="8">
                  <c:v>80</c:v>
                </c:pt>
                <c:pt idx="9">
                  <c:v>70</c:v>
                </c:pt>
                <c:pt idx="10">
                  <c:v>70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FE-4344-8C8F-E06D6C959DEF}"/>
            </c:ext>
          </c:extLst>
        </c:ser>
        <c:ser>
          <c:idx val="26"/>
          <c:order val="26"/>
          <c:tx>
            <c:strRef>
              <c:f>'Water Graphs'!$A$32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Graphs'!$C$32:$P$32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40</c:v>
                </c:pt>
                <c:pt idx="4">
                  <c:v>60</c:v>
                </c:pt>
                <c:pt idx="5">
                  <c:v>55</c:v>
                </c:pt>
                <c:pt idx="6">
                  <c:v>70</c:v>
                </c:pt>
                <c:pt idx="7">
                  <c:v>70</c:v>
                </c:pt>
                <c:pt idx="8">
                  <c:v>75</c:v>
                </c:pt>
                <c:pt idx="9">
                  <c:v>60</c:v>
                </c:pt>
                <c:pt idx="10">
                  <c:v>55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FE-4344-8C8F-E06D6C959DEF}"/>
            </c:ext>
          </c:extLst>
        </c:ser>
        <c:ser>
          <c:idx val="27"/>
          <c:order val="27"/>
          <c:tx>
            <c:strRef>
              <c:f>'Water Graphs'!$A$33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Graphs'!$C$33:$P$33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45</c:v>
                </c:pt>
                <c:pt idx="4">
                  <c:v>65</c:v>
                </c:pt>
                <c:pt idx="5">
                  <c:v>55</c:v>
                </c:pt>
                <c:pt idx="6">
                  <c:v>70</c:v>
                </c:pt>
                <c:pt idx="7">
                  <c:v>70</c:v>
                </c:pt>
                <c:pt idx="8">
                  <c:v>80</c:v>
                </c:pt>
                <c:pt idx="9">
                  <c:v>60</c:v>
                </c:pt>
                <c:pt idx="10">
                  <c:v>65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1FE-4344-8C8F-E06D6C959DEF}"/>
            </c:ext>
          </c:extLst>
        </c:ser>
        <c:ser>
          <c:idx val="28"/>
          <c:order val="28"/>
          <c:tx>
            <c:strRef>
              <c:f>'Water Graphs'!$A$34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Graphs'!$C$34:$P$34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35</c:v>
                </c:pt>
                <c:pt idx="4">
                  <c:v>60</c:v>
                </c:pt>
                <c:pt idx="5">
                  <c:v>60</c:v>
                </c:pt>
                <c:pt idx="6">
                  <c:v>70</c:v>
                </c:pt>
                <c:pt idx="7">
                  <c:v>55</c:v>
                </c:pt>
                <c:pt idx="8">
                  <c:v>75</c:v>
                </c:pt>
                <c:pt idx="9">
                  <c:v>60</c:v>
                </c:pt>
                <c:pt idx="10">
                  <c:v>60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1FE-4344-8C8F-E06D6C959DEF}"/>
            </c:ext>
          </c:extLst>
        </c:ser>
        <c:ser>
          <c:idx val="29"/>
          <c:order val="29"/>
          <c:tx>
            <c:strRef>
              <c:f>'Water Graphs'!$A$35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Graphs'!$C$35:$P$35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30</c:v>
                </c:pt>
                <c:pt idx="4">
                  <c:v>55</c:v>
                </c:pt>
                <c:pt idx="5">
                  <c:v>65</c:v>
                </c:pt>
                <c:pt idx="6">
                  <c:v>65</c:v>
                </c:pt>
                <c:pt idx="7">
                  <c:v>70</c:v>
                </c:pt>
                <c:pt idx="8">
                  <c:v>65</c:v>
                </c:pt>
                <c:pt idx="9">
                  <c:v>55</c:v>
                </c:pt>
                <c:pt idx="10">
                  <c:v>60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1FE-4344-8C8F-E06D6C959DEF}"/>
            </c:ext>
          </c:extLst>
        </c:ser>
        <c:ser>
          <c:idx val="30"/>
          <c:order val="30"/>
          <c:tx>
            <c:strRef>
              <c:f>'Water Graphs'!$A$36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Graphs'!$C$36:$P$36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  <c:pt idx="4">
                  <c:v>55</c:v>
                </c:pt>
                <c:pt idx="5">
                  <c:v>45</c:v>
                </c:pt>
                <c:pt idx="6">
                  <c:v>50</c:v>
                </c:pt>
                <c:pt idx="7">
                  <c:v>70</c:v>
                </c:pt>
                <c:pt idx="8">
                  <c:v>60</c:v>
                </c:pt>
                <c:pt idx="9">
                  <c:v>50</c:v>
                </c:pt>
                <c:pt idx="10">
                  <c:v>50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1FE-4344-8C8F-E06D6C959DEF}"/>
            </c:ext>
          </c:extLst>
        </c:ser>
        <c:ser>
          <c:idx val="31"/>
          <c:order val="31"/>
          <c:tx>
            <c:strRef>
              <c:f>'Water Graphs'!$A$37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Graphs'!$C$37:$P$37</c:f>
              <c:numCache>
                <c:formatCode>0</c:formatCode>
                <c:ptCount val="14"/>
                <c:pt idx="0">
                  <c:v>40</c:v>
                </c:pt>
                <c:pt idx="1">
                  <c:v>35</c:v>
                </c:pt>
                <c:pt idx="2">
                  <c:v>40</c:v>
                </c:pt>
                <c:pt idx="3">
                  <c:v>50</c:v>
                </c:pt>
                <c:pt idx="4">
                  <c:v>75</c:v>
                </c:pt>
                <c:pt idx="5">
                  <c:v>75</c:v>
                </c:pt>
                <c:pt idx="6">
                  <c:v>70</c:v>
                </c:pt>
                <c:pt idx="7">
                  <c:v>95</c:v>
                </c:pt>
                <c:pt idx="8">
                  <c:v>85</c:v>
                </c:pt>
                <c:pt idx="9">
                  <c:v>70</c:v>
                </c:pt>
                <c:pt idx="10">
                  <c:v>70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1FE-4344-8C8F-E06D6C959DEF}"/>
            </c:ext>
          </c:extLst>
        </c:ser>
        <c:ser>
          <c:idx val="32"/>
          <c:order val="32"/>
          <c:tx>
            <c:strRef>
              <c:f>'Water Graphs'!$A$38</c:f>
              <c:strCache>
                <c:ptCount val="1"/>
                <c:pt idx="0">
                  <c:v>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Graphs'!$C$38:$P$38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55</c:v>
                </c:pt>
                <c:pt idx="5">
                  <c:v>40</c:v>
                </c:pt>
                <c:pt idx="6">
                  <c:v>55</c:v>
                </c:pt>
                <c:pt idx="7">
                  <c:v>60</c:v>
                </c:pt>
                <c:pt idx="8">
                  <c:v>60</c:v>
                </c:pt>
                <c:pt idx="9">
                  <c:v>45</c:v>
                </c:pt>
                <c:pt idx="10">
                  <c:v>45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1FE-4344-8C8F-E06D6C959DEF}"/>
            </c:ext>
          </c:extLst>
        </c:ser>
        <c:ser>
          <c:idx val="33"/>
          <c:order val="33"/>
          <c:tx>
            <c:strRef>
              <c:f>'Water Graphs'!$A$39</c:f>
              <c:strCache>
                <c:ptCount val="1"/>
                <c:pt idx="0">
                  <c:v>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Graphs'!$C$39:$P$39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  <c:pt idx="4">
                  <c:v>55</c:v>
                </c:pt>
                <c:pt idx="5">
                  <c:v>55</c:v>
                </c:pt>
                <c:pt idx="6">
                  <c:v>60</c:v>
                </c:pt>
                <c:pt idx="7">
                  <c:v>80</c:v>
                </c:pt>
                <c:pt idx="8">
                  <c:v>75</c:v>
                </c:pt>
                <c:pt idx="9">
                  <c:v>60</c:v>
                </c:pt>
                <c:pt idx="10">
                  <c:v>70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1FE-4344-8C8F-E06D6C959DEF}"/>
            </c:ext>
          </c:extLst>
        </c:ser>
        <c:ser>
          <c:idx val="34"/>
          <c:order val="34"/>
          <c:tx>
            <c:strRef>
              <c:f>'Water Graphs'!$A$40</c:f>
              <c:strCache>
                <c:ptCount val="1"/>
                <c:pt idx="0">
                  <c:v>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Graphs'!$C$40:$P$40</c:f>
              <c:numCache>
                <c:formatCode>0</c:formatCode>
                <c:ptCount val="14"/>
                <c:pt idx="0">
                  <c:v>40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85</c:v>
                </c:pt>
                <c:pt idx="9">
                  <c:v>65</c:v>
                </c:pt>
                <c:pt idx="10">
                  <c:v>70</c:v>
                </c:pt>
                <c:pt idx="1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1FE-4344-8C8F-E06D6C959DEF}"/>
            </c:ext>
          </c:extLst>
        </c:ser>
        <c:ser>
          <c:idx val="35"/>
          <c:order val="35"/>
          <c:tx>
            <c:strRef>
              <c:f>'Water Graphs'!$A$41</c:f>
              <c:strCache>
                <c:ptCount val="1"/>
                <c:pt idx="0">
                  <c:v>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Graphs'!$C$41:$P$41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40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80</c:v>
                </c:pt>
                <c:pt idx="9">
                  <c:v>55</c:v>
                </c:pt>
                <c:pt idx="10">
                  <c:v>50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1FE-4344-8C8F-E06D6C959DEF}"/>
            </c:ext>
          </c:extLst>
        </c:ser>
        <c:ser>
          <c:idx val="36"/>
          <c:order val="36"/>
          <c:tx>
            <c:strRef>
              <c:f>'Water Graphs'!$A$42</c:f>
              <c:strCache>
                <c:ptCount val="1"/>
                <c:pt idx="0">
                  <c:v>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Graphs'!$C$42:$P$42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45</c:v>
                </c:pt>
                <c:pt idx="6">
                  <c:v>55</c:v>
                </c:pt>
                <c:pt idx="7">
                  <c:v>65</c:v>
                </c:pt>
                <c:pt idx="8">
                  <c:v>70</c:v>
                </c:pt>
                <c:pt idx="9">
                  <c:v>55</c:v>
                </c:pt>
                <c:pt idx="10">
                  <c:v>55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1FE-4344-8C8F-E06D6C959DEF}"/>
            </c:ext>
          </c:extLst>
        </c:ser>
        <c:ser>
          <c:idx val="37"/>
          <c:order val="37"/>
          <c:tx>
            <c:strRef>
              <c:f>'Water Graphs'!$A$43</c:f>
              <c:strCache>
                <c:ptCount val="1"/>
                <c:pt idx="0">
                  <c:v>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Graphs'!$C$43:$P$43</c:f>
              <c:numCache>
                <c:formatCode>0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  <c:pt idx="4">
                  <c:v>55</c:v>
                </c:pt>
                <c:pt idx="5">
                  <c:v>45</c:v>
                </c:pt>
                <c:pt idx="6">
                  <c:v>55</c:v>
                </c:pt>
                <c:pt idx="7">
                  <c:v>70</c:v>
                </c:pt>
                <c:pt idx="8">
                  <c:v>45</c:v>
                </c:pt>
                <c:pt idx="9">
                  <c:v>45</c:v>
                </c:pt>
                <c:pt idx="10">
                  <c:v>50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1FE-4344-8C8F-E06D6C959DEF}"/>
            </c:ext>
          </c:extLst>
        </c:ser>
        <c:ser>
          <c:idx val="38"/>
          <c:order val="38"/>
          <c:tx>
            <c:strRef>
              <c:f>'Water Graphs'!$A$44</c:f>
              <c:strCache>
                <c:ptCount val="1"/>
                <c:pt idx="0">
                  <c:v>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Graphs'!$C$44:$P$44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35</c:v>
                </c:pt>
                <c:pt idx="4">
                  <c:v>55</c:v>
                </c:pt>
                <c:pt idx="5">
                  <c:v>45</c:v>
                </c:pt>
                <c:pt idx="6">
                  <c:v>60</c:v>
                </c:pt>
                <c:pt idx="7">
                  <c:v>45</c:v>
                </c:pt>
                <c:pt idx="8">
                  <c:v>45</c:v>
                </c:pt>
                <c:pt idx="9">
                  <c:v>30</c:v>
                </c:pt>
                <c:pt idx="10">
                  <c:v>35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1FE-4344-8C8F-E06D6C959DEF}"/>
            </c:ext>
          </c:extLst>
        </c:ser>
        <c:ser>
          <c:idx val="39"/>
          <c:order val="39"/>
          <c:tx>
            <c:strRef>
              <c:f>'Water Graphs'!$A$45</c:f>
              <c:strCache>
                <c:ptCount val="1"/>
                <c:pt idx="0">
                  <c:v>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Graphs'!$C$45:$P$45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35</c:v>
                </c:pt>
                <c:pt idx="4">
                  <c:v>55</c:v>
                </c:pt>
                <c:pt idx="5">
                  <c:v>35</c:v>
                </c:pt>
                <c:pt idx="6">
                  <c:v>45</c:v>
                </c:pt>
                <c:pt idx="7">
                  <c:v>65</c:v>
                </c:pt>
                <c:pt idx="8">
                  <c:v>55</c:v>
                </c:pt>
                <c:pt idx="9">
                  <c:v>45</c:v>
                </c:pt>
                <c:pt idx="10">
                  <c:v>45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1FE-4344-8C8F-E06D6C959DEF}"/>
            </c:ext>
          </c:extLst>
        </c:ser>
        <c:ser>
          <c:idx val="40"/>
          <c:order val="40"/>
          <c:tx>
            <c:strRef>
              <c:f>'Water Graphs'!$A$46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Graphs'!$C$46:$P$46</c:f>
              <c:numCache>
                <c:formatCode>0</c:formatCode>
                <c:ptCount val="14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60</c:v>
                </c:pt>
                <c:pt idx="5">
                  <c:v>50</c:v>
                </c:pt>
                <c:pt idx="6">
                  <c:v>45</c:v>
                </c:pt>
                <c:pt idx="7">
                  <c:v>90</c:v>
                </c:pt>
                <c:pt idx="8">
                  <c:v>70</c:v>
                </c:pt>
                <c:pt idx="9">
                  <c:v>55</c:v>
                </c:pt>
                <c:pt idx="10">
                  <c:v>50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1FE-4344-8C8F-E06D6C959DEF}"/>
            </c:ext>
          </c:extLst>
        </c:ser>
        <c:ser>
          <c:idx val="41"/>
          <c:order val="41"/>
          <c:tx>
            <c:strRef>
              <c:f>'Water Graphs'!$A$47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Graphs'!$C$47:$P$47</c:f>
              <c:numCache>
                <c:formatCode>0</c:formatCode>
                <c:ptCount val="14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55</c:v>
                </c:pt>
                <c:pt idx="6">
                  <c:v>40</c:v>
                </c:pt>
                <c:pt idx="7">
                  <c:v>80</c:v>
                </c:pt>
                <c:pt idx="8">
                  <c:v>65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1FE-4344-8C8F-E06D6C959DEF}"/>
            </c:ext>
          </c:extLst>
        </c:ser>
        <c:ser>
          <c:idx val="42"/>
          <c:order val="42"/>
          <c:tx>
            <c:strRef>
              <c:f>'Water Graphs'!$A$48</c:f>
              <c:strCache>
                <c:ptCount val="1"/>
                <c:pt idx="0">
                  <c:v>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Graphs'!$C$48:$P$48</c:f>
              <c:numCache>
                <c:formatCode>0</c:formatCode>
                <c:ptCount val="14"/>
                <c:pt idx="0">
                  <c:v>40</c:v>
                </c:pt>
                <c:pt idx="1">
                  <c:v>25</c:v>
                </c:pt>
                <c:pt idx="2">
                  <c:v>40</c:v>
                </c:pt>
                <c:pt idx="3">
                  <c:v>45</c:v>
                </c:pt>
                <c:pt idx="4">
                  <c:v>75</c:v>
                </c:pt>
                <c:pt idx="5">
                  <c:v>55</c:v>
                </c:pt>
                <c:pt idx="6">
                  <c:v>55</c:v>
                </c:pt>
                <c:pt idx="7">
                  <c:v>120</c:v>
                </c:pt>
                <c:pt idx="8">
                  <c:v>105</c:v>
                </c:pt>
                <c:pt idx="9">
                  <c:v>80</c:v>
                </c:pt>
                <c:pt idx="10">
                  <c:v>80</c:v>
                </c:pt>
                <c:pt idx="1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1FE-4344-8C8F-E06D6C959DEF}"/>
            </c:ext>
          </c:extLst>
        </c:ser>
        <c:ser>
          <c:idx val="43"/>
          <c:order val="43"/>
          <c:tx>
            <c:strRef>
              <c:f>'Water Graphs'!$A$49</c:f>
              <c:strCache>
                <c:ptCount val="1"/>
                <c:pt idx="0">
                  <c:v>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Graphs'!$C$49:$P$49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30</c:v>
                </c:pt>
                <c:pt idx="4">
                  <c:v>45</c:v>
                </c:pt>
                <c:pt idx="5">
                  <c:v>40</c:v>
                </c:pt>
                <c:pt idx="6">
                  <c:v>35</c:v>
                </c:pt>
                <c:pt idx="7">
                  <c:v>55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1FE-4344-8C8F-E06D6C959DEF}"/>
            </c:ext>
          </c:extLst>
        </c:ser>
        <c:ser>
          <c:idx val="44"/>
          <c:order val="44"/>
          <c:tx>
            <c:strRef>
              <c:f>'Water Graphs'!$A$50</c:f>
              <c:strCache>
                <c:ptCount val="1"/>
                <c:pt idx="0">
                  <c:v>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Graphs'!$C$50:$P$50</c:f>
              <c:numCache>
                <c:formatCode>0</c:formatCode>
                <c:ptCount val="14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50</c:v>
                </c:pt>
                <c:pt idx="4">
                  <c:v>55</c:v>
                </c:pt>
                <c:pt idx="5">
                  <c:v>55</c:v>
                </c:pt>
                <c:pt idx="6">
                  <c:v>50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1FE-4344-8C8F-E06D6C959DEF}"/>
            </c:ext>
          </c:extLst>
        </c:ser>
        <c:ser>
          <c:idx val="45"/>
          <c:order val="45"/>
          <c:tx>
            <c:strRef>
              <c:f>'Water Graphs'!$A$51</c:f>
              <c:strCache>
                <c:ptCount val="1"/>
                <c:pt idx="0">
                  <c:v>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Graphs'!$C$51:$P$51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80</c:v>
                </c:pt>
                <c:pt idx="8">
                  <c:v>70</c:v>
                </c:pt>
                <c:pt idx="9">
                  <c:v>55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1FE-4344-8C8F-E06D6C959DEF}"/>
            </c:ext>
          </c:extLst>
        </c:ser>
        <c:ser>
          <c:idx val="46"/>
          <c:order val="46"/>
          <c:tx>
            <c:strRef>
              <c:f>'Water Graphs'!$A$52</c:f>
              <c:strCache>
                <c:ptCount val="1"/>
                <c:pt idx="0">
                  <c:v>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Graphs'!$C$52:$P$52</c:f>
              <c:numCache>
                <c:formatCode>0</c:formatCode>
                <c:ptCount val="14"/>
                <c:pt idx="0">
                  <c:v>45</c:v>
                </c:pt>
                <c:pt idx="1">
                  <c:v>40</c:v>
                </c:pt>
                <c:pt idx="2">
                  <c:v>40</c:v>
                </c:pt>
                <c:pt idx="3">
                  <c:v>35</c:v>
                </c:pt>
                <c:pt idx="4">
                  <c:v>50</c:v>
                </c:pt>
                <c:pt idx="5">
                  <c:v>45</c:v>
                </c:pt>
                <c:pt idx="6">
                  <c:v>40</c:v>
                </c:pt>
                <c:pt idx="7">
                  <c:v>70</c:v>
                </c:pt>
                <c:pt idx="8">
                  <c:v>55</c:v>
                </c:pt>
                <c:pt idx="9">
                  <c:v>45</c:v>
                </c:pt>
                <c:pt idx="10">
                  <c:v>40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1FE-4344-8C8F-E06D6C959DEF}"/>
            </c:ext>
          </c:extLst>
        </c:ser>
        <c:ser>
          <c:idx val="47"/>
          <c:order val="47"/>
          <c:tx>
            <c:strRef>
              <c:f>'Water Graphs'!$A$53</c:f>
              <c:strCache>
                <c:ptCount val="1"/>
                <c:pt idx="0">
                  <c:v>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Graphs'!$C$53:$P$53</c:f>
              <c:numCache>
                <c:formatCode>0</c:formatCode>
                <c:ptCount val="14"/>
                <c:pt idx="0">
                  <c:v>40</c:v>
                </c:pt>
                <c:pt idx="1">
                  <c:v>35</c:v>
                </c:pt>
                <c:pt idx="2">
                  <c:v>40</c:v>
                </c:pt>
                <c:pt idx="3">
                  <c:v>30</c:v>
                </c:pt>
                <c:pt idx="4">
                  <c:v>80</c:v>
                </c:pt>
                <c:pt idx="5">
                  <c:v>60</c:v>
                </c:pt>
                <c:pt idx="6">
                  <c:v>60</c:v>
                </c:pt>
                <c:pt idx="7">
                  <c:v>100</c:v>
                </c:pt>
                <c:pt idx="8">
                  <c:v>95</c:v>
                </c:pt>
                <c:pt idx="9">
                  <c:v>65</c:v>
                </c:pt>
                <c:pt idx="10">
                  <c:v>55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1FE-4344-8C8F-E06D6C959DEF}"/>
            </c:ext>
          </c:extLst>
        </c:ser>
        <c:ser>
          <c:idx val="48"/>
          <c:order val="48"/>
          <c:tx>
            <c:strRef>
              <c:f>'Water Graphs'!$A$54</c:f>
              <c:strCache>
                <c:ptCount val="1"/>
                <c:pt idx="0">
                  <c:v>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Graphs'!$C$54:$P$54</c:f>
              <c:numCache>
                <c:formatCode>0</c:formatCode>
                <c:ptCount val="14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70</c:v>
                </c:pt>
                <c:pt idx="5">
                  <c:v>65</c:v>
                </c:pt>
                <c:pt idx="6">
                  <c:v>55</c:v>
                </c:pt>
                <c:pt idx="7">
                  <c:v>95</c:v>
                </c:pt>
                <c:pt idx="8">
                  <c:v>70</c:v>
                </c:pt>
                <c:pt idx="9">
                  <c:v>65</c:v>
                </c:pt>
                <c:pt idx="10">
                  <c:v>50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1FE-4344-8C8F-E06D6C959DEF}"/>
            </c:ext>
          </c:extLst>
        </c:ser>
        <c:ser>
          <c:idx val="49"/>
          <c:order val="49"/>
          <c:tx>
            <c:strRef>
              <c:f>'Water Graphs'!$A$55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Graphs'!$C$55:$P$55</c:f>
              <c:numCache>
                <c:formatCode>0</c:formatCode>
                <c:ptCount val="14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35</c:v>
                </c:pt>
                <c:pt idx="4">
                  <c:v>60</c:v>
                </c:pt>
                <c:pt idx="5">
                  <c:v>45</c:v>
                </c:pt>
                <c:pt idx="6">
                  <c:v>55</c:v>
                </c:pt>
                <c:pt idx="7">
                  <c:v>85</c:v>
                </c:pt>
                <c:pt idx="8">
                  <c:v>80</c:v>
                </c:pt>
                <c:pt idx="9">
                  <c:v>60</c:v>
                </c:pt>
                <c:pt idx="10">
                  <c:v>60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1FE-4344-8C8F-E06D6C959DEF}"/>
            </c:ext>
          </c:extLst>
        </c:ser>
        <c:ser>
          <c:idx val="50"/>
          <c:order val="50"/>
          <c:tx>
            <c:strRef>
              <c:f>'Water Graphs'!$A$56</c:f>
              <c:strCache>
                <c:ptCount val="1"/>
                <c:pt idx="0">
                  <c:v>52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Graphs'!$C$56:$P$56</c:f>
              <c:numCache>
                <c:formatCode>0</c:formatCode>
                <c:ptCount val="14"/>
                <c:pt idx="0">
                  <c:v>40</c:v>
                </c:pt>
                <c:pt idx="1">
                  <c:v>30</c:v>
                </c:pt>
                <c:pt idx="2">
                  <c:v>40</c:v>
                </c:pt>
                <c:pt idx="3">
                  <c:v>45</c:v>
                </c:pt>
                <c:pt idx="4">
                  <c:v>60</c:v>
                </c:pt>
                <c:pt idx="5">
                  <c:v>60</c:v>
                </c:pt>
                <c:pt idx="6">
                  <c:v>55</c:v>
                </c:pt>
                <c:pt idx="7">
                  <c:v>100</c:v>
                </c:pt>
                <c:pt idx="8">
                  <c:v>80</c:v>
                </c:pt>
                <c:pt idx="9">
                  <c:v>60</c:v>
                </c:pt>
                <c:pt idx="10">
                  <c:v>50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1FE-4344-8C8F-E06D6C959DEF}"/>
            </c:ext>
          </c:extLst>
        </c:ser>
        <c:ser>
          <c:idx val="51"/>
          <c:order val="51"/>
          <c:tx>
            <c:strRef>
              <c:f>'Water Graphs'!$A$57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Graphs'!$C$57:$P$57</c:f>
              <c:numCache>
                <c:formatCode>0</c:formatCode>
                <c:ptCount val="14"/>
                <c:pt idx="0">
                  <c:v>45</c:v>
                </c:pt>
                <c:pt idx="1">
                  <c:v>25</c:v>
                </c:pt>
                <c:pt idx="2">
                  <c:v>40</c:v>
                </c:pt>
                <c:pt idx="3">
                  <c:v>45</c:v>
                </c:pt>
                <c:pt idx="4">
                  <c:v>60</c:v>
                </c:pt>
                <c:pt idx="5">
                  <c:v>55</c:v>
                </c:pt>
                <c:pt idx="6">
                  <c:v>40</c:v>
                </c:pt>
                <c:pt idx="7">
                  <c:v>90</c:v>
                </c:pt>
                <c:pt idx="8">
                  <c:v>70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1FE-4344-8C8F-E06D6C959DEF}"/>
            </c:ext>
          </c:extLst>
        </c:ser>
        <c:ser>
          <c:idx val="52"/>
          <c:order val="52"/>
          <c:tx>
            <c:strRef>
              <c:f>'Water Graphs'!$A$58</c:f>
              <c:strCache>
                <c:ptCount val="1"/>
                <c:pt idx="0">
                  <c:v>54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Graphs'!$C$58:$P$58</c:f>
              <c:numCache>
                <c:formatCode>0</c:formatCode>
                <c:ptCount val="14"/>
                <c:pt idx="0">
                  <c:v>50</c:v>
                </c:pt>
                <c:pt idx="1">
                  <c:v>35</c:v>
                </c:pt>
                <c:pt idx="2">
                  <c:v>40</c:v>
                </c:pt>
                <c:pt idx="3">
                  <c:v>50</c:v>
                </c:pt>
                <c:pt idx="4">
                  <c:v>70</c:v>
                </c:pt>
                <c:pt idx="5">
                  <c:v>70</c:v>
                </c:pt>
                <c:pt idx="6">
                  <c:v>55</c:v>
                </c:pt>
                <c:pt idx="7">
                  <c:v>105</c:v>
                </c:pt>
                <c:pt idx="8">
                  <c:v>75</c:v>
                </c:pt>
                <c:pt idx="9">
                  <c:v>60</c:v>
                </c:pt>
                <c:pt idx="10">
                  <c:v>50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1FE-4344-8C8F-E06D6C959DEF}"/>
            </c:ext>
          </c:extLst>
        </c:ser>
        <c:ser>
          <c:idx val="53"/>
          <c:order val="53"/>
          <c:tx>
            <c:strRef>
              <c:f>'Water Graphs'!$A$59</c:f>
              <c:strCache>
                <c:ptCount val="1"/>
                <c:pt idx="0">
                  <c:v>55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'Water Graphs'!$C$5:$N$5</c:f>
              <c:strCache>
                <c:ptCount val="12"/>
                <c:pt idx="0">
                  <c:v>6-Mar-24</c:v>
                </c:pt>
                <c:pt idx="1">
                  <c:v>13-Mar-24</c:v>
                </c:pt>
                <c:pt idx="2">
                  <c:v>18-23 Mar</c:v>
                </c:pt>
                <c:pt idx="3">
                  <c:v>27-Mar-24</c:v>
                </c:pt>
                <c:pt idx="4">
                  <c:v>3-Apr-24</c:v>
                </c:pt>
                <c:pt idx="5">
                  <c:v>10-Apr-24</c:v>
                </c:pt>
                <c:pt idx="6">
                  <c:v>Apr 15-19</c:v>
                </c:pt>
                <c:pt idx="7">
                  <c:v>24-Apr-24</c:v>
                </c:pt>
                <c:pt idx="8">
                  <c:v>1-May-24</c:v>
                </c:pt>
                <c:pt idx="9">
                  <c:v>8-May-24</c:v>
                </c:pt>
                <c:pt idx="10">
                  <c:v>15-May-24</c:v>
                </c:pt>
                <c:pt idx="11">
                  <c:v>22-May-24</c:v>
                </c:pt>
              </c:strCache>
            </c:strRef>
          </c:cat>
          <c:val>
            <c:numRef>
              <c:f>'Water Graphs'!$C$59:$P$59</c:f>
              <c:numCache>
                <c:formatCode>0</c:formatCode>
                <c:ptCount val="14"/>
                <c:pt idx="0">
                  <c:v>50</c:v>
                </c:pt>
                <c:pt idx="1">
                  <c:v>40</c:v>
                </c:pt>
                <c:pt idx="2">
                  <c:v>40</c:v>
                </c:pt>
                <c:pt idx="3">
                  <c:v>45</c:v>
                </c:pt>
                <c:pt idx="4">
                  <c:v>70</c:v>
                </c:pt>
                <c:pt idx="5">
                  <c:v>70</c:v>
                </c:pt>
                <c:pt idx="6">
                  <c:v>55</c:v>
                </c:pt>
                <c:pt idx="7">
                  <c:v>120</c:v>
                </c:pt>
                <c:pt idx="8">
                  <c:v>85</c:v>
                </c:pt>
                <c:pt idx="9">
                  <c:v>80</c:v>
                </c:pt>
                <c:pt idx="10">
                  <c:v>70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1FE-4344-8C8F-E06D6C959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58664"/>
        <c:axId val="712363912"/>
      </c:lineChart>
      <c:catAx>
        <c:axId val="7123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912"/>
        <c:crosses val="autoZero"/>
        <c:auto val="1"/>
        <c:lblAlgn val="ctr"/>
        <c:lblOffset val="100"/>
        <c:noMultiLvlLbl val="1"/>
      </c:catAx>
      <c:valAx>
        <c:axId val="712363912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Volume Replaced (mm)</a:t>
                </a:r>
                <a:r>
                  <a:rPr lang="en-CA" baseline="0">
                    <a:solidFill>
                      <a:sysClr val="windowText" lastClr="000000"/>
                    </a:solidFill>
                  </a:rPr>
                  <a:t>)</a:t>
                </a:r>
                <a:endParaRPr lang="en-CA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8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Cumulative</a:t>
            </a:r>
            <a:r>
              <a:rPr lang="en-US" sz="16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Water Use All Tanks</a:t>
            </a:r>
            <a:endParaRPr lang="en-US" sz="1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Volume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('Water Graphs'!$A$6:$A$59,'Water Graphs'!$A$65:$A$70)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</c:numCache>
            </c:numRef>
          </c:cat>
          <c:val>
            <c:numRef>
              <c:f>('Water Graphs'!$R$6:$R$59,'Water Graphs'!$AQ$65:$AQ$70)</c:f>
              <c:numCache>
                <c:formatCode>0.0</c:formatCode>
                <c:ptCount val="60"/>
                <c:pt idx="0">
                  <c:v>371.9428125</c:v>
                </c:pt>
                <c:pt idx="1">
                  <c:v>357.77356250000003</c:v>
                </c:pt>
                <c:pt idx="2">
                  <c:v>301.0965625</c:v>
                </c:pt>
                <c:pt idx="3">
                  <c:v>283.38499999999999</c:v>
                </c:pt>
                <c:pt idx="4">
                  <c:v>534.88918750000005</c:v>
                </c:pt>
                <c:pt idx="5">
                  <c:v>325.89275000000004</c:v>
                </c:pt>
                <c:pt idx="6">
                  <c:v>294.01193750000004</c:v>
                </c:pt>
                <c:pt idx="7">
                  <c:v>439.24675000000002</c:v>
                </c:pt>
                <c:pt idx="8">
                  <c:v>368.40049999999997</c:v>
                </c:pt>
                <c:pt idx="9">
                  <c:v>417.99287500000003</c:v>
                </c:pt>
                <c:pt idx="10">
                  <c:v>325.89275000000004</c:v>
                </c:pt>
                <c:pt idx="11">
                  <c:v>382.56975</c:v>
                </c:pt>
                <c:pt idx="12">
                  <c:v>400.28131250000001</c:v>
                </c:pt>
                <c:pt idx="13">
                  <c:v>407.36593749999997</c:v>
                </c:pt>
                <c:pt idx="14">
                  <c:v>474.66987500000005</c:v>
                </c:pt>
                <c:pt idx="15">
                  <c:v>446.33137499999998</c:v>
                </c:pt>
                <c:pt idx="16">
                  <c:v>379.02743750000002</c:v>
                </c:pt>
                <c:pt idx="17">
                  <c:v>442.7890625</c:v>
                </c:pt>
                <c:pt idx="18">
                  <c:v>481.75450000000006</c:v>
                </c:pt>
                <c:pt idx="19">
                  <c:v>464.04293750000005</c:v>
                </c:pt>
                <c:pt idx="20">
                  <c:v>425.07749999999999</c:v>
                </c:pt>
                <c:pt idx="21">
                  <c:v>350.68893749999995</c:v>
                </c:pt>
                <c:pt idx="22">
                  <c:v>389.65437499999996</c:v>
                </c:pt>
                <c:pt idx="23">
                  <c:v>417.99287500000003</c:v>
                </c:pt>
                <c:pt idx="24">
                  <c:v>570.31231250000008</c:v>
                </c:pt>
                <c:pt idx="25">
                  <c:v>495.92374999999998</c:v>
                </c:pt>
                <c:pt idx="26">
                  <c:v>446.33137499999998</c:v>
                </c:pt>
                <c:pt idx="27">
                  <c:v>467.58525000000003</c:v>
                </c:pt>
                <c:pt idx="28">
                  <c:v>439.24675000000002</c:v>
                </c:pt>
                <c:pt idx="29">
                  <c:v>442.7890625</c:v>
                </c:pt>
                <c:pt idx="30">
                  <c:v>407.36593749999997</c:v>
                </c:pt>
                <c:pt idx="31">
                  <c:v>541.97381250000001</c:v>
                </c:pt>
                <c:pt idx="32">
                  <c:v>396.73900000000003</c:v>
                </c:pt>
                <c:pt idx="33">
                  <c:v>464.04293750000005</c:v>
                </c:pt>
                <c:pt idx="34">
                  <c:v>506.55068749999998</c:v>
                </c:pt>
                <c:pt idx="35">
                  <c:v>449.87368750000002</c:v>
                </c:pt>
                <c:pt idx="36">
                  <c:v>389.65437499999996</c:v>
                </c:pt>
                <c:pt idx="37">
                  <c:v>393.1966875</c:v>
                </c:pt>
                <c:pt idx="38">
                  <c:v>336.51968749999997</c:v>
                </c:pt>
                <c:pt idx="39">
                  <c:v>375.48512499999998</c:v>
                </c:pt>
                <c:pt idx="40">
                  <c:v>439.24675000000002</c:v>
                </c:pt>
                <c:pt idx="41">
                  <c:v>421.53518750000001</c:v>
                </c:pt>
                <c:pt idx="42">
                  <c:v>563.2276875</c:v>
                </c:pt>
                <c:pt idx="43">
                  <c:v>332.97737499999999</c:v>
                </c:pt>
                <c:pt idx="44">
                  <c:v>460.50062499999996</c:v>
                </c:pt>
                <c:pt idx="45">
                  <c:v>428.61981250000002</c:v>
                </c:pt>
                <c:pt idx="46">
                  <c:v>379.02743750000002</c:v>
                </c:pt>
                <c:pt idx="47">
                  <c:v>510.09300000000002</c:v>
                </c:pt>
                <c:pt idx="48">
                  <c:v>481.75450000000006</c:v>
                </c:pt>
                <c:pt idx="49">
                  <c:v>456.95831250000003</c:v>
                </c:pt>
                <c:pt idx="50">
                  <c:v>467.58525000000003</c:v>
                </c:pt>
                <c:pt idx="51">
                  <c:v>439.24675000000002</c:v>
                </c:pt>
                <c:pt idx="52">
                  <c:v>499.46606250000002</c:v>
                </c:pt>
                <c:pt idx="53">
                  <c:v>556.14306250000004</c:v>
                </c:pt>
                <c:pt idx="54" formatCode="General">
                  <c:v>2879.9000624999999</c:v>
                </c:pt>
                <c:pt idx="55" formatCode="General">
                  <c:v>2578.8035</c:v>
                </c:pt>
                <c:pt idx="56" formatCode="General">
                  <c:v>2720.4960000000001</c:v>
                </c:pt>
                <c:pt idx="57" formatCode="General">
                  <c:v>2911.7808749999999</c:v>
                </c:pt>
                <c:pt idx="58" formatCode="General">
                  <c:v>2925.9501249999998</c:v>
                </c:pt>
                <c:pt idx="59" formatCode="General">
                  <c:v>2685.0728749999998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652-4ADF-8C1B-943F8979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302720"/>
        <c:axId val="285244320"/>
      </c:barChart>
      <c:catAx>
        <c:axId val="202230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5244320"/>
        <c:crosses val="autoZero"/>
        <c:auto val="1"/>
        <c:lblAlgn val="ctr"/>
        <c:lblOffset val="100"/>
        <c:noMultiLvlLbl val="0"/>
      </c:catAx>
      <c:valAx>
        <c:axId val="2852443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CA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Volume</a:t>
                </a:r>
                <a:r>
                  <a:rPr lang="en-CA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(L)</a:t>
                </a:r>
                <a:endParaRPr lang="en-CA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2230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30307</xdr:colOff>
      <xdr:row>15</xdr:row>
      <xdr:rowOff>30012</xdr:rowOff>
    </xdr:from>
    <xdr:to>
      <xdr:col>17</xdr:col>
      <xdr:colOff>772399</xdr:colOff>
      <xdr:row>19</xdr:row>
      <xdr:rowOff>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6133A0-60A8-C6DB-CAE7-21FC955D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3148" y="2402603"/>
          <a:ext cx="735742" cy="697885"/>
        </a:xfrm>
        <a:prstGeom prst="rect">
          <a:avLst/>
        </a:prstGeom>
      </xdr:spPr>
    </xdr:pic>
    <xdr:clientData/>
  </xdr:twoCellAnchor>
  <xdr:twoCellAnchor editAs="oneCell">
    <xdr:from>
      <xdr:col>14</xdr:col>
      <xdr:colOff>21453</xdr:colOff>
      <xdr:row>30</xdr:row>
      <xdr:rowOff>23786</xdr:rowOff>
    </xdr:from>
    <xdr:to>
      <xdr:col>14</xdr:col>
      <xdr:colOff>773961</xdr:colOff>
      <xdr:row>33</xdr:row>
      <xdr:rowOff>161526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AE29D9-9D04-4D2A-A8B4-F69D945E3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8305" y="5215499"/>
          <a:ext cx="752508" cy="666906"/>
        </a:xfrm>
        <a:prstGeom prst="rect">
          <a:avLst/>
        </a:prstGeom>
      </xdr:spPr>
    </xdr:pic>
    <xdr:clientData/>
  </xdr:twoCellAnchor>
  <xdr:twoCellAnchor editAs="oneCell">
    <xdr:from>
      <xdr:col>14</xdr:col>
      <xdr:colOff>30069</xdr:colOff>
      <xdr:row>25</xdr:row>
      <xdr:rowOff>20323</xdr:rowOff>
    </xdr:from>
    <xdr:to>
      <xdr:col>14</xdr:col>
      <xdr:colOff>773810</xdr:colOff>
      <xdr:row>29</xdr:row>
      <xdr:rowOff>372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87AAAD-257A-4CAC-81CF-0AA0220D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6921" y="4330092"/>
          <a:ext cx="743741" cy="685605"/>
        </a:xfrm>
        <a:prstGeom prst="rect">
          <a:avLst/>
        </a:prstGeom>
      </xdr:spPr>
    </xdr:pic>
    <xdr:clientData/>
  </xdr:twoCellAnchor>
  <xdr:twoCellAnchor editAs="oneCell">
    <xdr:from>
      <xdr:col>5</xdr:col>
      <xdr:colOff>39915</xdr:colOff>
      <xdr:row>25</xdr:row>
      <xdr:rowOff>24006</xdr:rowOff>
    </xdr:from>
    <xdr:to>
      <xdr:col>5</xdr:col>
      <xdr:colOff>774174</xdr:colOff>
      <xdr:row>28</xdr:row>
      <xdr:rowOff>162074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81FFF8-A969-4FE2-A47E-4E073F91F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4582" y="4172673"/>
          <a:ext cx="737434" cy="680994"/>
        </a:xfrm>
        <a:prstGeom prst="rect">
          <a:avLst/>
        </a:prstGeom>
      </xdr:spPr>
    </xdr:pic>
    <xdr:clientData/>
  </xdr:twoCellAnchor>
  <xdr:twoCellAnchor editAs="oneCell">
    <xdr:from>
      <xdr:col>6</xdr:col>
      <xdr:colOff>16632</xdr:colOff>
      <xdr:row>15</xdr:row>
      <xdr:rowOff>21436</xdr:rowOff>
    </xdr:from>
    <xdr:to>
      <xdr:col>7</xdr:col>
      <xdr:colOff>3211</xdr:colOff>
      <xdr:row>18</xdr:row>
      <xdr:rowOff>169028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DD0F9A-9668-4E32-AFD7-838830CB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930541" y="3459095"/>
          <a:ext cx="757238" cy="719092"/>
        </a:xfrm>
        <a:prstGeom prst="rect">
          <a:avLst/>
        </a:prstGeom>
      </xdr:spPr>
    </xdr:pic>
    <xdr:clientData/>
  </xdr:twoCellAnchor>
  <xdr:twoCellAnchor editAs="oneCell">
    <xdr:from>
      <xdr:col>8</xdr:col>
      <xdr:colOff>21623</xdr:colOff>
      <xdr:row>15</xdr:row>
      <xdr:rowOff>19924</xdr:rowOff>
    </xdr:from>
    <xdr:to>
      <xdr:col>8</xdr:col>
      <xdr:colOff>779408</xdr:colOff>
      <xdr:row>18</xdr:row>
      <xdr:rowOff>160109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2353C7-704C-4122-83F9-6CEB5DFE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456" y="2369424"/>
          <a:ext cx="757785" cy="683111"/>
        </a:xfrm>
        <a:prstGeom prst="rect">
          <a:avLst/>
        </a:prstGeom>
      </xdr:spPr>
    </xdr:pic>
    <xdr:clientData/>
  </xdr:twoCellAnchor>
  <xdr:twoCellAnchor editAs="oneCell">
    <xdr:from>
      <xdr:col>9</xdr:col>
      <xdr:colOff>20564</xdr:colOff>
      <xdr:row>10</xdr:row>
      <xdr:rowOff>16294</xdr:rowOff>
    </xdr:from>
    <xdr:to>
      <xdr:col>9</xdr:col>
      <xdr:colOff>768824</xdr:colOff>
      <xdr:row>13</xdr:row>
      <xdr:rowOff>177800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EA97B8-A2E6-42AF-AA37-05EA31D2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865450" y="2501453"/>
          <a:ext cx="748260" cy="745705"/>
        </a:xfrm>
        <a:prstGeom prst="rect">
          <a:avLst/>
        </a:prstGeom>
      </xdr:spPr>
    </xdr:pic>
    <xdr:clientData/>
  </xdr:twoCellAnchor>
  <xdr:twoCellAnchor editAs="oneCell">
    <xdr:from>
      <xdr:col>7</xdr:col>
      <xdr:colOff>400504</xdr:colOff>
      <xdr:row>30</xdr:row>
      <xdr:rowOff>32186</xdr:rowOff>
    </xdr:from>
    <xdr:to>
      <xdr:col>8</xdr:col>
      <xdr:colOff>755770</xdr:colOff>
      <xdr:row>33</xdr:row>
      <xdr:rowOff>166476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1A35A2-F6E0-46D2-83FF-876E116B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4717" y="5223899"/>
          <a:ext cx="760960" cy="663456"/>
        </a:xfrm>
        <a:prstGeom prst="rect">
          <a:avLst/>
        </a:prstGeom>
      </xdr:spPr>
    </xdr:pic>
    <xdr:clientData/>
  </xdr:twoCellAnchor>
  <xdr:twoCellAnchor editAs="oneCell">
    <xdr:from>
      <xdr:col>8</xdr:col>
      <xdr:colOff>16397</xdr:colOff>
      <xdr:row>25</xdr:row>
      <xdr:rowOff>21166</xdr:rowOff>
    </xdr:from>
    <xdr:to>
      <xdr:col>8</xdr:col>
      <xdr:colOff>767832</xdr:colOff>
      <xdr:row>28</xdr:row>
      <xdr:rowOff>162490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50C581-316B-4CDE-80A5-09043613A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6304" y="4330935"/>
          <a:ext cx="751435" cy="670491"/>
        </a:xfrm>
        <a:prstGeom prst="rect">
          <a:avLst/>
        </a:prstGeom>
      </xdr:spPr>
    </xdr:pic>
    <xdr:clientData/>
  </xdr:twoCellAnchor>
  <xdr:twoCellAnchor editAs="oneCell">
    <xdr:from>
      <xdr:col>8</xdr:col>
      <xdr:colOff>17389</xdr:colOff>
      <xdr:row>20</xdr:row>
      <xdr:rowOff>32774</xdr:rowOff>
    </xdr:from>
    <xdr:to>
      <xdr:col>8</xdr:col>
      <xdr:colOff>771999</xdr:colOff>
      <xdr:row>24</xdr:row>
      <xdr:rowOff>47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78EF0F-FCD0-404C-9A78-EAEC934E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5222" y="3281857"/>
          <a:ext cx="757785" cy="680995"/>
        </a:xfrm>
        <a:prstGeom prst="rect">
          <a:avLst/>
        </a:prstGeom>
      </xdr:spPr>
    </xdr:pic>
    <xdr:clientData/>
  </xdr:twoCellAnchor>
  <xdr:twoCellAnchor editAs="oneCell">
    <xdr:from>
      <xdr:col>14</xdr:col>
      <xdr:colOff>26995</xdr:colOff>
      <xdr:row>20</xdr:row>
      <xdr:rowOff>22523</xdr:rowOff>
    </xdr:from>
    <xdr:to>
      <xdr:col>14</xdr:col>
      <xdr:colOff>770736</xdr:colOff>
      <xdr:row>23</xdr:row>
      <xdr:rowOff>160673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32C4256-7410-425A-ABB7-C6F16BAE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4950" y="3304318"/>
          <a:ext cx="750091" cy="690021"/>
        </a:xfrm>
        <a:prstGeom prst="rect">
          <a:avLst/>
        </a:prstGeom>
      </xdr:spPr>
    </xdr:pic>
    <xdr:clientData/>
  </xdr:twoCellAnchor>
  <xdr:twoCellAnchor editAs="oneCell">
    <xdr:from>
      <xdr:col>5</xdr:col>
      <xdr:colOff>20260</xdr:colOff>
      <xdr:row>15</xdr:row>
      <xdr:rowOff>27334</xdr:rowOff>
    </xdr:from>
    <xdr:to>
      <xdr:col>5</xdr:col>
      <xdr:colOff>754519</xdr:colOff>
      <xdr:row>18</xdr:row>
      <xdr:rowOff>170693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3A525F-F5C4-470D-89EC-DA7D7C40A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4927" y="2376834"/>
          <a:ext cx="737434" cy="683110"/>
        </a:xfrm>
        <a:prstGeom prst="rect">
          <a:avLst/>
        </a:prstGeom>
      </xdr:spPr>
    </xdr:pic>
    <xdr:clientData/>
  </xdr:twoCellAnchor>
  <xdr:twoCellAnchor editAs="oneCell">
    <xdr:from>
      <xdr:col>8</xdr:col>
      <xdr:colOff>29787</xdr:colOff>
      <xdr:row>10</xdr:row>
      <xdr:rowOff>19925</xdr:rowOff>
    </xdr:from>
    <xdr:to>
      <xdr:col>8</xdr:col>
      <xdr:colOff>769175</xdr:colOff>
      <xdr:row>14</xdr:row>
      <xdr:rowOff>7135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85D6761-935B-4EA5-860C-3F63AF5D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7620" y="1469842"/>
          <a:ext cx="742563" cy="698985"/>
        </a:xfrm>
        <a:prstGeom prst="rect">
          <a:avLst/>
        </a:prstGeom>
      </xdr:spPr>
    </xdr:pic>
    <xdr:clientData/>
  </xdr:twoCellAnchor>
  <xdr:twoCellAnchor editAs="oneCell">
    <xdr:from>
      <xdr:col>5</xdr:col>
      <xdr:colOff>9678</xdr:colOff>
      <xdr:row>20</xdr:row>
      <xdr:rowOff>35799</xdr:rowOff>
    </xdr:from>
    <xdr:to>
      <xdr:col>5</xdr:col>
      <xdr:colOff>753462</xdr:colOff>
      <xdr:row>24</xdr:row>
      <xdr:rowOff>9907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85304E-2640-4F1B-BB6A-1750C28E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4345" y="3284882"/>
          <a:ext cx="746959" cy="690599"/>
        </a:xfrm>
        <a:prstGeom prst="rect">
          <a:avLst/>
        </a:prstGeom>
      </xdr:spPr>
    </xdr:pic>
    <xdr:clientData/>
  </xdr:twoCellAnchor>
  <xdr:twoCellAnchor editAs="oneCell">
    <xdr:from>
      <xdr:col>6</xdr:col>
      <xdr:colOff>24687</xdr:colOff>
      <xdr:row>30</xdr:row>
      <xdr:rowOff>15498</xdr:rowOff>
    </xdr:from>
    <xdr:to>
      <xdr:col>7</xdr:col>
      <xdr:colOff>10510</xdr:colOff>
      <xdr:row>33</xdr:row>
      <xdr:rowOff>155863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B294139-730C-4E5D-911A-9486CAA3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938596" y="6310657"/>
          <a:ext cx="756482" cy="711866"/>
        </a:xfrm>
        <a:prstGeom prst="rect">
          <a:avLst/>
        </a:prstGeom>
      </xdr:spPr>
    </xdr:pic>
    <xdr:clientData/>
  </xdr:twoCellAnchor>
  <xdr:twoCellAnchor editAs="oneCell">
    <xdr:from>
      <xdr:col>4</xdr:col>
      <xdr:colOff>401260</xdr:colOff>
      <xdr:row>30</xdr:row>
      <xdr:rowOff>16630</xdr:rowOff>
    </xdr:from>
    <xdr:to>
      <xdr:col>5</xdr:col>
      <xdr:colOff>758400</xdr:colOff>
      <xdr:row>33</xdr:row>
      <xdr:rowOff>157875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9AB7582-E9DD-4D51-B3B6-DE782B56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7001" y="5208343"/>
          <a:ext cx="762834" cy="670411"/>
        </a:xfrm>
        <a:prstGeom prst="rect">
          <a:avLst/>
        </a:prstGeom>
      </xdr:spPr>
    </xdr:pic>
    <xdr:clientData/>
  </xdr:twoCellAnchor>
  <xdr:twoCellAnchor editAs="oneCell">
    <xdr:from>
      <xdr:col>6</xdr:col>
      <xdr:colOff>30844</xdr:colOff>
      <xdr:row>25</xdr:row>
      <xdr:rowOff>16748</xdr:rowOff>
    </xdr:from>
    <xdr:to>
      <xdr:col>7</xdr:col>
      <xdr:colOff>3967</xdr:colOff>
      <xdr:row>28</xdr:row>
      <xdr:rowOff>161165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3B582A2-4D0E-44CD-9B89-86716757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944753" y="5359407"/>
          <a:ext cx="743782" cy="715917"/>
        </a:xfrm>
        <a:prstGeom prst="rect">
          <a:avLst/>
        </a:prstGeom>
      </xdr:spPr>
    </xdr:pic>
    <xdr:clientData/>
  </xdr:twoCellAnchor>
  <xdr:twoCellAnchor editAs="oneCell">
    <xdr:from>
      <xdr:col>6</xdr:col>
      <xdr:colOff>26340</xdr:colOff>
      <xdr:row>10</xdr:row>
      <xdr:rowOff>29307</xdr:rowOff>
    </xdr:from>
    <xdr:to>
      <xdr:col>7</xdr:col>
      <xdr:colOff>1012</xdr:colOff>
      <xdr:row>14</xdr:row>
      <xdr:rowOff>884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02BFE44-0AB2-4E4F-A588-D68B4FBA0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940249" y="2514466"/>
          <a:ext cx="745331" cy="733576"/>
        </a:xfrm>
        <a:prstGeom prst="rect">
          <a:avLst/>
        </a:prstGeom>
      </xdr:spPr>
    </xdr:pic>
    <xdr:clientData/>
  </xdr:twoCellAnchor>
  <xdr:twoCellAnchor editAs="oneCell">
    <xdr:from>
      <xdr:col>6</xdr:col>
      <xdr:colOff>27670</xdr:colOff>
      <xdr:row>20</xdr:row>
      <xdr:rowOff>47144</xdr:rowOff>
    </xdr:from>
    <xdr:to>
      <xdr:col>7</xdr:col>
      <xdr:colOff>793</xdr:colOff>
      <xdr:row>23</xdr:row>
      <xdr:rowOff>175771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9B2474-848F-42C7-AA8F-A3150F7FC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941579" y="4437303"/>
          <a:ext cx="743782" cy="712827"/>
        </a:xfrm>
        <a:prstGeom prst="rect">
          <a:avLst/>
        </a:prstGeom>
      </xdr:spPr>
    </xdr:pic>
    <xdr:clientData/>
  </xdr:twoCellAnchor>
  <xdr:twoCellAnchor editAs="oneCell">
    <xdr:from>
      <xdr:col>2</xdr:col>
      <xdr:colOff>16677</xdr:colOff>
      <xdr:row>20</xdr:row>
      <xdr:rowOff>31726</xdr:rowOff>
    </xdr:from>
    <xdr:to>
      <xdr:col>2</xdr:col>
      <xdr:colOff>768767</xdr:colOff>
      <xdr:row>23</xdr:row>
      <xdr:rowOff>169877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BC8A69B-EAB2-4504-87F0-EB1DBEEC5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081" y="3695188"/>
          <a:ext cx="755265" cy="687669"/>
        </a:xfrm>
        <a:prstGeom prst="rect">
          <a:avLst/>
        </a:prstGeom>
      </xdr:spPr>
    </xdr:pic>
    <xdr:clientData/>
  </xdr:twoCellAnchor>
  <xdr:twoCellAnchor editAs="oneCell">
    <xdr:from>
      <xdr:col>5</xdr:col>
      <xdr:colOff>30275</xdr:colOff>
      <xdr:row>10</xdr:row>
      <xdr:rowOff>25767</xdr:rowOff>
    </xdr:from>
    <xdr:to>
      <xdr:col>5</xdr:col>
      <xdr:colOff>769662</xdr:colOff>
      <xdr:row>14</xdr:row>
      <xdr:rowOff>3342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4359FD-E3DF-433A-9D85-58CF3B534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710" y="1689702"/>
          <a:ext cx="739387" cy="676490"/>
        </a:xfrm>
        <a:prstGeom prst="rect">
          <a:avLst/>
        </a:prstGeom>
      </xdr:spPr>
    </xdr:pic>
    <xdr:clientData/>
  </xdr:twoCellAnchor>
  <xdr:twoCellAnchor editAs="oneCell">
    <xdr:from>
      <xdr:col>2</xdr:col>
      <xdr:colOff>39471</xdr:colOff>
      <xdr:row>15</xdr:row>
      <xdr:rowOff>27983</xdr:rowOff>
    </xdr:from>
    <xdr:to>
      <xdr:col>3</xdr:col>
      <xdr:colOff>1639</xdr:colOff>
      <xdr:row>19</xdr:row>
      <xdr:rowOff>2088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BB9665E-7A8D-4DA8-BF99-2D5BE34FD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3875" y="2416560"/>
          <a:ext cx="771140" cy="703544"/>
        </a:xfrm>
        <a:prstGeom prst="rect">
          <a:avLst/>
        </a:prstGeom>
      </xdr:spPr>
    </xdr:pic>
    <xdr:clientData/>
  </xdr:twoCellAnchor>
  <xdr:twoCellAnchor editAs="oneCell">
    <xdr:from>
      <xdr:col>2</xdr:col>
      <xdr:colOff>37519</xdr:colOff>
      <xdr:row>30</xdr:row>
      <xdr:rowOff>21981</xdr:rowOff>
    </xdr:from>
    <xdr:to>
      <xdr:col>2</xdr:col>
      <xdr:colOff>789606</xdr:colOff>
      <xdr:row>33</xdr:row>
      <xdr:rowOff>160133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2741B5A-4902-4EDA-948C-59FCF84E6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923" y="5150827"/>
          <a:ext cx="748912" cy="690844"/>
        </a:xfrm>
        <a:prstGeom prst="rect">
          <a:avLst/>
        </a:prstGeom>
      </xdr:spPr>
    </xdr:pic>
    <xdr:clientData/>
  </xdr:twoCellAnchor>
  <xdr:twoCellAnchor editAs="oneCell">
    <xdr:from>
      <xdr:col>2</xdr:col>
      <xdr:colOff>37527</xdr:colOff>
      <xdr:row>10</xdr:row>
      <xdr:rowOff>30509</xdr:rowOff>
    </xdr:from>
    <xdr:to>
      <xdr:col>2</xdr:col>
      <xdr:colOff>779080</xdr:colOff>
      <xdr:row>14</xdr:row>
      <xdr:rowOff>6944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725B577-4C00-4C8D-8B3E-70D0160F3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931" y="1495894"/>
          <a:ext cx="741553" cy="702486"/>
        </a:xfrm>
        <a:prstGeom prst="rect">
          <a:avLst/>
        </a:prstGeom>
      </xdr:spPr>
    </xdr:pic>
    <xdr:clientData/>
  </xdr:twoCellAnchor>
  <xdr:twoCellAnchor editAs="oneCell">
    <xdr:from>
      <xdr:col>3</xdr:col>
      <xdr:colOff>31263</xdr:colOff>
      <xdr:row>10</xdr:row>
      <xdr:rowOff>28549</xdr:rowOff>
    </xdr:from>
    <xdr:to>
      <xdr:col>4</xdr:col>
      <xdr:colOff>2502</xdr:colOff>
      <xdr:row>14</xdr:row>
      <xdr:rowOff>9563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FB97D4E-250C-4B7F-BBB3-2BBC044A7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028440" y="2537823"/>
          <a:ext cx="739385" cy="759400"/>
        </a:xfrm>
        <a:prstGeom prst="rect">
          <a:avLst/>
        </a:prstGeom>
      </xdr:spPr>
    </xdr:pic>
    <xdr:clientData/>
  </xdr:twoCellAnchor>
  <xdr:twoCellAnchor editAs="oneCell">
    <xdr:from>
      <xdr:col>14</xdr:col>
      <xdr:colOff>46334</xdr:colOff>
      <xdr:row>15</xdr:row>
      <xdr:rowOff>13381</xdr:rowOff>
    </xdr:from>
    <xdr:to>
      <xdr:col>14</xdr:col>
      <xdr:colOff>790075</xdr:colOff>
      <xdr:row>18</xdr:row>
      <xdr:rowOff>154704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BF6F6D4-60BC-4056-A259-3C1D800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289" y="2385972"/>
          <a:ext cx="750091" cy="686847"/>
        </a:xfrm>
        <a:prstGeom prst="rect">
          <a:avLst/>
        </a:prstGeom>
      </xdr:spPr>
    </xdr:pic>
    <xdr:clientData/>
  </xdr:twoCellAnchor>
  <xdr:twoCellAnchor editAs="oneCell">
    <xdr:from>
      <xdr:col>3</xdr:col>
      <xdr:colOff>41510</xdr:colOff>
      <xdr:row>20</xdr:row>
      <xdr:rowOff>26762</xdr:rowOff>
    </xdr:from>
    <xdr:to>
      <xdr:col>4</xdr:col>
      <xdr:colOff>716</xdr:colOff>
      <xdr:row>23</xdr:row>
      <xdr:rowOff>161738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339A13B-6064-4854-8FFB-22A9303CE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024442" y="4416921"/>
          <a:ext cx="729865" cy="706476"/>
        </a:xfrm>
        <a:prstGeom prst="rect">
          <a:avLst/>
        </a:prstGeom>
      </xdr:spPr>
    </xdr:pic>
    <xdr:clientData/>
  </xdr:twoCellAnchor>
  <xdr:twoCellAnchor editAs="oneCell">
    <xdr:from>
      <xdr:col>3</xdr:col>
      <xdr:colOff>40695</xdr:colOff>
      <xdr:row>25</xdr:row>
      <xdr:rowOff>26680</xdr:rowOff>
    </xdr:from>
    <xdr:to>
      <xdr:col>3</xdr:col>
      <xdr:colOff>770557</xdr:colOff>
      <xdr:row>29</xdr:row>
      <xdr:rowOff>706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6C5DCAB-8AA0-4527-81E8-685269C42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023627" y="5369339"/>
          <a:ext cx="729862" cy="736026"/>
        </a:xfrm>
        <a:prstGeom prst="rect">
          <a:avLst/>
        </a:prstGeom>
      </xdr:spPr>
    </xdr:pic>
    <xdr:clientData/>
  </xdr:twoCellAnchor>
  <xdr:twoCellAnchor editAs="oneCell">
    <xdr:from>
      <xdr:col>3</xdr:col>
      <xdr:colOff>44685</xdr:colOff>
      <xdr:row>15</xdr:row>
      <xdr:rowOff>29308</xdr:rowOff>
    </xdr:from>
    <xdr:to>
      <xdr:col>4</xdr:col>
      <xdr:colOff>6404</xdr:colOff>
      <xdr:row>18</xdr:row>
      <xdr:rowOff>173807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E28A894-A9D4-406E-A144-3BE005B33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027617" y="3466967"/>
          <a:ext cx="732378" cy="715999"/>
        </a:xfrm>
        <a:prstGeom prst="rect">
          <a:avLst/>
        </a:prstGeom>
      </xdr:spPr>
    </xdr:pic>
    <xdr:clientData/>
  </xdr:twoCellAnchor>
  <xdr:twoCellAnchor editAs="oneCell">
    <xdr:from>
      <xdr:col>3</xdr:col>
      <xdr:colOff>46964</xdr:colOff>
      <xdr:row>30</xdr:row>
      <xdr:rowOff>26133</xdr:rowOff>
    </xdr:from>
    <xdr:to>
      <xdr:col>3</xdr:col>
      <xdr:colOff>770476</xdr:colOff>
      <xdr:row>33</xdr:row>
      <xdr:rowOff>170635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24F96E8-755E-4FFC-B3A4-726C43973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029896" y="6321292"/>
          <a:ext cx="723512" cy="716003"/>
        </a:xfrm>
        <a:prstGeom prst="rect">
          <a:avLst/>
        </a:prstGeom>
      </xdr:spPr>
    </xdr:pic>
    <xdr:clientData/>
  </xdr:twoCellAnchor>
  <xdr:twoCellAnchor editAs="oneCell">
    <xdr:from>
      <xdr:col>14</xdr:col>
      <xdr:colOff>37386</xdr:colOff>
      <xdr:row>10</xdr:row>
      <xdr:rowOff>23869</xdr:rowOff>
    </xdr:from>
    <xdr:to>
      <xdr:col>14</xdr:col>
      <xdr:colOff>791420</xdr:colOff>
      <xdr:row>14</xdr:row>
      <xdr:rowOff>463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293D052-327C-4032-8D92-DFE3DA15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5341" y="1487255"/>
          <a:ext cx="747684" cy="691865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</xdr:colOff>
      <xdr:row>30</xdr:row>
      <xdr:rowOff>19345</xdr:rowOff>
    </xdr:from>
    <xdr:to>
      <xdr:col>12</xdr:col>
      <xdr:colOff>769773</xdr:colOff>
      <xdr:row>33</xdr:row>
      <xdr:rowOff>159339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8104F9E-9099-4D46-B246-5EE400E3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798724" y="6314504"/>
          <a:ext cx="746913" cy="711495"/>
        </a:xfrm>
        <a:prstGeom prst="rect">
          <a:avLst/>
        </a:prstGeom>
      </xdr:spPr>
    </xdr:pic>
    <xdr:clientData/>
  </xdr:twoCellAnchor>
  <xdr:twoCellAnchor editAs="oneCell">
    <xdr:from>
      <xdr:col>2</xdr:col>
      <xdr:colOff>25390</xdr:colOff>
      <xdr:row>25</xdr:row>
      <xdr:rowOff>24645</xdr:rowOff>
    </xdr:from>
    <xdr:to>
      <xdr:col>2</xdr:col>
      <xdr:colOff>780652</xdr:colOff>
      <xdr:row>28</xdr:row>
      <xdr:rowOff>169144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C6C29E1-1210-40DC-BD46-50128EA46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9794" y="4237626"/>
          <a:ext cx="755262" cy="694019"/>
        </a:xfrm>
        <a:prstGeom prst="rect">
          <a:avLst/>
        </a:prstGeom>
      </xdr:spPr>
    </xdr:pic>
    <xdr:clientData/>
  </xdr:twoCellAnchor>
  <xdr:twoCellAnchor editAs="oneCell">
    <xdr:from>
      <xdr:col>11</xdr:col>
      <xdr:colOff>31134</xdr:colOff>
      <xdr:row>15</xdr:row>
      <xdr:rowOff>23002</xdr:rowOff>
    </xdr:from>
    <xdr:to>
      <xdr:col>11</xdr:col>
      <xdr:colOff>787957</xdr:colOff>
      <xdr:row>18</xdr:row>
      <xdr:rowOff>162992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9ED58-3843-425D-B696-228D0F750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0179" y="2395593"/>
          <a:ext cx="759998" cy="688689"/>
        </a:xfrm>
        <a:prstGeom prst="rect">
          <a:avLst/>
        </a:prstGeom>
      </xdr:spPr>
    </xdr:pic>
    <xdr:clientData/>
  </xdr:twoCellAnchor>
  <xdr:twoCellAnchor editAs="oneCell">
    <xdr:from>
      <xdr:col>9</xdr:col>
      <xdr:colOff>34158</xdr:colOff>
      <xdr:row>25</xdr:row>
      <xdr:rowOff>22607</xdr:rowOff>
    </xdr:from>
    <xdr:to>
      <xdr:col>10</xdr:col>
      <xdr:colOff>4447</xdr:colOff>
      <xdr:row>28</xdr:row>
      <xdr:rowOff>165772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EAB2E35-EA23-4EA1-8724-9B627C3DA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879044" y="5365266"/>
          <a:ext cx="740948" cy="714665"/>
        </a:xfrm>
        <a:prstGeom prst="rect">
          <a:avLst/>
        </a:prstGeom>
      </xdr:spPr>
    </xdr:pic>
    <xdr:clientData/>
  </xdr:twoCellAnchor>
  <xdr:twoCellAnchor editAs="oneCell">
    <xdr:from>
      <xdr:col>11</xdr:col>
      <xdr:colOff>36617</xdr:colOff>
      <xdr:row>10</xdr:row>
      <xdr:rowOff>26178</xdr:rowOff>
    </xdr:from>
    <xdr:to>
      <xdr:col>11</xdr:col>
      <xdr:colOff>793440</xdr:colOff>
      <xdr:row>13</xdr:row>
      <xdr:rowOff>173709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05B90F8-BB58-440B-B202-10BA22E9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662" y="1489564"/>
          <a:ext cx="759998" cy="688689"/>
        </a:xfrm>
        <a:prstGeom prst="rect">
          <a:avLst/>
        </a:prstGeom>
      </xdr:spPr>
    </xdr:pic>
    <xdr:clientData/>
  </xdr:twoCellAnchor>
  <xdr:twoCellAnchor editAs="oneCell">
    <xdr:from>
      <xdr:col>11</xdr:col>
      <xdr:colOff>36618</xdr:colOff>
      <xdr:row>20</xdr:row>
      <xdr:rowOff>26177</xdr:rowOff>
    </xdr:from>
    <xdr:to>
      <xdr:col>11</xdr:col>
      <xdr:colOff>799791</xdr:colOff>
      <xdr:row>23</xdr:row>
      <xdr:rowOff>162995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42C44CC-3BAB-49F9-9F0D-E9E769AC4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663" y="3307972"/>
          <a:ext cx="763173" cy="685514"/>
        </a:xfrm>
        <a:prstGeom prst="rect">
          <a:avLst/>
        </a:prstGeom>
      </xdr:spPr>
    </xdr:pic>
    <xdr:clientData/>
  </xdr:twoCellAnchor>
  <xdr:twoCellAnchor editAs="oneCell">
    <xdr:from>
      <xdr:col>12</xdr:col>
      <xdr:colOff>42817</xdr:colOff>
      <xdr:row>10</xdr:row>
      <xdr:rowOff>31586</xdr:rowOff>
    </xdr:from>
    <xdr:to>
      <xdr:col>12</xdr:col>
      <xdr:colOff>767890</xdr:colOff>
      <xdr:row>14</xdr:row>
      <xdr:rowOff>11354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022FEFB-B29F-4226-AD3A-F88497359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818681" y="2516745"/>
          <a:ext cx="725073" cy="741767"/>
        </a:xfrm>
        <a:prstGeom prst="rect">
          <a:avLst/>
        </a:prstGeom>
      </xdr:spPr>
    </xdr:pic>
    <xdr:clientData/>
  </xdr:twoCellAnchor>
  <xdr:twoCellAnchor editAs="oneCell">
    <xdr:from>
      <xdr:col>9</xdr:col>
      <xdr:colOff>25977</xdr:colOff>
      <xdr:row>20</xdr:row>
      <xdr:rowOff>25978</xdr:rowOff>
    </xdr:from>
    <xdr:to>
      <xdr:col>9</xdr:col>
      <xdr:colOff>769715</xdr:colOff>
      <xdr:row>23</xdr:row>
      <xdr:rowOff>170396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A52B302-C9E2-4858-A5E9-90716C3E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870863" y="4416137"/>
          <a:ext cx="743738" cy="715918"/>
        </a:xfrm>
        <a:prstGeom prst="rect">
          <a:avLst/>
        </a:prstGeom>
      </xdr:spPr>
    </xdr:pic>
    <xdr:clientData/>
  </xdr:twoCellAnchor>
  <xdr:twoCellAnchor editAs="oneCell">
    <xdr:from>
      <xdr:col>12</xdr:col>
      <xdr:colOff>55375</xdr:colOff>
      <xdr:row>25</xdr:row>
      <xdr:rowOff>25977</xdr:rowOff>
    </xdr:from>
    <xdr:to>
      <xdr:col>13</xdr:col>
      <xdr:colOff>3054</xdr:colOff>
      <xdr:row>28</xdr:row>
      <xdr:rowOff>164042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75F5404-03E8-4649-A2EB-284419262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831239" y="5368636"/>
          <a:ext cx="718338" cy="709565"/>
        </a:xfrm>
        <a:prstGeom prst="rect">
          <a:avLst/>
        </a:prstGeom>
      </xdr:spPr>
    </xdr:pic>
    <xdr:clientData/>
  </xdr:twoCellAnchor>
  <xdr:twoCellAnchor editAs="oneCell">
    <xdr:from>
      <xdr:col>12</xdr:col>
      <xdr:colOff>55131</xdr:colOff>
      <xdr:row>20</xdr:row>
      <xdr:rowOff>34637</xdr:rowOff>
    </xdr:from>
    <xdr:to>
      <xdr:col>13</xdr:col>
      <xdr:colOff>2810</xdr:colOff>
      <xdr:row>24</xdr:row>
      <xdr:rowOff>388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0FAFFC9-86E5-493F-8836-1E19176B3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830995" y="4424796"/>
          <a:ext cx="718338" cy="727752"/>
        </a:xfrm>
        <a:prstGeom prst="rect">
          <a:avLst/>
        </a:prstGeom>
      </xdr:spPr>
    </xdr:pic>
    <xdr:clientData/>
  </xdr:twoCellAnchor>
  <xdr:twoCellAnchor editAs="oneCell">
    <xdr:from>
      <xdr:col>9</xdr:col>
      <xdr:colOff>21167</xdr:colOff>
      <xdr:row>15</xdr:row>
      <xdr:rowOff>21167</xdr:rowOff>
    </xdr:from>
    <xdr:to>
      <xdr:col>10</xdr:col>
      <xdr:colOff>1943</xdr:colOff>
      <xdr:row>18</xdr:row>
      <xdr:rowOff>162408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4976F5C-FA40-4975-8720-B039CF801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866053" y="3458826"/>
          <a:ext cx="751435" cy="712741"/>
        </a:xfrm>
        <a:prstGeom prst="rect">
          <a:avLst/>
        </a:prstGeom>
      </xdr:spPr>
    </xdr:pic>
    <xdr:clientData/>
  </xdr:twoCellAnchor>
  <xdr:twoCellAnchor editAs="oneCell">
    <xdr:from>
      <xdr:col>11</xdr:col>
      <xdr:colOff>30844</xdr:colOff>
      <xdr:row>25</xdr:row>
      <xdr:rowOff>20115</xdr:rowOff>
    </xdr:from>
    <xdr:to>
      <xdr:col>11</xdr:col>
      <xdr:colOff>790842</xdr:colOff>
      <xdr:row>28</xdr:row>
      <xdr:rowOff>172805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5A0E4CB-59D3-406F-86BE-02F7BB5F4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9889" y="4211115"/>
          <a:ext cx="756823" cy="698214"/>
        </a:xfrm>
        <a:prstGeom prst="rect">
          <a:avLst/>
        </a:prstGeom>
      </xdr:spPr>
    </xdr:pic>
    <xdr:clientData/>
  </xdr:twoCellAnchor>
  <xdr:twoCellAnchor editAs="oneCell">
    <xdr:from>
      <xdr:col>11</xdr:col>
      <xdr:colOff>24494</xdr:colOff>
      <xdr:row>30</xdr:row>
      <xdr:rowOff>14632</xdr:rowOff>
    </xdr:from>
    <xdr:to>
      <xdr:col>11</xdr:col>
      <xdr:colOff>781317</xdr:colOff>
      <xdr:row>33</xdr:row>
      <xdr:rowOff>164151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CDD6860-C310-437F-BD7C-3AE22515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3539" y="5114837"/>
          <a:ext cx="756823" cy="691864"/>
        </a:xfrm>
        <a:prstGeom prst="rect">
          <a:avLst/>
        </a:prstGeom>
      </xdr:spPr>
    </xdr:pic>
    <xdr:clientData/>
  </xdr:twoCellAnchor>
  <xdr:twoCellAnchor editAs="oneCell">
    <xdr:from>
      <xdr:col>12</xdr:col>
      <xdr:colOff>27669</xdr:colOff>
      <xdr:row>15</xdr:row>
      <xdr:rowOff>28775</xdr:rowOff>
    </xdr:from>
    <xdr:to>
      <xdr:col>12</xdr:col>
      <xdr:colOff>768617</xdr:colOff>
      <xdr:row>19</xdr:row>
      <xdr:rowOff>4315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720A372-E0CD-4D9B-BFE4-D7158244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803533" y="3466434"/>
          <a:ext cx="740948" cy="737541"/>
        </a:xfrm>
        <a:prstGeom prst="rect">
          <a:avLst/>
        </a:prstGeom>
      </xdr:spPr>
    </xdr:pic>
    <xdr:clientData/>
  </xdr:twoCellAnchor>
  <xdr:twoCellAnchor editAs="oneCell">
    <xdr:from>
      <xdr:col>9</xdr:col>
      <xdr:colOff>24888</xdr:colOff>
      <xdr:row>30</xdr:row>
      <xdr:rowOff>26466</xdr:rowOff>
    </xdr:from>
    <xdr:to>
      <xdr:col>9</xdr:col>
      <xdr:colOff>769011</xdr:colOff>
      <xdr:row>33</xdr:row>
      <xdr:rowOff>163285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5AB7FC6-8303-4B37-8A7E-F8345CE27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869774" y="6321625"/>
          <a:ext cx="744123" cy="708320"/>
        </a:xfrm>
        <a:prstGeom prst="rect">
          <a:avLst/>
        </a:prstGeom>
      </xdr:spPr>
    </xdr:pic>
    <xdr:clientData/>
  </xdr:twoCellAnchor>
  <xdr:twoCellAnchor editAs="oneCell">
    <xdr:from>
      <xdr:col>15</xdr:col>
      <xdr:colOff>34340</xdr:colOff>
      <xdr:row>25</xdr:row>
      <xdr:rowOff>20192</xdr:rowOff>
    </xdr:from>
    <xdr:to>
      <xdr:col>15</xdr:col>
      <xdr:colOff>763732</xdr:colOff>
      <xdr:row>28</xdr:row>
      <xdr:rowOff>165444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6DEE2EE-E0CB-4468-8F49-5F5CA46F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741181" y="5362851"/>
          <a:ext cx="729392" cy="716752"/>
        </a:xfrm>
        <a:prstGeom prst="rect">
          <a:avLst/>
        </a:prstGeom>
      </xdr:spPr>
    </xdr:pic>
    <xdr:clientData/>
  </xdr:twoCellAnchor>
  <xdr:twoCellAnchor editAs="oneCell">
    <xdr:from>
      <xdr:col>15</xdr:col>
      <xdr:colOff>22185</xdr:colOff>
      <xdr:row>20</xdr:row>
      <xdr:rowOff>28776</xdr:rowOff>
    </xdr:from>
    <xdr:to>
      <xdr:col>15</xdr:col>
      <xdr:colOff>754752</xdr:colOff>
      <xdr:row>24</xdr:row>
      <xdr:rowOff>3991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FBBFA18-21F3-4920-9E82-B553FE4B7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729026" y="4418935"/>
          <a:ext cx="732567" cy="737216"/>
        </a:xfrm>
        <a:prstGeom prst="rect">
          <a:avLst/>
        </a:prstGeom>
      </xdr:spPr>
    </xdr:pic>
    <xdr:clientData/>
  </xdr:twoCellAnchor>
  <xdr:twoCellAnchor editAs="oneCell">
    <xdr:from>
      <xdr:col>15</xdr:col>
      <xdr:colOff>30844</xdr:colOff>
      <xdr:row>15</xdr:row>
      <xdr:rowOff>20116</xdr:rowOff>
    </xdr:from>
    <xdr:to>
      <xdr:col>15</xdr:col>
      <xdr:colOff>763411</xdr:colOff>
      <xdr:row>18</xdr:row>
      <xdr:rowOff>169302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597D02F-7BB1-4275-BA82-AC5821FD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737685" y="3457775"/>
          <a:ext cx="732567" cy="720686"/>
        </a:xfrm>
        <a:prstGeom prst="rect">
          <a:avLst/>
        </a:prstGeom>
      </xdr:spPr>
    </xdr:pic>
    <xdr:clientData/>
  </xdr:twoCellAnchor>
  <xdr:twoCellAnchor editAs="oneCell">
    <xdr:from>
      <xdr:col>17</xdr:col>
      <xdr:colOff>41086</xdr:colOff>
      <xdr:row>30</xdr:row>
      <xdr:rowOff>20117</xdr:rowOff>
    </xdr:from>
    <xdr:to>
      <xdr:col>18</xdr:col>
      <xdr:colOff>2333</xdr:colOff>
      <xdr:row>34</xdr:row>
      <xdr:rowOff>2730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DC20883-3E6F-431C-B689-8A039AD8C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7538" y="6421327"/>
          <a:ext cx="729392" cy="761000"/>
        </a:xfrm>
        <a:prstGeom prst="rect">
          <a:avLst/>
        </a:prstGeom>
      </xdr:spPr>
    </xdr:pic>
    <xdr:clientData/>
  </xdr:twoCellAnchor>
  <xdr:twoCellAnchor editAs="oneCell">
    <xdr:from>
      <xdr:col>15</xdr:col>
      <xdr:colOff>39503</xdr:colOff>
      <xdr:row>10</xdr:row>
      <xdr:rowOff>20116</xdr:rowOff>
    </xdr:from>
    <xdr:to>
      <xdr:col>16</xdr:col>
      <xdr:colOff>1411</xdr:colOff>
      <xdr:row>13</xdr:row>
      <xdr:rowOff>173668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E310691-36A5-4DF2-907D-09D6EDBD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746344" y="2505275"/>
          <a:ext cx="732567" cy="725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34636</xdr:colOff>
      <xdr:row>25</xdr:row>
      <xdr:rowOff>25977</xdr:rowOff>
    </xdr:from>
    <xdr:to>
      <xdr:col>17</xdr:col>
      <xdr:colOff>773553</xdr:colOff>
      <xdr:row>28</xdr:row>
      <xdr:rowOff>171988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649A23A-45D8-4E05-9CBC-F11D4E92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7477" y="4216977"/>
          <a:ext cx="732567" cy="691535"/>
        </a:xfrm>
        <a:prstGeom prst="rect">
          <a:avLst/>
        </a:prstGeom>
      </xdr:spPr>
    </xdr:pic>
    <xdr:clientData/>
  </xdr:twoCellAnchor>
  <xdr:twoCellAnchor editAs="oneCell">
    <xdr:from>
      <xdr:col>17</xdr:col>
      <xdr:colOff>46470</xdr:colOff>
      <xdr:row>20</xdr:row>
      <xdr:rowOff>29152</xdr:rowOff>
    </xdr:from>
    <xdr:to>
      <xdr:col>17</xdr:col>
      <xdr:colOff>772687</xdr:colOff>
      <xdr:row>23</xdr:row>
      <xdr:rowOff>171991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5CB6BA9-F53A-49CA-B786-C2B65CDB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311" y="3310947"/>
          <a:ext cx="726217" cy="688360"/>
        </a:xfrm>
        <a:prstGeom prst="rect">
          <a:avLst/>
        </a:prstGeom>
      </xdr:spPr>
    </xdr:pic>
    <xdr:clientData/>
  </xdr:twoCellAnchor>
  <xdr:twoCellAnchor editAs="oneCell">
    <xdr:from>
      <xdr:col>15</xdr:col>
      <xdr:colOff>37737</xdr:colOff>
      <xdr:row>30</xdr:row>
      <xdr:rowOff>28756</xdr:rowOff>
    </xdr:from>
    <xdr:to>
      <xdr:col>15</xdr:col>
      <xdr:colOff>763954</xdr:colOff>
      <xdr:row>33</xdr:row>
      <xdr:rowOff>172493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EF0DDB6-096F-44DA-8ED1-4C3C88E04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744578" y="6323915"/>
          <a:ext cx="726217" cy="71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19319</xdr:colOff>
      <xdr:row>10</xdr:row>
      <xdr:rowOff>0</xdr:rowOff>
    </xdr:from>
    <xdr:to>
      <xdr:col>17</xdr:col>
      <xdr:colOff>765869</xdr:colOff>
      <xdr:row>14</xdr:row>
      <xdr:rowOff>7964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46C77F-CA08-B50A-C4DE-2A932914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5771" y="2509274"/>
          <a:ext cx="746550" cy="786350"/>
        </a:xfrm>
        <a:prstGeom prst="rect">
          <a:avLst/>
        </a:prstGeom>
      </xdr:spPr>
    </xdr:pic>
    <xdr:clientData/>
  </xdr:twoCellAnchor>
  <xdr:oneCellAnchor>
    <xdr:from>
      <xdr:col>17</xdr:col>
      <xdr:colOff>122903</xdr:colOff>
      <xdr:row>11</xdr:row>
      <xdr:rowOff>51210</xdr:rowOff>
    </xdr:from>
    <xdr:ext cx="551433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CAEA17D-BA67-1428-D87C-BDC805845040}"/>
            </a:ext>
          </a:extLst>
        </xdr:cNvPr>
        <xdr:cNvSpPr txBox="1"/>
      </xdr:nvSpPr>
      <xdr:spPr>
        <a:xfrm>
          <a:off x="10979355" y="2755081"/>
          <a:ext cx="5514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/>
            <a:t>Empty</a:t>
          </a:r>
        </a:p>
      </xdr:txBody>
    </xdr:sp>
    <xdr:clientData/>
  </xdr:oneCellAnchor>
  <xdr:twoCellAnchor editAs="oneCell">
    <xdr:from>
      <xdr:col>7</xdr:col>
      <xdr:colOff>0</xdr:colOff>
      <xdr:row>4</xdr:row>
      <xdr:rowOff>51210</xdr:rowOff>
    </xdr:from>
    <xdr:to>
      <xdr:col>8</xdr:col>
      <xdr:colOff>10241</xdr:colOff>
      <xdr:row>6</xdr:row>
      <xdr:rowOff>82958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4304183-71AD-51F6-D929-0800401C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0806" y="1075404"/>
          <a:ext cx="399435" cy="625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21</xdr:col>
      <xdr:colOff>97422</xdr:colOff>
      <xdr:row>3</xdr:row>
      <xdr:rowOff>114684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C7155-1D84-4251-B105-2544E9D6A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9024" y="487866"/>
          <a:ext cx="399435" cy="625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370852</xdr:colOff>
      <xdr:row>72</xdr:row>
      <xdr:rowOff>33366</xdr:rowOff>
    </xdr:from>
    <xdr:ext cx="4205816" cy="21399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AE349A-5785-4663-A1FD-38FA72398A5A}"/>
                </a:ext>
              </a:extLst>
            </xdr:cNvPr>
            <xdr:cNvSpPr txBox="1"/>
          </xdr:nvSpPr>
          <xdr:spPr>
            <a:xfrm>
              <a:off x="8705227" y="14334873"/>
              <a:ext cx="4205816" cy="2139952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</a:rPr>
                      <m:t>𝑁𝑎𝐶𝑙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𝑎𝑑𝑑𝑒𝑑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d>
                    <m:r>
                      <a:rPr lang="en-CA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𝐸𝐶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𝐸𝐶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400" b="0" i="1">
                        <a:latin typeface="Cambria Math" panose="02040503050406030204" pitchFamily="18" charset="0"/>
                      </a:rPr>
                      <m:t>∗0.64 ∗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 ∗0.8</m:t>
                    </m:r>
                  </m:oMath>
                </m:oMathPara>
              </a14:m>
              <a:endParaRPr lang="en-CA" sz="1400" b="0"/>
            </a:p>
            <a:p>
              <a:r>
                <a:rPr lang="en-CA" sz="1100" b="0">
                  <a:latin typeface="+mj-lt"/>
                </a:rPr>
                <a:t>where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CA" sz="1200" b="0" i="0">
                          <a:latin typeface="Cambria Math" panose="02040503050406030204" pitchFamily="18" charset="0"/>
                        </a:rPr>
                        <m:t>EC</m:t>
                      </m:r>
                    </m:e>
                    <m:sub>
                      <m:r>
                        <m:rPr>
                          <m:sty m:val="p"/>
                        </m:rPr>
                        <a:rPr lang="en-CA" sz="1200" b="0" i="0">
                          <a:latin typeface="Cambria Math" panose="02040503050406030204" pitchFamily="18" charset="0"/>
                        </a:rPr>
                        <m:t>T</m:t>
                      </m:r>
                    </m:sub>
                  </m:sSub>
                  <m:r>
                    <a:rPr lang="en-CA" sz="1200" b="0" i="0">
                      <a:latin typeface="Cambria Math" panose="02040503050406030204" pitchFamily="18" charset="0"/>
                    </a:rPr>
                    <m:t>=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Target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Electrical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Conductivity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(</m:t>
                  </m:r>
                  <m:f>
                    <m:fPr>
                      <m:type m:val="lin"/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CA" sz="1200" b="0" i="0">
                          <a:latin typeface="Cambria Math" panose="02040503050406030204" pitchFamily="18" charset="0"/>
                        </a:rPr>
                        <m:t>dS</m:t>
                      </m:r>
                    </m:num>
                    <m:den>
                      <m:r>
                        <m:rPr>
                          <m:sty m:val="p"/>
                        </m:rPr>
                        <a:rPr lang="en-CA" sz="1200" b="0" i="0">
                          <a:latin typeface="Cambria Math" panose="02040503050406030204" pitchFamily="18" charset="0"/>
                        </a:rPr>
                        <m:t>m</m:t>
                      </m:r>
                    </m:den>
                  </m:f>
                  <m:r>
                    <a:rPr lang="en-CA" sz="1200" b="0" i="0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CA" sz="1200" b="0" i="0">
                  <a:latin typeface="+mj-lt"/>
                </a:rPr>
                <a:t>  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CA" sz="1200" b="0" i="0">
                            <a:latin typeface="Cambria Math" panose="02040503050406030204" pitchFamily="18" charset="0"/>
                          </a:rPr>
                          <m:t>EC</m:t>
                        </m:r>
                      </m:e>
                      <m:sub>
                        <m:r>
                          <a:rPr lang="en-CA" sz="12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CA" sz="12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Electrical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Conductivity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after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salt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addition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and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water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CA" sz="1200" b="0" i="0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top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CA" sz="1200" b="0" i="0">
                        <a:latin typeface="Cambria Math" panose="02040503050406030204" pitchFamily="18" charset="0"/>
                      </a:rPr>
                      <m:t>up</m:t>
                    </m:r>
                    <m:r>
                      <a:rPr lang="en-CA" sz="1200" b="0" i="0">
                        <a:latin typeface="Cambria Math" panose="02040503050406030204" pitchFamily="18" charset="0"/>
                      </a:rPr>
                      <m:t> (</m:t>
                    </m:r>
                    <m:f>
                      <m:fPr>
                        <m:type m:val="lin"/>
                        <m:ctrlPr>
                          <a:rPr lang="en-CA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CA" sz="1200" b="0" i="0">
                            <a:latin typeface="Cambria Math" panose="02040503050406030204" pitchFamily="18" charset="0"/>
                          </a:rPr>
                          <m:t>dS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CA" sz="1200" b="0" i="0">
                            <a:latin typeface="Cambria Math" panose="02040503050406030204" pitchFamily="18" charset="0"/>
                          </a:rPr>
                          <m:t>m</m:t>
                        </m:r>
                        <m:r>
                          <a:rPr lang="en-CA" sz="1200" b="0" i="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CA" sz="1200" b="0" i="0">
                <a:latin typeface="+mj-lt"/>
              </a:endParaRPr>
            </a:p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V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=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Volume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of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solution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being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mixed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 (</m:t>
                  </m:r>
                  <m:r>
                    <m:rPr>
                      <m:sty m:val="p"/>
                    </m:rPr>
                    <a:rPr lang="en-CA" sz="1200" b="0" i="0">
                      <a:latin typeface="Cambria Math" panose="02040503050406030204" pitchFamily="18" charset="0"/>
                    </a:rPr>
                    <m:t>L</m:t>
                  </m:r>
                  <m:r>
                    <a:rPr lang="en-CA" sz="1200" b="0" i="0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CA" sz="1200" b="0" i="0">
                  <a:latin typeface="+mj-lt"/>
                </a:rPr>
                <a:t> </a:t>
              </a:r>
            </a:p>
            <a:p>
              <a:endParaRPr lang="en-CA" sz="1200" b="0" i="0">
                <a:latin typeface="+mj-lt"/>
              </a:endParaRPr>
            </a:p>
            <a:p>
              <a:r>
                <a:rPr lang="en-CA" sz="1200" b="0" i="0">
                  <a:latin typeface="+mj-lt"/>
                </a:rPr>
                <a:t>Example for Tank 1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</a:rPr>
                      <m:t>𝑁𝑎𝐶𝑙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𝑎𝑑𝑑𝑒𝑑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 =</m:t>
                    </m:r>
                    <m:d>
                      <m:d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8−7.572</m:t>
                        </m:r>
                      </m:e>
                    </m:d>
                    <m:r>
                      <a:rPr lang="en-CA" sz="1400" b="0" i="1">
                        <a:latin typeface="Cambria Math" panose="02040503050406030204" pitchFamily="18" charset="0"/>
                      </a:rPr>
                      <m:t>∗0.64 ∗725∗0.8=158.9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CA" sz="1200" b="0" i="0">
                <a:latin typeface="+mj-lt"/>
              </a:endParaRPr>
            </a:p>
            <a:p>
              <a:endParaRPr lang="en-US" sz="8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AE349A-5785-4663-A1FD-38FA72398A5A}"/>
                </a:ext>
              </a:extLst>
            </xdr:cNvPr>
            <xdr:cNvSpPr txBox="1"/>
          </xdr:nvSpPr>
          <xdr:spPr>
            <a:xfrm>
              <a:off x="8705227" y="14334873"/>
              <a:ext cx="4205816" cy="2139952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CA" sz="1400" b="0" i="0">
                  <a:latin typeface="Cambria Math" panose="02040503050406030204" pitchFamily="18" charset="0"/>
                </a:rPr>
                <a:t>𝑁𝑎𝐶𝑙 𝑎𝑑𝑑𝑒𝑑 (𝑔)=(〖𝐸𝐶〗_𝑇−〖𝐸𝐶〗_1 )∗0.64 ∗𝑉 ∗0.8</a:t>
              </a:r>
              <a:endParaRPr lang="en-CA" sz="1400" b="0"/>
            </a:p>
            <a:p>
              <a:r>
                <a:rPr lang="en-CA" sz="1100" b="0">
                  <a:latin typeface="+mj-lt"/>
                </a:rPr>
                <a:t>where</a:t>
              </a:r>
            </a:p>
            <a:p>
              <a:r>
                <a:rPr lang="en-CA" sz="1200" b="0" i="0">
                  <a:latin typeface="Cambria Math" panose="02040503050406030204" pitchFamily="18" charset="0"/>
                </a:rPr>
                <a:t>EC_T=Target Electrical Conductivity (dS∕m)</a:t>
              </a:r>
              <a:r>
                <a:rPr lang="en-CA" sz="1200" b="0" i="0">
                  <a:latin typeface="+mj-lt"/>
                </a:rPr>
                <a:t>  </a:t>
              </a:r>
            </a:p>
            <a:p>
              <a:pPr/>
              <a:r>
                <a:rPr lang="en-CA" sz="1200" b="0" i="0">
                  <a:latin typeface="Cambria Math" panose="02040503050406030204" pitchFamily="18" charset="0"/>
                </a:rPr>
                <a:t>EC_1=Electrical Conductivity after salt addition and water </a:t>
              </a:r>
            </a:p>
            <a:p>
              <a:pPr/>
              <a:r>
                <a:rPr lang="en-CA" sz="1200" b="0" i="0">
                  <a:latin typeface="Cambria Math" panose="02040503050406030204" pitchFamily="18" charset="0"/>
                </a:rPr>
                <a:t>top up (dS∕〖m)〗</a:t>
              </a:r>
              <a:endParaRPr lang="en-CA" sz="1200" b="0" i="0">
                <a:latin typeface="+mj-lt"/>
              </a:endParaRPr>
            </a:p>
            <a:p>
              <a:r>
                <a:rPr lang="en-CA" sz="1200" b="0" i="0">
                  <a:latin typeface="Cambria Math" panose="02040503050406030204" pitchFamily="18" charset="0"/>
                </a:rPr>
                <a:t>V=Volume of solution being mixed (L)</a:t>
              </a:r>
              <a:r>
                <a:rPr lang="en-CA" sz="1200" b="0" i="0">
                  <a:latin typeface="+mj-lt"/>
                </a:rPr>
                <a:t> </a:t>
              </a:r>
            </a:p>
            <a:p>
              <a:endParaRPr lang="en-CA" sz="1200" b="0" i="0">
                <a:latin typeface="+mj-lt"/>
              </a:endParaRPr>
            </a:p>
            <a:p>
              <a:r>
                <a:rPr lang="en-CA" sz="1200" b="0" i="0">
                  <a:latin typeface="+mj-lt"/>
                </a:rPr>
                <a:t>Example for Tank 1</a:t>
              </a:r>
            </a:p>
            <a:p>
              <a:pPr/>
              <a:r>
                <a:rPr lang="en-CA" sz="1400" b="0" i="0">
                  <a:latin typeface="Cambria Math" panose="02040503050406030204" pitchFamily="18" charset="0"/>
                </a:rPr>
                <a:t>𝑁𝑎𝐶𝑙 𝑎𝑑𝑑𝑒𝑑 =(8−7.572)∗0.64 ∗725∗0.8=158.9 𝑔</a:t>
              </a:r>
              <a:endParaRPr lang="en-CA" sz="1200" b="0" i="0">
                <a:latin typeface="+mj-lt"/>
              </a:endParaRPr>
            </a:p>
            <a:p>
              <a:endParaRPr lang="en-US" sz="8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519545</xdr:colOff>
      <xdr:row>1</xdr:row>
      <xdr:rowOff>9622</xdr:rowOff>
    </xdr:from>
    <xdr:to>
      <xdr:col>5</xdr:col>
      <xdr:colOff>163560</xdr:colOff>
      <xdr:row>2</xdr:row>
      <xdr:rowOff>144319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7DBF288-2A0F-3919-4A54-CDE9A8DCE996}"/>
            </a:ext>
          </a:extLst>
        </xdr:cNvPr>
        <xdr:cNvSpPr/>
      </xdr:nvSpPr>
      <xdr:spPr>
        <a:xfrm>
          <a:off x="3049924" y="240531"/>
          <a:ext cx="288636" cy="365606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  <xdr:twoCellAnchor>
    <xdr:from>
      <xdr:col>8</xdr:col>
      <xdr:colOff>519545</xdr:colOff>
      <xdr:row>1</xdr:row>
      <xdr:rowOff>0</xdr:rowOff>
    </xdr:from>
    <xdr:to>
      <xdr:col>9</xdr:col>
      <xdr:colOff>163560</xdr:colOff>
      <xdr:row>2</xdr:row>
      <xdr:rowOff>134697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A2470699-6C69-4295-95A7-43C7B8F2AEAA}"/>
            </a:ext>
          </a:extLst>
        </xdr:cNvPr>
        <xdr:cNvSpPr/>
      </xdr:nvSpPr>
      <xdr:spPr>
        <a:xfrm>
          <a:off x="5628409" y="230909"/>
          <a:ext cx="288636" cy="365606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  <xdr:twoCellAnchor>
    <xdr:from>
      <xdr:col>14</xdr:col>
      <xdr:colOff>491836</xdr:colOff>
      <xdr:row>1</xdr:row>
      <xdr:rowOff>13854</xdr:rowOff>
    </xdr:from>
    <xdr:to>
      <xdr:col>15</xdr:col>
      <xdr:colOff>149705</xdr:colOff>
      <xdr:row>2</xdr:row>
      <xdr:rowOff>148551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499F391C-8050-4A34-91C0-59DD28DC381D}"/>
            </a:ext>
          </a:extLst>
        </xdr:cNvPr>
        <xdr:cNvSpPr/>
      </xdr:nvSpPr>
      <xdr:spPr>
        <a:xfrm>
          <a:off x="8988136" y="251979"/>
          <a:ext cx="267469" cy="372822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  <xdr:twoCellAnchor>
    <xdr:from>
      <xdr:col>16</xdr:col>
      <xdr:colOff>519545</xdr:colOff>
      <xdr:row>1</xdr:row>
      <xdr:rowOff>0</xdr:rowOff>
    </xdr:from>
    <xdr:to>
      <xdr:col>17</xdr:col>
      <xdr:colOff>163560</xdr:colOff>
      <xdr:row>2</xdr:row>
      <xdr:rowOff>134697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6CFC0661-25D9-4ECE-B380-3A8FE8102315}"/>
            </a:ext>
          </a:extLst>
        </xdr:cNvPr>
        <xdr:cNvSpPr/>
      </xdr:nvSpPr>
      <xdr:spPr>
        <a:xfrm>
          <a:off x="5334000" y="242455"/>
          <a:ext cx="250151" cy="377151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  <xdr:twoCellAnchor>
    <xdr:from>
      <xdr:col>22</xdr:col>
      <xdr:colOff>528205</xdr:colOff>
      <xdr:row>1</xdr:row>
      <xdr:rowOff>25978</xdr:rowOff>
    </xdr:from>
    <xdr:to>
      <xdr:col>23</xdr:col>
      <xdr:colOff>172221</xdr:colOff>
      <xdr:row>2</xdr:row>
      <xdr:rowOff>160675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DF268173-C3BA-48EF-A53B-B2E453E34C3B}"/>
            </a:ext>
          </a:extLst>
        </xdr:cNvPr>
        <xdr:cNvSpPr/>
      </xdr:nvSpPr>
      <xdr:spPr>
        <a:xfrm>
          <a:off x="13828569" y="268433"/>
          <a:ext cx="250152" cy="377151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  <xdr:twoCellAnchor>
    <xdr:from>
      <xdr:col>26</xdr:col>
      <xdr:colOff>528205</xdr:colOff>
      <xdr:row>1</xdr:row>
      <xdr:rowOff>25978</xdr:rowOff>
    </xdr:from>
    <xdr:to>
      <xdr:col>27</xdr:col>
      <xdr:colOff>172221</xdr:colOff>
      <xdr:row>2</xdr:row>
      <xdr:rowOff>160675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40B123DE-0FC4-4871-A0F5-58B4456DB09D}"/>
            </a:ext>
          </a:extLst>
        </xdr:cNvPr>
        <xdr:cNvSpPr/>
      </xdr:nvSpPr>
      <xdr:spPr>
        <a:xfrm>
          <a:off x="13828569" y="268433"/>
          <a:ext cx="250152" cy="377151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            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539749</xdr:colOff>
      <xdr:row>12</xdr:row>
      <xdr:rowOff>19050</xdr:rowOff>
    </xdr:from>
    <xdr:to>
      <xdr:col>36</xdr:col>
      <xdr:colOff>406399</xdr:colOff>
      <xdr:row>27</xdr:row>
      <xdr:rowOff>216308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19E1E-B761-47E3-B340-3CF333B0A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501649</xdr:colOff>
      <xdr:row>29</xdr:row>
      <xdr:rowOff>69850</xdr:rowOff>
    </xdr:from>
    <xdr:to>
      <xdr:col>36</xdr:col>
      <xdr:colOff>406400</xdr:colOff>
      <xdr:row>46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3FD94-1427-4A05-A39C-81777B09F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156210</xdr:colOff>
      <xdr:row>84</xdr:row>
      <xdr:rowOff>232410</xdr:rowOff>
    </xdr:from>
    <xdr:to>
      <xdr:col>35</xdr:col>
      <xdr:colOff>73281</xdr:colOff>
      <xdr:row>99</xdr:row>
      <xdr:rowOff>109598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34B492-2110-4FE3-9765-CBD2DD495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95249</xdr:colOff>
      <xdr:row>67</xdr:row>
      <xdr:rowOff>40005</xdr:rowOff>
    </xdr:from>
    <xdr:to>
      <xdr:col>35</xdr:col>
      <xdr:colOff>91440</xdr:colOff>
      <xdr:row>83</xdr:row>
      <xdr:rowOff>132080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462DF5-8FDB-45F7-BD28-584001417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</xdr:row>
      <xdr:rowOff>200025</xdr:rowOff>
    </xdr:from>
    <xdr:to>
      <xdr:col>28</xdr:col>
      <xdr:colOff>586154</xdr:colOff>
      <xdr:row>26</xdr:row>
      <xdr:rowOff>24423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63E22-7930-4C81-95B3-CFB931D2C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109902</xdr:colOff>
      <xdr:row>5</xdr:row>
      <xdr:rowOff>24423</xdr:rowOff>
    </xdr:from>
    <xdr:to>
      <xdr:col>40</xdr:col>
      <xdr:colOff>525094</xdr:colOff>
      <xdr:row>26</xdr:row>
      <xdr:rowOff>24423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20B2F-D6DD-4DA0-9A8E-D1249B938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374954</xdr:colOff>
      <xdr:row>27</xdr:row>
      <xdr:rowOff>137281</xdr:rowOff>
    </xdr:from>
    <xdr:to>
      <xdr:col>41</xdr:col>
      <xdr:colOff>254001</xdr:colOff>
      <xdr:row>46</xdr:row>
      <xdr:rowOff>74084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3F633-29C1-4E79-A769-E4FACEC67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8C7F-C1E0-44FE-8091-F8A0DE692EDC}">
  <dimension ref="A1:M50"/>
  <sheetViews>
    <sheetView view="pageLayout" zoomScale="80" zoomScaleNormal="100" zoomScalePageLayoutView="80" workbookViewId="0">
      <selection activeCell="I47" sqref="I47"/>
    </sheetView>
  </sheetViews>
  <sheetFormatPr defaultRowHeight="14.5"/>
  <cols>
    <col min="2" max="2" width="6.453125" customWidth="1"/>
  </cols>
  <sheetData>
    <row r="1" spans="1:8" ht="15.5">
      <c r="A1" s="216" t="s">
        <v>841</v>
      </c>
      <c r="B1" s="216"/>
      <c r="C1" s="216"/>
      <c r="D1" s="216"/>
      <c r="E1" s="216"/>
      <c r="F1" s="217"/>
      <c r="G1" s="217"/>
      <c r="H1" s="217"/>
    </row>
    <row r="3" spans="1:8">
      <c r="A3" s="35" t="s">
        <v>107</v>
      </c>
      <c r="C3" t="s">
        <v>115</v>
      </c>
    </row>
    <row r="4" spans="1:8">
      <c r="C4" t="s">
        <v>116</v>
      </c>
    </row>
    <row r="5" spans="1:8">
      <c r="C5" t="s">
        <v>117</v>
      </c>
    </row>
    <row r="6" spans="1:8">
      <c r="C6" t="s">
        <v>118</v>
      </c>
    </row>
    <row r="7" spans="1:8">
      <c r="C7" t="s">
        <v>119</v>
      </c>
    </row>
    <row r="8" spans="1:8">
      <c r="C8" s="96" t="s">
        <v>819</v>
      </c>
    </row>
    <row r="9" spans="1:8">
      <c r="C9" t="s">
        <v>818</v>
      </c>
    </row>
    <row r="11" spans="1:8">
      <c r="A11" s="35" t="s">
        <v>108</v>
      </c>
      <c r="C11" t="s">
        <v>120</v>
      </c>
    </row>
    <row r="12" spans="1:8">
      <c r="C12" t="s">
        <v>121</v>
      </c>
    </row>
    <row r="13" spans="1:8">
      <c r="C13" t="s">
        <v>813</v>
      </c>
    </row>
    <row r="14" spans="1:8">
      <c r="C14" t="s">
        <v>814</v>
      </c>
    </row>
    <row r="15" spans="1:8">
      <c r="C15" t="s">
        <v>815</v>
      </c>
    </row>
    <row r="16" spans="1:8">
      <c r="D16" t="s">
        <v>816</v>
      </c>
    </row>
    <row r="17" spans="1:13">
      <c r="D17" t="s">
        <v>817</v>
      </c>
    </row>
    <row r="19" spans="1:13">
      <c r="A19" s="35" t="s">
        <v>109</v>
      </c>
      <c r="C19" s="36" t="s">
        <v>122</v>
      </c>
    </row>
    <row r="20" spans="1:13">
      <c r="C20" t="s">
        <v>780</v>
      </c>
    </row>
    <row r="21" spans="1:13">
      <c r="C21" t="s">
        <v>123</v>
      </c>
    </row>
    <row r="22" spans="1:13">
      <c r="C22" s="36" t="s">
        <v>124</v>
      </c>
    </row>
    <row r="23" spans="1:13">
      <c r="C23" t="s">
        <v>781</v>
      </c>
    </row>
    <row r="24" spans="1:13">
      <c r="C24" t="s">
        <v>125</v>
      </c>
    </row>
    <row r="26" spans="1:13">
      <c r="A26" s="35" t="s">
        <v>110</v>
      </c>
      <c r="K26" t="s">
        <v>820</v>
      </c>
    </row>
    <row r="27" spans="1:13">
      <c r="L27" s="99" t="s">
        <v>788</v>
      </c>
      <c r="M27" s="99" t="s">
        <v>789</v>
      </c>
    </row>
    <row r="28" spans="1:13">
      <c r="C28" s="95" t="s">
        <v>111</v>
      </c>
      <c r="E28" s="96" t="s">
        <v>783</v>
      </c>
      <c r="K28" s="97" t="s">
        <v>786</v>
      </c>
      <c r="L28" s="100">
        <v>45355</v>
      </c>
      <c r="M28" s="100">
        <v>45356</v>
      </c>
    </row>
    <row r="29" spans="1:13">
      <c r="C29" t="s">
        <v>112</v>
      </c>
      <c r="E29" t="s">
        <v>784</v>
      </c>
      <c r="K29" s="97" t="s">
        <v>785</v>
      </c>
      <c r="L29" s="100">
        <v>45362</v>
      </c>
      <c r="M29" s="100">
        <v>45363</v>
      </c>
    </row>
    <row r="30" spans="1:13">
      <c r="C30" t="s">
        <v>113</v>
      </c>
      <c r="E30" t="s">
        <v>790</v>
      </c>
      <c r="K30" s="97" t="s">
        <v>787</v>
      </c>
      <c r="L30" s="100">
        <v>45364</v>
      </c>
      <c r="M30" s="100">
        <v>45365</v>
      </c>
    </row>
    <row r="31" spans="1:13">
      <c r="C31" t="s">
        <v>791</v>
      </c>
      <c r="E31" t="s">
        <v>792</v>
      </c>
      <c r="K31" s="97" t="s">
        <v>793</v>
      </c>
      <c r="L31" s="218" t="s">
        <v>794</v>
      </c>
      <c r="M31" s="218"/>
    </row>
    <row r="32" spans="1:13">
      <c r="C32" t="s">
        <v>795</v>
      </c>
      <c r="E32" t="s">
        <v>792</v>
      </c>
      <c r="K32" s="97" t="s">
        <v>796</v>
      </c>
      <c r="L32" s="218" t="s">
        <v>797</v>
      </c>
      <c r="M32" s="218"/>
    </row>
    <row r="33" spans="1:13">
      <c r="C33" t="s">
        <v>798</v>
      </c>
      <c r="E33" t="s">
        <v>799</v>
      </c>
      <c r="K33" s="97" t="s">
        <v>800</v>
      </c>
      <c r="L33" s="218" t="s">
        <v>801</v>
      </c>
      <c r="M33" s="218"/>
    </row>
    <row r="34" spans="1:13">
      <c r="K34" s="97"/>
      <c r="L34" s="98"/>
      <c r="M34" s="98"/>
    </row>
    <row r="35" spans="1:13" ht="18.5">
      <c r="A35" s="219" t="s">
        <v>128</v>
      </c>
      <c r="B35" s="219"/>
      <c r="C35" s="219"/>
      <c r="D35" s="219"/>
      <c r="E35" s="219"/>
      <c r="F35" s="220"/>
      <c r="G35" s="220"/>
      <c r="H35" s="220"/>
      <c r="K35" s="97"/>
      <c r="L35" s="98"/>
      <c r="M35" s="98"/>
    </row>
    <row r="36" spans="1:13">
      <c r="K36" s="97"/>
      <c r="L36" s="98"/>
      <c r="M36" s="98"/>
    </row>
    <row r="37" spans="1:13">
      <c r="K37" s="97"/>
      <c r="L37" s="98"/>
      <c r="M37" s="98"/>
    </row>
    <row r="38" spans="1:13">
      <c r="A38" s="35" t="s">
        <v>114</v>
      </c>
      <c r="H38" s="101" t="s">
        <v>821</v>
      </c>
    </row>
    <row r="39" spans="1:13">
      <c r="I39" s="152" t="s">
        <v>788</v>
      </c>
      <c r="J39" s="152" t="s">
        <v>789</v>
      </c>
    </row>
    <row r="40" spans="1:13">
      <c r="C40" t="s">
        <v>802</v>
      </c>
      <c r="I40" s="102"/>
      <c r="J40" s="102"/>
    </row>
    <row r="41" spans="1:13">
      <c r="C41" t="s">
        <v>803</v>
      </c>
      <c r="H41" s="151"/>
      <c r="I41" s="153" t="s">
        <v>848</v>
      </c>
      <c r="J41" s="153" t="s">
        <v>849</v>
      </c>
    </row>
    <row r="42" spans="1:13">
      <c r="C42" t="s">
        <v>805</v>
      </c>
      <c r="I42" s="102"/>
      <c r="J42" s="102"/>
    </row>
    <row r="43" spans="1:13">
      <c r="C43" t="s">
        <v>804</v>
      </c>
      <c r="I43" s="102"/>
      <c r="J43" s="102"/>
    </row>
    <row r="44" spans="1:13">
      <c r="C44" t="s">
        <v>806</v>
      </c>
      <c r="I44" s="102"/>
      <c r="J44" s="102"/>
    </row>
    <row r="45" spans="1:13">
      <c r="C45" t="s">
        <v>807</v>
      </c>
      <c r="I45" s="102"/>
      <c r="J45" s="102"/>
    </row>
    <row r="46" spans="1:13">
      <c r="C46" t="s">
        <v>808</v>
      </c>
      <c r="I46" s="102"/>
      <c r="J46" s="102"/>
    </row>
    <row r="47" spans="1:13">
      <c r="C47" t="s">
        <v>809</v>
      </c>
      <c r="I47" s="102"/>
      <c r="J47" s="102"/>
    </row>
    <row r="48" spans="1:13">
      <c r="C48" t="s">
        <v>810</v>
      </c>
      <c r="I48" s="102"/>
      <c r="J48" s="102"/>
    </row>
    <row r="49" spans="3:10">
      <c r="C49" t="s">
        <v>811</v>
      </c>
      <c r="I49" s="102"/>
      <c r="J49" s="102"/>
    </row>
    <row r="50" spans="3:10">
      <c r="C50" t="s">
        <v>812</v>
      </c>
      <c r="I50" s="102"/>
      <c r="J50" s="102"/>
    </row>
  </sheetData>
  <mergeCells count="5">
    <mergeCell ref="A1:H1"/>
    <mergeCell ref="L31:M31"/>
    <mergeCell ref="L32:M32"/>
    <mergeCell ref="L33:M33"/>
    <mergeCell ref="A35:H35"/>
  </mergeCells>
  <pageMargins left="0.7" right="0.7" top="0.75" bottom="0.75" header="0.3" footer="0.3"/>
  <pageSetup orientation="landscape" r:id="rId1"/>
  <headerFooter>
    <oddHeader xml:space="preserve">&amp;C&amp;P&amp;R&amp;"Calibri,Regular"&amp;10&amp;K000000 Unclassified / Non classifié&amp;1#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D693-7C90-49A8-81F5-2B267E237C6F}">
  <dimension ref="A1:K394"/>
  <sheetViews>
    <sheetView topLeftCell="A262" workbookViewId="0">
      <selection activeCell="L309" sqref="L309"/>
    </sheetView>
  </sheetViews>
  <sheetFormatPr defaultRowHeight="14.5"/>
  <cols>
    <col min="2" max="2" width="4.26953125" customWidth="1"/>
    <col min="3" max="10" width="9.26953125" style="162"/>
  </cols>
  <sheetData>
    <row r="1" spans="1:10" ht="15.5">
      <c r="A1" s="216" t="s">
        <v>840</v>
      </c>
      <c r="B1" s="216"/>
      <c r="C1" s="216"/>
      <c r="D1" s="216"/>
      <c r="E1" s="216"/>
      <c r="F1" s="217"/>
      <c r="G1" s="217"/>
      <c r="H1" s="217"/>
    </row>
    <row r="3" spans="1:10">
      <c r="A3" s="37" t="s">
        <v>126</v>
      </c>
      <c r="B3" s="37"/>
      <c r="C3" s="163" t="s">
        <v>127</v>
      </c>
      <c r="D3" s="163"/>
      <c r="E3" s="163"/>
      <c r="F3" s="163"/>
      <c r="G3" s="163"/>
      <c r="H3" s="163"/>
      <c r="I3" s="163"/>
      <c r="J3" s="163"/>
    </row>
    <row r="5" spans="1:10">
      <c r="A5" t="s">
        <v>850</v>
      </c>
      <c r="C5" s="162" t="s">
        <v>851</v>
      </c>
    </row>
    <row r="7" spans="1:10">
      <c r="A7" s="100">
        <v>45343</v>
      </c>
      <c r="C7" s="162" t="s">
        <v>852</v>
      </c>
    </row>
    <row r="9" spans="1:10">
      <c r="A9" s="100">
        <v>45345</v>
      </c>
      <c r="C9" s="162" t="s">
        <v>853</v>
      </c>
    </row>
    <row r="11" spans="1:10">
      <c r="A11" s="100">
        <v>45346</v>
      </c>
      <c r="C11" s="162" t="s">
        <v>854</v>
      </c>
    </row>
    <row r="13" spans="1:10">
      <c r="A13" s="100">
        <v>45348</v>
      </c>
      <c r="C13" s="162" t="s">
        <v>855</v>
      </c>
    </row>
    <row r="14" spans="1:10">
      <c r="C14" s="162" t="s">
        <v>856</v>
      </c>
    </row>
    <row r="16" spans="1:10">
      <c r="A16" s="100">
        <v>45349</v>
      </c>
      <c r="C16" s="162" t="s">
        <v>857</v>
      </c>
    </row>
    <row r="17" spans="1:3">
      <c r="C17" s="162" t="s">
        <v>858</v>
      </c>
    </row>
    <row r="18" spans="1:3">
      <c r="C18" s="162" t="s">
        <v>859</v>
      </c>
    </row>
    <row r="19" spans="1:3">
      <c r="C19" s="162" t="s">
        <v>860</v>
      </c>
    </row>
    <row r="20" spans="1:3">
      <c r="C20" s="162" t="s">
        <v>861</v>
      </c>
    </row>
    <row r="22" spans="1:3">
      <c r="A22" s="100">
        <v>45350</v>
      </c>
      <c r="C22" s="162" t="s">
        <v>862</v>
      </c>
    </row>
    <row r="23" spans="1:3">
      <c r="C23" s="162" t="s">
        <v>863</v>
      </c>
    </row>
    <row r="24" spans="1:3">
      <c r="C24" s="162" t="s">
        <v>864</v>
      </c>
    </row>
    <row r="25" spans="1:3">
      <c r="C25" s="162" t="s">
        <v>865</v>
      </c>
    </row>
    <row r="27" spans="1:3">
      <c r="A27" s="100">
        <v>45351</v>
      </c>
      <c r="C27" s="162" t="s">
        <v>866</v>
      </c>
    </row>
    <row r="28" spans="1:3">
      <c r="C28" s="162" t="s">
        <v>867</v>
      </c>
    </row>
    <row r="29" spans="1:3">
      <c r="C29" s="162" t="s">
        <v>868</v>
      </c>
    </row>
    <row r="30" spans="1:3">
      <c r="C30" s="162" t="s">
        <v>869</v>
      </c>
    </row>
    <row r="31" spans="1:3">
      <c r="C31" s="162" t="s">
        <v>870</v>
      </c>
    </row>
    <row r="32" spans="1:3">
      <c r="C32" s="162" t="s">
        <v>871</v>
      </c>
    </row>
    <row r="33" spans="1:3">
      <c r="C33" s="162" t="s">
        <v>872</v>
      </c>
    </row>
    <row r="34" spans="1:3">
      <c r="C34" s="162" t="s">
        <v>873</v>
      </c>
    </row>
    <row r="35" spans="1:3">
      <c r="C35" s="162" t="s">
        <v>874</v>
      </c>
    </row>
    <row r="37" spans="1:3">
      <c r="A37" s="100">
        <v>45352</v>
      </c>
      <c r="C37" s="162" t="s">
        <v>875</v>
      </c>
    </row>
    <row r="38" spans="1:3">
      <c r="C38" s="162" t="s">
        <v>876</v>
      </c>
    </row>
    <row r="39" spans="1:3">
      <c r="C39" s="162" t="s">
        <v>877</v>
      </c>
    </row>
    <row r="40" spans="1:3">
      <c r="C40" s="162" t="s">
        <v>878</v>
      </c>
    </row>
    <row r="41" spans="1:3">
      <c r="C41" s="162" t="s">
        <v>879</v>
      </c>
    </row>
    <row r="42" spans="1:3">
      <c r="C42" s="162" t="s">
        <v>880</v>
      </c>
    </row>
    <row r="43" spans="1:3">
      <c r="C43" s="162" t="s">
        <v>881</v>
      </c>
    </row>
    <row r="44" spans="1:3">
      <c r="C44" s="162" t="s">
        <v>882</v>
      </c>
    </row>
    <row r="46" spans="1:3">
      <c r="A46" s="100">
        <v>45353</v>
      </c>
      <c r="C46" s="162" t="s">
        <v>883</v>
      </c>
    </row>
    <row r="47" spans="1:3">
      <c r="A47" s="100">
        <v>45353</v>
      </c>
      <c r="C47" s="162" t="s">
        <v>884</v>
      </c>
    </row>
    <row r="48" spans="1:3">
      <c r="C48" s="162" t="s">
        <v>885</v>
      </c>
    </row>
    <row r="49" spans="1:3">
      <c r="C49" s="162" t="s">
        <v>886</v>
      </c>
    </row>
    <row r="50" spans="1:3">
      <c r="C50" s="162" t="s">
        <v>887</v>
      </c>
    </row>
    <row r="51" spans="1:3">
      <c r="C51" s="162" t="s">
        <v>888</v>
      </c>
    </row>
    <row r="52" spans="1:3">
      <c r="C52" s="162" t="s">
        <v>889</v>
      </c>
    </row>
    <row r="53" spans="1:3">
      <c r="C53" s="162" t="s">
        <v>890</v>
      </c>
    </row>
    <row r="54" spans="1:3">
      <c r="C54" s="162" t="s">
        <v>891</v>
      </c>
    </row>
    <row r="56" spans="1:3">
      <c r="A56" s="100">
        <v>45354</v>
      </c>
      <c r="C56" s="162" t="s">
        <v>892</v>
      </c>
    </row>
    <row r="57" spans="1:3">
      <c r="C57" s="162" t="s">
        <v>893</v>
      </c>
    </row>
    <row r="58" spans="1:3">
      <c r="C58" s="162" t="s">
        <v>894</v>
      </c>
    </row>
    <row r="59" spans="1:3">
      <c r="C59" s="164" t="s">
        <v>895</v>
      </c>
    </row>
    <row r="61" spans="1:3">
      <c r="A61" s="100">
        <v>45355</v>
      </c>
      <c r="C61" s="162" t="s">
        <v>896</v>
      </c>
    </row>
    <row r="62" spans="1:3">
      <c r="C62" s="164" t="s">
        <v>897</v>
      </c>
    </row>
    <row r="63" spans="1:3">
      <c r="C63" s="164" t="s">
        <v>898</v>
      </c>
    </row>
    <row r="64" spans="1:3">
      <c r="C64" s="162" t="s">
        <v>899</v>
      </c>
    </row>
    <row r="65" spans="1:3">
      <c r="C65" s="162" t="s">
        <v>900</v>
      </c>
    </row>
    <row r="66" spans="1:3">
      <c r="C66" s="164" t="s">
        <v>901</v>
      </c>
    </row>
    <row r="67" spans="1:3">
      <c r="C67" s="162" t="s">
        <v>902</v>
      </c>
    </row>
    <row r="68" spans="1:3">
      <c r="C68" s="162" t="s">
        <v>903</v>
      </c>
    </row>
    <row r="69" spans="1:3">
      <c r="C69" s="162" t="s">
        <v>904</v>
      </c>
    </row>
    <row r="70" spans="1:3">
      <c r="C70" s="162" t="s">
        <v>905</v>
      </c>
    </row>
    <row r="71" spans="1:3">
      <c r="C71" s="162" t="s">
        <v>906</v>
      </c>
    </row>
    <row r="73" spans="1:3">
      <c r="A73" s="100">
        <v>45356</v>
      </c>
      <c r="C73" s="162" t="s">
        <v>907</v>
      </c>
    </row>
    <row r="74" spans="1:3">
      <c r="C74" s="162" t="s">
        <v>908</v>
      </c>
    </row>
    <row r="75" spans="1:3">
      <c r="C75" s="162" t="s">
        <v>909</v>
      </c>
    </row>
    <row r="76" spans="1:3">
      <c r="C76" s="162" t="s">
        <v>910</v>
      </c>
    </row>
    <row r="78" spans="1:3">
      <c r="A78" s="100">
        <v>45357</v>
      </c>
      <c r="C78" s="162" t="s">
        <v>924</v>
      </c>
    </row>
    <row r="79" spans="1:3">
      <c r="C79" s="162" t="s">
        <v>925</v>
      </c>
    </row>
    <row r="80" spans="1:3">
      <c r="C80" s="162" t="s">
        <v>926</v>
      </c>
    </row>
    <row r="81" spans="1:3">
      <c r="C81" s="162" t="s">
        <v>911</v>
      </c>
    </row>
    <row r="82" spans="1:3">
      <c r="C82" s="162" t="s">
        <v>912</v>
      </c>
    </row>
    <row r="84" spans="1:3">
      <c r="A84" s="100">
        <v>45358</v>
      </c>
      <c r="C84" s="162" t="s">
        <v>913</v>
      </c>
    </row>
    <row r="85" spans="1:3">
      <c r="C85" s="162" t="s">
        <v>914</v>
      </c>
    </row>
    <row r="86" spans="1:3">
      <c r="C86" s="162" t="s">
        <v>915</v>
      </c>
    </row>
    <row r="88" spans="1:3">
      <c r="A88" s="100">
        <v>45359</v>
      </c>
      <c r="C88" s="162" t="s">
        <v>927</v>
      </c>
    </row>
    <row r="89" spans="1:3">
      <c r="C89" s="162" t="s">
        <v>916</v>
      </c>
    </row>
    <row r="90" spans="1:3">
      <c r="A90" s="100">
        <v>45359</v>
      </c>
      <c r="C90" s="162" t="s">
        <v>917</v>
      </c>
    </row>
    <row r="92" spans="1:3">
      <c r="A92" s="100">
        <v>45360</v>
      </c>
      <c r="C92" s="162" t="s">
        <v>918</v>
      </c>
    </row>
    <row r="93" spans="1:3">
      <c r="C93" s="162" t="s">
        <v>919</v>
      </c>
    </row>
    <row r="94" spans="1:3">
      <c r="C94" s="162" t="s">
        <v>928</v>
      </c>
    </row>
    <row r="96" spans="1:3">
      <c r="A96" s="100">
        <v>45361</v>
      </c>
      <c r="C96" s="162" t="s">
        <v>918</v>
      </c>
    </row>
    <row r="97" spans="1:3">
      <c r="C97" s="162" t="s">
        <v>929</v>
      </c>
    </row>
    <row r="98" spans="1:3">
      <c r="C98" s="162" t="s">
        <v>919</v>
      </c>
    </row>
    <row r="100" spans="1:3">
      <c r="A100" s="100">
        <v>45362</v>
      </c>
      <c r="C100" s="162" t="s">
        <v>920</v>
      </c>
    </row>
    <row r="101" spans="1:3">
      <c r="C101" s="162" t="s">
        <v>921</v>
      </c>
    </row>
    <row r="102" spans="1:3">
      <c r="C102" s="162" t="s">
        <v>922</v>
      </c>
    </row>
    <row r="104" spans="1:3">
      <c r="A104" s="100">
        <v>45363</v>
      </c>
      <c r="C104" s="162" t="s">
        <v>923</v>
      </c>
    </row>
    <row r="105" spans="1:3">
      <c r="C105" s="162" t="s">
        <v>930</v>
      </c>
    </row>
    <row r="106" spans="1:3">
      <c r="C106" s="162" t="s">
        <v>931</v>
      </c>
    </row>
    <row r="107" spans="1:3">
      <c r="C107" s="162" t="s">
        <v>932</v>
      </c>
    </row>
    <row r="108" spans="1:3">
      <c r="C108" s="162" t="s">
        <v>937</v>
      </c>
    </row>
    <row r="110" spans="1:3">
      <c r="A110" s="100">
        <v>45364</v>
      </c>
      <c r="C110" s="162" t="s">
        <v>933</v>
      </c>
    </row>
    <row r="111" spans="1:3">
      <c r="C111" s="162" t="s">
        <v>934</v>
      </c>
    </row>
    <row r="113" spans="1:3">
      <c r="A113" s="100">
        <v>45365</v>
      </c>
      <c r="C113" s="162" t="s">
        <v>939</v>
      </c>
    </row>
    <row r="114" spans="1:3">
      <c r="C114" s="162" t="s">
        <v>940</v>
      </c>
    </row>
    <row r="115" spans="1:3">
      <c r="C115" s="162" t="s">
        <v>941</v>
      </c>
    </row>
    <row r="116" spans="1:3">
      <c r="C116" s="162" t="s">
        <v>942</v>
      </c>
    </row>
    <row r="118" spans="1:3">
      <c r="A118" s="100">
        <v>45366</v>
      </c>
      <c r="C118" s="162" t="s">
        <v>938</v>
      </c>
    </row>
    <row r="119" spans="1:3">
      <c r="C119" s="162" t="s">
        <v>943</v>
      </c>
    </row>
    <row r="120" spans="1:3">
      <c r="C120" t="s">
        <v>944</v>
      </c>
    </row>
    <row r="122" spans="1:3">
      <c r="A122" s="100">
        <v>45367</v>
      </c>
      <c r="C122" t="s">
        <v>952</v>
      </c>
    </row>
    <row r="123" spans="1:3">
      <c r="C123" t="s">
        <v>953</v>
      </c>
    </row>
    <row r="125" spans="1:3">
      <c r="A125" s="100">
        <v>45368</v>
      </c>
      <c r="C125" t="s">
        <v>954</v>
      </c>
    </row>
    <row r="126" spans="1:3">
      <c r="C126" t="s">
        <v>955</v>
      </c>
    </row>
    <row r="128" spans="1:3">
      <c r="A128" s="100">
        <v>45369</v>
      </c>
      <c r="C128" t="s">
        <v>956</v>
      </c>
    </row>
    <row r="129" spans="1:3">
      <c r="C129" t="s">
        <v>957</v>
      </c>
    </row>
    <row r="131" spans="1:3">
      <c r="A131" s="100">
        <v>45370</v>
      </c>
      <c r="C131" t="s">
        <v>958</v>
      </c>
    </row>
    <row r="132" spans="1:3">
      <c r="C132" t="s">
        <v>959</v>
      </c>
    </row>
    <row r="133" spans="1:3">
      <c r="A133" s="100">
        <v>45371</v>
      </c>
      <c r="C133" t="s">
        <v>960</v>
      </c>
    </row>
    <row r="134" spans="1:3">
      <c r="C134" t="s">
        <v>961</v>
      </c>
    </row>
    <row r="136" spans="1:3">
      <c r="A136" s="100">
        <v>45372</v>
      </c>
      <c r="C136" t="s">
        <v>962</v>
      </c>
    </row>
    <row r="137" spans="1:3">
      <c r="C137" t="s">
        <v>963</v>
      </c>
    </row>
    <row r="138" spans="1:3">
      <c r="C138" t="s">
        <v>964</v>
      </c>
    </row>
    <row r="139" spans="1:3">
      <c r="C139" t="s">
        <v>965</v>
      </c>
    </row>
    <row r="141" spans="1:3">
      <c r="A141" s="100">
        <v>45373</v>
      </c>
      <c r="C141" t="s">
        <v>966</v>
      </c>
    </row>
    <row r="142" spans="1:3">
      <c r="C142" t="s">
        <v>967</v>
      </c>
    </row>
    <row r="144" spans="1:3">
      <c r="A144" s="100">
        <v>45374</v>
      </c>
      <c r="C144" t="s">
        <v>968</v>
      </c>
    </row>
    <row r="145" spans="1:3">
      <c r="C145" t="s">
        <v>969</v>
      </c>
    </row>
    <row r="146" spans="1:3">
      <c r="C146" t="s">
        <v>970</v>
      </c>
    </row>
    <row r="148" spans="1:3">
      <c r="A148" s="100">
        <v>45375</v>
      </c>
      <c r="C148" t="s">
        <v>971</v>
      </c>
    </row>
    <row r="149" spans="1:3">
      <c r="C149" t="s">
        <v>972</v>
      </c>
    </row>
    <row r="150" spans="1:3">
      <c r="C150" t="s">
        <v>973</v>
      </c>
    </row>
    <row r="152" spans="1:3">
      <c r="A152" s="100">
        <v>45376</v>
      </c>
      <c r="C152" t="s">
        <v>974</v>
      </c>
    </row>
    <row r="153" spans="1:3">
      <c r="C153" t="s">
        <v>976</v>
      </c>
    </row>
    <row r="154" spans="1:3">
      <c r="C154" t="s">
        <v>975</v>
      </c>
    </row>
    <row r="156" spans="1:3">
      <c r="A156" s="100">
        <v>45377</v>
      </c>
      <c r="C156" t="s">
        <v>977</v>
      </c>
    </row>
    <row r="157" spans="1:3">
      <c r="C157" t="s">
        <v>978</v>
      </c>
    </row>
    <row r="159" spans="1:3">
      <c r="A159" s="100">
        <v>45378</v>
      </c>
      <c r="C159" t="s">
        <v>979</v>
      </c>
    </row>
    <row r="161" spans="1:3">
      <c r="A161" s="100">
        <v>45379</v>
      </c>
      <c r="C161" t="s">
        <v>980</v>
      </c>
    </row>
    <row r="162" spans="1:3">
      <c r="C162" t="s">
        <v>981</v>
      </c>
    </row>
    <row r="164" spans="1:3">
      <c r="A164" s="100">
        <v>45385</v>
      </c>
      <c r="C164" t="s">
        <v>991</v>
      </c>
    </row>
    <row r="165" spans="1:3">
      <c r="C165" t="s">
        <v>992</v>
      </c>
    </row>
    <row r="166" spans="1:3">
      <c r="C166"/>
    </row>
    <row r="167" spans="1:3">
      <c r="A167" s="100">
        <v>45386</v>
      </c>
      <c r="C167" t="s">
        <v>993</v>
      </c>
    </row>
    <row r="169" spans="1:3">
      <c r="A169" s="100">
        <v>45387</v>
      </c>
      <c r="C169" t="s">
        <v>994</v>
      </c>
    </row>
    <row r="171" spans="1:3">
      <c r="A171" s="100">
        <v>45388</v>
      </c>
      <c r="C171" t="s">
        <v>995</v>
      </c>
    </row>
    <row r="173" spans="1:3">
      <c r="A173" s="100">
        <v>45389</v>
      </c>
      <c r="C173" t="s">
        <v>996</v>
      </c>
    </row>
    <row r="175" spans="1:3">
      <c r="A175" s="100">
        <v>45390</v>
      </c>
      <c r="C175" t="s">
        <v>995</v>
      </c>
    </row>
    <row r="176" spans="1:3">
      <c r="C176" t="s">
        <v>997</v>
      </c>
    </row>
    <row r="177" spans="1:3">
      <c r="C177" t="s">
        <v>998</v>
      </c>
    </row>
    <row r="179" spans="1:3">
      <c r="A179" s="100">
        <v>45391</v>
      </c>
      <c r="C179" t="s">
        <v>999</v>
      </c>
    </row>
    <row r="180" spans="1:3">
      <c r="C180" t="s">
        <v>1000</v>
      </c>
    </row>
    <row r="181" spans="1:3">
      <c r="C181" t="s">
        <v>1001</v>
      </c>
    </row>
    <row r="182" spans="1:3">
      <c r="C182" t="s">
        <v>1002</v>
      </c>
    </row>
    <row r="184" spans="1:3">
      <c r="A184" s="100">
        <v>45392</v>
      </c>
      <c r="C184" t="s">
        <v>1003</v>
      </c>
    </row>
    <row r="185" spans="1:3">
      <c r="C185" t="s">
        <v>1004</v>
      </c>
    </row>
    <row r="187" spans="1:3">
      <c r="A187" s="100">
        <v>45393</v>
      </c>
      <c r="C187" t="s">
        <v>1005</v>
      </c>
    </row>
    <row r="188" spans="1:3">
      <c r="C188" t="s">
        <v>1006</v>
      </c>
    </row>
    <row r="190" spans="1:3">
      <c r="A190" s="100">
        <v>45394</v>
      </c>
      <c r="C190" t="s">
        <v>1007</v>
      </c>
    </row>
    <row r="191" spans="1:3">
      <c r="C191" s="162" t="s">
        <v>1008</v>
      </c>
    </row>
    <row r="192" spans="1:3">
      <c r="C192" t="s">
        <v>1009</v>
      </c>
    </row>
    <row r="193" spans="1:11">
      <c r="C193" t="s">
        <v>1000</v>
      </c>
    </row>
    <row r="195" spans="1:11">
      <c r="A195" s="100">
        <v>45395</v>
      </c>
      <c r="C195" t="s">
        <v>1010</v>
      </c>
    </row>
    <row r="196" spans="1:11">
      <c r="D196" t="s">
        <v>1011</v>
      </c>
    </row>
    <row r="197" spans="1:11">
      <c r="D197" t="s">
        <v>1012</v>
      </c>
    </row>
    <row r="198" spans="1:11">
      <c r="C198" t="s">
        <v>1013</v>
      </c>
    </row>
    <row r="199" spans="1:11">
      <c r="C199" t="s">
        <v>1014</v>
      </c>
    </row>
    <row r="201" spans="1:11">
      <c r="A201" s="100">
        <v>45396</v>
      </c>
      <c r="C201" t="s">
        <v>1015</v>
      </c>
    </row>
    <row r="202" spans="1:11">
      <c r="C202" t="s">
        <v>1016</v>
      </c>
    </row>
    <row r="203" spans="1:11">
      <c r="C203"/>
      <c r="D203" t="s">
        <v>1017</v>
      </c>
      <c r="K203" s="162"/>
    </row>
    <row r="204" spans="1:11">
      <c r="C204"/>
      <c r="D204" t="s">
        <v>1018</v>
      </c>
      <c r="K204" s="162"/>
    </row>
    <row r="205" spans="1:11">
      <c r="C205" t="s">
        <v>1019</v>
      </c>
    </row>
    <row r="206" spans="1:11">
      <c r="D206" t="s">
        <v>1020</v>
      </c>
    </row>
    <row r="207" spans="1:11">
      <c r="C207" t="s">
        <v>1021</v>
      </c>
    </row>
    <row r="208" spans="1:11">
      <c r="C208" t="s">
        <v>1022</v>
      </c>
    </row>
    <row r="209" spans="1:4">
      <c r="D209" t="s">
        <v>1023</v>
      </c>
    </row>
    <row r="210" spans="1:4">
      <c r="C210" t="s">
        <v>1024</v>
      </c>
    </row>
    <row r="211" spans="1:4">
      <c r="C211" t="s">
        <v>1025</v>
      </c>
    </row>
    <row r="212" spans="1:4">
      <c r="C212" t="s">
        <v>1026</v>
      </c>
    </row>
    <row r="213" spans="1:4">
      <c r="C213" t="s">
        <v>1027</v>
      </c>
    </row>
    <row r="214" spans="1:4">
      <c r="C214" t="s">
        <v>1028</v>
      </c>
    </row>
    <row r="216" spans="1:4">
      <c r="A216" s="100">
        <v>45397</v>
      </c>
      <c r="C216" t="s">
        <v>1029</v>
      </c>
    </row>
    <row r="217" spans="1:4">
      <c r="C217" t="s">
        <v>1030</v>
      </c>
    </row>
    <row r="218" spans="1:4">
      <c r="C218" t="s">
        <v>1031</v>
      </c>
    </row>
    <row r="220" spans="1:4">
      <c r="A220" s="100">
        <v>45398</v>
      </c>
      <c r="C220" t="s">
        <v>1032</v>
      </c>
    </row>
    <row r="221" spans="1:4">
      <c r="C221" t="s">
        <v>1033</v>
      </c>
    </row>
    <row r="222" spans="1:4">
      <c r="C222" t="s">
        <v>1034</v>
      </c>
    </row>
    <row r="224" spans="1:4">
      <c r="A224" s="100">
        <v>45399</v>
      </c>
      <c r="C224" t="s">
        <v>1035</v>
      </c>
    </row>
    <row r="225" spans="1:3">
      <c r="C225" t="s">
        <v>1036</v>
      </c>
    </row>
    <row r="227" spans="1:3">
      <c r="A227" s="100">
        <v>45400</v>
      </c>
      <c r="C227" t="s">
        <v>1037</v>
      </c>
    </row>
    <row r="228" spans="1:3">
      <c r="C228" t="s">
        <v>1038</v>
      </c>
    </row>
    <row r="230" spans="1:3">
      <c r="A230" s="100">
        <v>45401</v>
      </c>
      <c r="C230" t="s">
        <v>1039</v>
      </c>
    </row>
    <row r="231" spans="1:3">
      <c r="C231" t="s">
        <v>1040</v>
      </c>
    </row>
    <row r="232" spans="1:3">
      <c r="C232" t="s">
        <v>1041</v>
      </c>
    </row>
    <row r="234" spans="1:3">
      <c r="A234" s="100">
        <v>45402</v>
      </c>
      <c r="C234" t="s">
        <v>1042</v>
      </c>
    </row>
    <row r="235" spans="1:3">
      <c r="C235" t="s">
        <v>1043</v>
      </c>
    </row>
    <row r="236" spans="1:3">
      <c r="C236" t="s">
        <v>1044</v>
      </c>
    </row>
    <row r="238" spans="1:3">
      <c r="A238" s="100">
        <v>45403</v>
      </c>
      <c r="C238" t="s">
        <v>1045</v>
      </c>
    </row>
    <row r="239" spans="1:3">
      <c r="C239" t="s">
        <v>1046</v>
      </c>
    </row>
    <row r="241" spans="1:3">
      <c r="A241" s="100">
        <v>45404</v>
      </c>
      <c r="C241" t="s">
        <v>1056</v>
      </c>
    </row>
    <row r="243" spans="1:3">
      <c r="A243" s="100">
        <v>45405</v>
      </c>
      <c r="C243" t="s">
        <v>1057</v>
      </c>
    </row>
    <row r="244" spans="1:3">
      <c r="C244" t="s">
        <v>1058</v>
      </c>
    </row>
    <row r="246" spans="1:3">
      <c r="A246" s="100">
        <v>45406</v>
      </c>
      <c r="C246" t="s">
        <v>1059</v>
      </c>
    </row>
    <row r="247" spans="1:3">
      <c r="C247" t="s">
        <v>1060</v>
      </c>
    </row>
    <row r="249" spans="1:3">
      <c r="A249" s="100">
        <v>45407</v>
      </c>
      <c r="C249" t="s">
        <v>1061</v>
      </c>
    </row>
    <row r="250" spans="1:3">
      <c r="C250" t="s">
        <v>1062</v>
      </c>
    </row>
    <row r="251" spans="1:3">
      <c r="C251" t="s">
        <v>1063</v>
      </c>
    </row>
    <row r="253" spans="1:3">
      <c r="A253" s="100">
        <v>45408</v>
      </c>
      <c r="C253" t="s">
        <v>1064</v>
      </c>
    </row>
    <row r="254" spans="1:3">
      <c r="C254" t="s">
        <v>1062</v>
      </c>
    </row>
    <row r="256" spans="1:3">
      <c r="A256" s="100">
        <v>45409</v>
      </c>
      <c r="C256" t="s">
        <v>1000</v>
      </c>
    </row>
    <row r="257" spans="1:3">
      <c r="C257" t="s">
        <v>1065</v>
      </c>
    </row>
    <row r="258" spans="1:3">
      <c r="C258" t="s">
        <v>1062</v>
      </c>
    </row>
    <row r="260" spans="1:3">
      <c r="A260" s="100">
        <v>45410</v>
      </c>
      <c r="C260" t="s">
        <v>1066</v>
      </c>
    </row>
    <row r="261" spans="1:3">
      <c r="C261" t="s">
        <v>1067</v>
      </c>
    </row>
    <row r="262" spans="1:3">
      <c r="C262" t="s">
        <v>1058</v>
      </c>
    </row>
    <row r="264" spans="1:3">
      <c r="A264" s="100">
        <v>45411</v>
      </c>
      <c r="C264" t="s">
        <v>1068</v>
      </c>
    </row>
    <row r="265" spans="1:3">
      <c r="C265" t="s">
        <v>1063</v>
      </c>
    </row>
    <row r="266" spans="1:3">
      <c r="C266" t="s">
        <v>1069</v>
      </c>
    </row>
    <row r="268" spans="1:3">
      <c r="A268" s="100">
        <v>45412</v>
      </c>
      <c r="C268" t="s">
        <v>1070</v>
      </c>
    </row>
    <row r="269" spans="1:3">
      <c r="C269" t="s">
        <v>1071</v>
      </c>
    </row>
    <row r="270" spans="1:3">
      <c r="C270" t="s">
        <v>1057</v>
      </c>
    </row>
    <row r="271" spans="1:3">
      <c r="C271" t="s">
        <v>1072</v>
      </c>
    </row>
    <row r="273" spans="1:3">
      <c r="A273" s="100">
        <v>45413</v>
      </c>
      <c r="C273" t="s">
        <v>1057</v>
      </c>
    </row>
    <row r="274" spans="1:3">
      <c r="C274" t="s">
        <v>1073</v>
      </c>
    </row>
    <row r="275" spans="1:3">
      <c r="C275" t="s">
        <v>1074</v>
      </c>
    </row>
    <row r="277" spans="1:3">
      <c r="A277" s="100">
        <v>45414</v>
      </c>
      <c r="C277" t="s">
        <v>1075</v>
      </c>
    </row>
    <row r="278" spans="1:3">
      <c r="C278" t="s">
        <v>1076</v>
      </c>
    </row>
    <row r="279" spans="1:3">
      <c r="C279" t="s">
        <v>1077</v>
      </c>
    </row>
    <row r="280" spans="1:3">
      <c r="C280" t="s">
        <v>1000</v>
      </c>
    </row>
    <row r="281" spans="1:3">
      <c r="C281" t="s">
        <v>1078</v>
      </c>
    </row>
    <row r="283" spans="1:3">
      <c r="A283" s="100">
        <v>45415</v>
      </c>
      <c r="C283" t="s">
        <v>1079</v>
      </c>
    </row>
    <row r="284" spans="1:3">
      <c r="C284" t="s">
        <v>1080</v>
      </c>
    </row>
    <row r="285" spans="1:3">
      <c r="C285" t="s">
        <v>1081</v>
      </c>
    </row>
    <row r="287" spans="1:3">
      <c r="A287" s="100">
        <v>45416</v>
      </c>
      <c r="C287" t="s">
        <v>1056</v>
      </c>
    </row>
    <row r="289" spans="1:3">
      <c r="A289" s="100">
        <v>45417</v>
      </c>
      <c r="C289" t="s">
        <v>1082</v>
      </c>
    </row>
    <row r="290" spans="1:3">
      <c r="C290" t="s">
        <v>1000</v>
      </c>
    </row>
    <row r="292" spans="1:3">
      <c r="A292" s="100">
        <v>45418</v>
      </c>
      <c r="C292" t="s">
        <v>1083</v>
      </c>
    </row>
    <row r="293" spans="1:3">
      <c r="C293" t="s">
        <v>1084</v>
      </c>
    </row>
    <row r="295" spans="1:3">
      <c r="A295" s="100">
        <v>45419</v>
      </c>
      <c r="C295" t="s">
        <v>1085</v>
      </c>
    </row>
    <row r="296" spans="1:3">
      <c r="C296" t="s">
        <v>1086</v>
      </c>
    </row>
    <row r="298" spans="1:3">
      <c r="A298" s="100">
        <v>45420</v>
      </c>
      <c r="C298" t="s">
        <v>1087</v>
      </c>
    </row>
    <row r="299" spans="1:3">
      <c r="C299" t="s">
        <v>1088</v>
      </c>
    </row>
    <row r="300" spans="1:3">
      <c r="C300" t="s">
        <v>1089</v>
      </c>
    </row>
    <row r="301" spans="1:3">
      <c r="C301" t="s">
        <v>1090</v>
      </c>
    </row>
    <row r="303" spans="1:3">
      <c r="A303" s="100">
        <v>45421</v>
      </c>
      <c r="C303" t="s">
        <v>1063</v>
      </c>
    </row>
    <row r="304" spans="1:3">
      <c r="C304" t="s">
        <v>1091</v>
      </c>
    </row>
    <row r="305" spans="1:4">
      <c r="C305" t="s">
        <v>1092</v>
      </c>
    </row>
    <row r="307" spans="1:4">
      <c r="A307" s="100">
        <v>45422</v>
      </c>
      <c r="C307" t="s">
        <v>1063</v>
      </c>
    </row>
    <row r="308" spans="1:4">
      <c r="C308" t="s">
        <v>1093</v>
      </c>
    </row>
    <row r="309" spans="1:4">
      <c r="C309" t="s">
        <v>1062</v>
      </c>
    </row>
    <row r="310" spans="1:4">
      <c r="C310" t="s">
        <v>1094</v>
      </c>
    </row>
    <row r="312" spans="1:4">
      <c r="A312" s="100">
        <v>45423</v>
      </c>
      <c r="C312" t="s">
        <v>1063</v>
      </c>
    </row>
    <row r="313" spans="1:4">
      <c r="C313" t="s">
        <v>1000</v>
      </c>
    </row>
    <row r="314" spans="1:4">
      <c r="C314" t="s">
        <v>1095</v>
      </c>
    </row>
    <row r="315" spans="1:4">
      <c r="D315" t="s">
        <v>1096</v>
      </c>
    </row>
    <row r="316" spans="1:4">
      <c r="D316" t="s">
        <v>1097</v>
      </c>
    </row>
    <row r="318" spans="1:4">
      <c r="A318" s="100">
        <v>45424</v>
      </c>
      <c r="C318" t="s">
        <v>1057</v>
      </c>
    </row>
    <row r="319" spans="1:4">
      <c r="C319" t="s">
        <v>1098</v>
      </c>
    </row>
    <row r="320" spans="1:4">
      <c r="C320" t="s">
        <v>1062</v>
      </c>
    </row>
    <row r="322" spans="1:3">
      <c r="A322" s="100">
        <v>45425</v>
      </c>
      <c r="C322" t="s">
        <v>1063</v>
      </c>
    </row>
    <row r="323" spans="1:3">
      <c r="C323" t="s">
        <v>1000</v>
      </c>
    </row>
    <row r="324" spans="1:3">
      <c r="C324" t="s">
        <v>1103</v>
      </c>
    </row>
    <row r="326" spans="1:3">
      <c r="A326" s="100">
        <v>45426</v>
      </c>
      <c r="C326" t="s">
        <v>1058</v>
      </c>
    </row>
    <row r="327" spans="1:3">
      <c r="C327" t="s">
        <v>1063</v>
      </c>
    </row>
    <row r="329" spans="1:3">
      <c r="A329" s="100">
        <v>45427</v>
      </c>
      <c r="C329" t="s">
        <v>1104</v>
      </c>
    </row>
    <row r="330" spans="1:3">
      <c r="C330" t="s">
        <v>1063</v>
      </c>
    </row>
    <row r="331" spans="1:3">
      <c r="C331" t="s">
        <v>1000</v>
      </c>
    </row>
    <row r="333" spans="1:3">
      <c r="A333" s="100">
        <v>45428</v>
      </c>
      <c r="C333" t="s">
        <v>1058</v>
      </c>
    </row>
    <row r="334" spans="1:3">
      <c r="C334" t="s">
        <v>1063</v>
      </c>
    </row>
    <row r="335" spans="1:3">
      <c r="C335" t="s">
        <v>1000</v>
      </c>
    </row>
    <row r="336" spans="1:3">
      <c r="C336" t="s">
        <v>939</v>
      </c>
    </row>
    <row r="338" spans="1:4">
      <c r="A338" s="100">
        <v>45429</v>
      </c>
      <c r="C338" t="s">
        <v>1063</v>
      </c>
    </row>
    <row r="339" spans="1:4">
      <c r="C339" t="s">
        <v>1000</v>
      </c>
    </row>
    <row r="341" spans="1:4">
      <c r="A341" s="100">
        <v>45430</v>
      </c>
      <c r="C341" t="s">
        <v>1105</v>
      </c>
    </row>
    <row r="342" spans="1:4">
      <c r="C342" t="s">
        <v>1000</v>
      </c>
    </row>
    <row r="344" spans="1:4">
      <c r="A344" s="100">
        <v>45431</v>
      </c>
      <c r="B344" s="100"/>
      <c r="C344" t="s">
        <v>1106</v>
      </c>
    </row>
    <row r="345" spans="1:4">
      <c r="C345" t="s">
        <v>1079</v>
      </c>
    </row>
    <row r="347" spans="1:4">
      <c r="A347" s="100">
        <v>45432</v>
      </c>
      <c r="C347" t="s">
        <v>1062</v>
      </c>
    </row>
    <row r="348" spans="1:4">
      <c r="C348" t="s">
        <v>1107</v>
      </c>
    </row>
    <row r="349" spans="1:4">
      <c r="D349" t="s">
        <v>1108</v>
      </c>
    </row>
    <row r="350" spans="1:4">
      <c r="D350" t="s">
        <v>1109</v>
      </c>
    </row>
    <row r="351" spans="1:4">
      <c r="C351" t="s">
        <v>1106</v>
      </c>
    </row>
    <row r="352" spans="1:4">
      <c r="C352" t="s">
        <v>1079</v>
      </c>
    </row>
    <row r="354" spans="1:3">
      <c r="A354" s="100">
        <v>45433</v>
      </c>
      <c r="C354" t="s">
        <v>1110</v>
      </c>
    </row>
    <row r="355" spans="1:3">
      <c r="C355" t="s">
        <v>919</v>
      </c>
    </row>
    <row r="357" spans="1:3">
      <c r="A357" s="100">
        <v>45434</v>
      </c>
      <c r="C357" t="s">
        <v>1106</v>
      </c>
    </row>
    <row r="358" spans="1:3">
      <c r="C358" t="s">
        <v>1079</v>
      </c>
    </row>
    <row r="359" spans="1:3">
      <c r="C359" t="s">
        <v>1111</v>
      </c>
    </row>
    <row r="360" spans="1:3">
      <c r="C360" t="s">
        <v>1112</v>
      </c>
    </row>
    <row r="362" spans="1:3">
      <c r="A362" s="100">
        <v>45435</v>
      </c>
      <c r="C362" t="s">
        <v>919</v>
      </c>
    </row>
    <row r="363" spans="1:3">
      <c r="C363" t="s">
        <v>1079</v>
      </c>
    </row>
    <row r="364" spans="1:3">
      <c r="C364" t="s">
        <v>1113</v>
      </c>
    </row>
    <row r="366" spans="1:3">
      <c r="A366" s="100">
        <v>45436</v>
      </c>
      <c r="C366" t="s">
        <v>919</v>
      </c>
    </row>
    <row r="367" spans="1:3">
      <c r="C367" t="s">
        <v>1000</v>
      </c>
    </row>
    <row r="368" spans="1:3">
      <c r="C368" t="s">
        <v>1114</v>
      </c>
    </row>
    <row r="370" spans="1:3">
      <c r="A370" s="100">
        <v>45437</v>
      </c>
      <c r="C370" t="s">
        <v>1115</v>
      </c>
    </row>
    <row r="371" spans="1:3">
      <c r="C371" t="s">
        <v>1079</v>
      </c>
    </row>
    <row r="372" spans="1:3">
      <c r="C372" t="s">
        <v>1116</v>
      </c>
    </row>
    <row r="374" spans="1:3">
      <c r="A374" s="100">
        <v>45438</v>
      </c>
      <c r="C374" t="s">
        <v>1117</v>
      </c>
    </row>
    <row r="375" spans="1:3">
      <c r="C375" t="s">
        <v>1106</v>
      </c>
    </row>
    <row r="376" spans="1:3">
      <c r="C376" t="s">
        <v>1079</v>
      </c>
    </row>
    <row r="378" spans="1:3">
      <c r="A378" s="100">
        <v>45439</v>
      </c>
      <c r="C378" t="s">
        <v>1118</v>
      </c>
    </row>
    <row r="379" spans="1:3">
      <c r="C379" t="s">
        <v>1106</v>
      </c>
    </row>
    <row r="380" spans="1:3">
      <c r="C380" t="s">
        <v>1119</v>
      </c>
    </row>
    <row r="382" spans="1:3">
      <c r="A382" s="100">
        <v>45440</v>
      </c>
      <c r="C382" t="s">
        <v>1120</v>
      </c>
    </row>
    <row r="383" spans="1:3">
      <c r="C383" t="s">
        <v>1106</v>
      </c>
    </row>
    <row r="384" spans="1:3">
      <c r="C384" t="s">
        <v>1121</v>
      </c>
    </row>
    <row r="386" spans="1:3">
      <c r="A386" s="100">
        <v>45441</v>
      </c>
      <c r="C386" t="s">
        <v>1122</v>
      </c>
    </row>
    <row r="387" spans="1:3">
      <c r="C387" t="s">
        <v>1123</v>
      </c>
    </row>
    <row r="388" spans="1:3">
      <c r="C388" t="s">
        <v>1124</v>
      </c>
    </row>
    <row r="390" spans="1:3">
      <c r="A390" s="100">
        <v>45442</v>
      </c>
      <c r="C390" t="s">
        <v>1125</v>
      </c>
    </row>
    <row r="392" spans="1:3">
      <c r="A392" s="100">
        <v>45443</v>
      </c>
      <c r="C392" t="s">
        <v>1126</v>
      </c>
    </row>
    <row r="393" spans="1:3">
      <c r="C393" t="s">
        <v>1127</v>
      </c>
    </row>
    <row r="394" spans="1:3">
      <c r="C394" t="s">
        <v>1128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782C-987B-4C3F-BEF1-C0898011E961}">
  <dimension ref="A1:M649"/>
  <sheetViews>
    <sheetView zoomScaleNormal="100" workbookViewId="0">
      <selection activeCell="B1" sqref="B1"/>
    </sheetView>
  </sheetViews>
  <sheetFormatPr defaultRowHeight="14.5"/>
  <cols>
    <col min="1" max="1" width="5.453125" bestFit="1" customWidth="1"/>
    <col min="2" max="2" width="8.54296875" style="38" bestFit="1" customWidth="1"/>
    <col min="3" max="3" width="4" style="38" bestFit="1" customWidth="1"/>
    <col min="4" max="4" width="5.26953125" style="38" bestFit="1" customWidth="1"/>
    <col min="5" max="5" width="8.54296875" style="38"/>
    <col min="6" max="6" width="3.54296875" style="38" bestFit="1" customWidth="1"/>
    <col min="7" max="7" width="9.26953125" style="38" bestFit="1" customWidth="1"/>
    <col min="8" max="8" width="12.453125" style="38" bestFit="1" customWidth="1"/>
    <col min="9" max="9" width="21.54296875" style="38" bestFit="1" customWidth="1"/>
    <col min="10" max="10" width="8.54296875" style="38"/>
  </cols>
  <sheetData>
    <row r="1" spans="1:10">
      <c r="A1" s="39" t="s">
        <v>99</v>
      </c>
      <c r="B1" s="39" t="s">
        <v>757</v>
      </c>
      <c r="C1" s="39" t="s">
        <v>106</v>
      </c>
      <c r="D1" s="39" t="s">
        <v>100</v>
      </c>
      <c r="E1" s="39" t="s">
        <v>104</v>
      </c>
      <c r="F1" s="39" t="s">
        <v>103</v>
      </c>
      <c r="G1" s="39" t="s">
        <v>758</v>
      </c>
      <c r="H1" s="39" t="s">
        <v>755</v>
      </c>
      <c r="I1" s="39" t="s">
        <v>756</v>
      </c>
      <c r="J1" s="40" t="s">
        <v>129</v>
      </c>
    </row>
    <row r="2" spans="1:10">
      <c r="A2" s="38" t="s">
        <v>105</v>
      </c>
      <c r="B2" s="38">
        <v>73</v>
      </c>
      <c r="C2" s="38">
        <v>1</v>
      </c>
      <c r="D2" s="38">
        <v>5</v>
      </c>
      <c r="E2" s="38">
        <v>11</v>
      </c>
      <c r="F2" s="38">
        <v>1.1000000000000001</v>
      </c>
      <c r="G2" s="38" t="s">
        <v>273</v>
      </c>
      <c r="H2" s="38" t="s">
        <v>131</v>
      </c>
      <c r="I2" s="38" t="s">
        <v>274</v>
      </c>
      <c r="J2" s="41" t="s">
        <v>133</v>
      </c>
    </row>
    <row r="3" spans="1:10">
      <c r="A3" s="38" t="s">
        <v>105</v>
      </c>
      <c r="B3" s="38">
        <v>73</v>
      </c>
      <c r="C3" s="38">
        <v>2</v>
      </c>
      <c r="D3" s="38">
        <v>32</v>
      </c>
      <c r="E3" s="38">
        <v>18</v>
      </c>
      <c r="F3" s="38">
        <v>1.1000000000000001</v>
      </c>
      <c r="G3" s="38" t="s">
        <v>273</v>
      </c>
      <c r="H3" s="38" t="s">
        <v>131</v>
      </c>
      <c r="I3" s="38" t="s">
        <v>274</v>
      </c>
      <c r="J3" s="41" t="s">
        <v>133</v>
      </c>
    </row>
    <row r="4" spans="1:10">
      <c r="A4" s="38" t="s">
        <v>105</v>
      </c>
      <c r="B4" s="38">
        <v>74</v>
      </c>
      <c r="C4" s="38">
        <v>1</v>
      </c>
      <c r="D4" s="38">
        <v>5</v>
      </c>
      <c r="E4" s="38">
        <v>4</v>
      </c>
      <c r="F4" s="38">
        <v>1.1000000000000001</v>
      </c>
      <c r="G4" s="38" t="s">
        <v>275</v>
      </c>
      <c r="H4" s="38" t="s">
        <v>131</v>
      </c>
      <c r="I4" s="38" t="s">
        <v>276</v>
      </c>
      <c r="J4" s="41" t="s">
        <v>133</v>
      </c>
    </row>
    <row r="5" spans="1:10">
      <c r="A5" s="38" t="s">
        <v>105</v>
      </c>
      <c r="B5" s="38">
        <v>74</v>
      </c>
      <c r="C5" s="38">
        <v>2</v>
      </c>
      <c r="D5" s="38">
        <v>31</v>
      </c>
      <c r="E5" s="38">
        <v>12</v>
      </c>
      <c r="F5" s="38">
        <v>1.1000000000000001</v>
      </c>
      <c r="G5" s="38" t="s">
        <v>275</v>
      </c>
      <c r="H5" s="38" t="s">
        <v>131</v>
      </c>
      <c r="I5" s="38" t="s">
        <v>276</v>
      </c>
      <c r="J5" s="41" t="s">
        <v>133</v>
      </c>
    </row>
    <row r="6" spans="1:10">
      <c r="A6" s="38" t="s">
        <v>105</v>
      </c>
      <c r="B6" s="38">
        <v>75</v>
      </c>
      <c r="C6" s="38">
        <v>1</v>
      </c>
      <c r="D6" s="38">
        <v>5</v>
      </c>
      <c r="E6" s="38">
        <v>3</v>
      </c>
      <c r="F6" s="38">
        <v>1.1000000000000001</v>
      </c>
      <c r="G6" s="38" t="s">
        <v>277</v>
      </c>
      <c r="H6" s="38" t="s">
        <v>131</v>
      </c>
      <c r="I6" s="38" t="s">
        <v>278</v>
      </c>
      <c r="J6" s="41" t="s">
        <v>133</v>
      </c>
    </row>
    <row r="7" spans="1:10">
      <c r="A7" s="38" t="s">
        <v>105</v>
      </c>
      <c r="B7" s="38">
        <v>75</v>
      </c>
      <c r="C7" s="38">
        <v>2</v>
      </c>
      <c r="D7" s="38">
        <v>36</v>
      </c>
      <c r="E7" s="38">
        <v>11</v>
      </c>
      <c r="F7" s="38">
        <v>1.1000000000000001</v>
      </c>
      <c r="G7" s="38" t="s">
        <v>277</v>
      </c>
      <c r="H7" s="38" t="s">
        <v>131</v>
      </c>
      <c r="I7" s="38" t="s">
        <v>278</v>
      </c>
      <c r="J7" s="41" t="s">
        <v>133</v>
      </c>
    </row>
    <row r="8" spans="1:10">
      <c r="A8" s="38" t="s">
        <v>105</v>
      </c>
      <c r="B8" s="38">
        <v>76</v>
      </c>
      <c r="C8" s="38">
        <v>1</v>
      </c>
      <c r="D8" s="38">
        <v>5</v>
      </c>
      <c r="E8" s="38">
        <v>9</v>
      </c>
      <c r="F8" s="38">
        <v>1.1000000000000001</v>
      </c>
      <c r="G8" s="38" t="s">
        <v>279</v>
      </c>
      <c r="H8" s="38" t="s">
        <v>131</v>
      </c>
      <c r="I8" s="38" t="s">
        <v>280</v>
      </c>
      <c r="J8" s="41" t="s">
        <v>133</v>
      </c>
    </row>
    <row r="9" spans="1:10">
      <c r="A9" s="38" t="s">
        <v>105</v>
      </c>
      <c r="B9" s="38">
        <v>76</v>
      </c>
      <c r="C9" s="38">
        <v>2</v>
      </c>
      <c r="D9" s="38">
        <v>26</v>
      </c>
      <c r="E9" s="38">
        <v>18</v>
      </c>
      <c r="F9" s="38">
        <v>1.1000000000000001</v>
      </c>
      <c r="G9" s="38" t="s">
        <v>279</v>
      </c>
      <c r="H9" s="38" t="s">
        <v>131</v>
      </c>
      <c r="I9" s="38" t="s">
        <v>280</v>
      </c>
      <c r="J9" s="41" t="s">
        <v>133</v>
      </c>
    </row>
    <row r="10" spans="1:10">
      <c r="A10" s="38" t="s">
        <v>105</v>
      </c>
      <c r="B10" s="38">
        <v>77</v>
      </c>
      <c r="C10" s="38">
        <v>1</v>
      </c>
      <c r="D10" s="38">
        <v>5</v>
      </c>
      <c r="E10" s="38">
        <v>18</v>
      </c>
      <c r="F10" s="38">
        <v>1.1000000000000001</v>
      </c>
      <c r="G10" s="38" t="s">
        <v>281</v>
      </c>
      <c r="H10" s="38" t="s">
        <v>131</v>
      </c>
      <c r="I10" s="38" t="s">
        <v>282</v>
      </c>
      <c r="J10" s="41" t="s">
        <v>133</v>
      </c>
    </row>
    <row r="11" spans="1:10">
      <c r="A11" s="38" t="s">
        <v>105</v>
      </c>
      <c r="B11" s="38">
        <v>77</v>
      </c>
      <c r="C11" s="38">
        <v>2</v>
      </c>
      <c r="D11" s="38">
        <v>28</v>
      </c>
      <c r="E11" s="38">
        <v>2</v>
      </c>
      <c r="F11" s="38">
        <v>1.1000000000000001</v>
      </c>
      <c r="G11" s="38" t="s">
        <v>281</v>
      </c>
      <c r="H11" s="38" t="s">
        <v>131</v>
      </c>
      <c r="I11" s="38" t="s">
        <v>282</v>
      </c>
      <c r="J11" s="41" t="s">
        <v>133</v>
      </c>
    </row>
    <row r="12" spans="1:10">
      <c r="A12" s="38" t="s">
        <v>105</v>
      </c>
      <c r="B12" s="38">
        <v>78</v>
      </c>
      <c r="C12" s="38">
        <v>1</v>
      </c>
      <c r="D12" s="38">
        <v>5</v>
      </c>
      <c r="E12" s="38">
        <v>7</v>
      </c>
      <c r="F12" s="38">
        <v>1.1000000000000001</v>
      </c>
      <c r="G12" s="38" t="s">
        <v>283</v>
      </c>
      <c r="H12" s="38" t="s">
        <v>131</v>
      </c>
      <c r="I12" s="38" t="s">
        <v>284</v>
      </c>
      <c r="J12" s="41" t="s">
        <v>133</v>
      </c>
    </row>
    <row r="13" spans="1:10">
      <c r="A13" s="38" t="s">
        <v>105</v>
      </c>
      <c r="B13" s="38">
        <v>78</v>
      </c>
      <c r="C13" s="38">
        <v>2</v>
      </c>
      <c r="D13" s="38">
        <v>24</v>
      </c>
      <c r="E13" s="38">
        <v>4</v>
      </c>
      <c r="F13" s="38">
        <v>1.1000000000000001</v>
      </c>
      <c r="G13" s="38" t="s">
        <v>283</v>
      </c>
      <c r="H13" s="38" t="s">
        <v>131</v>
      </c>
      <c r="I13" s="38" t="s">
        <v>284</v>
      </c>
      <c r="J13" s="41" t="s">
        <v>133</v>
      </c>
    </row>
    <row r="14" spans="1:10">
      <c r="A14" s="38" t="s">
        <v>105</v>
      </c>
      <c r="B14" s="38">
        <v>79</v>
      </c>
      <c r="C14" s="38">
        <v>1</v>
      </c>
      <c r="D14" s="38">
        <v>5</v>
      </c>
      <c r="E14" s="38">
        <v>12</v>
      </c>
      <c r="F14" s="38">
        <v>1.1000000000000001</v>
      </c>
      <c r="G14" s="38" t="s">
        <v>285</v>
      </c>
      <c r="H14" s="38" t="s">
        <v>131</v>
      </c>
      <c r="I14" s="38" t="s">
        <v>286</v>
      </c>
      <c r="J14" s="41" t="s">
        <v>133</v>
      </c>
    </row>
    <row r="15" spans="1:10">
      <c r="A15" s="38" t="s">
        <v>105</v>
      </c>
      <c r="B15" s="38">
        <v>79</v>
      </c>
      <c r="C15" s="38">
        <v>2</v>
      </c>
      <c r="D15" s="38">
        <v>19</v>
      </c>
      <c r="E15" s="38">
        <v>5</v>
      </c>
      <c r="F15" s="38">
        <v>1.1000000000000001</v>
      </c>
      <c r="G15" s="38" t="s">
        <v>285</v>
      </c>
      <c r="H15" s="38" t="s">
        <v>131</v>
      </c>
      <c r="I15" s="38" t="s">
        <v>286</v>
      </c>
      <c r="J15" s="41" t="s">
        <v>133</v>
      </c>
    </row>
    <row r="16" spans="1:10">
      <c r="A16" s="38" t="s">
        <v>105</v>
      </c>
      <c r="B16" s="38">
        <v>80</v>
      </c>
      <c r="C16" s="38">
        <v>1</v>
      </c>
      <c r="D16" s="38">
        <v>5</v>
      </c>
      <c r="E16" s="38">
        <v>17</v>
      </c>
      <c r="F16" s="38">
        <v>1.1000000000000001</v>
      </c>
      <c r="G16" s="38" t="s">
        <v>287</v>
      </c>
      <c r="H16" s="38" t="s">
        <v>131</v>
      </c>
      <c r="I16" s="38" t="s">
        <v>288</v>
      </c>
      <c r="J16" s="41" t="s">
        <v>133</v>
      </c>
    </row>
    <row r="17" spans="1:10">
      <c r="A17" s="38" t="s">
        <v>105</v>
      </c>
      <c r="B17" s="38">
        <v>80</v>
      </c>
      <c r="C17" s="38">
        <v>2</v>
      </c>
      <c r="D17" s="38">
        <v>27</v>
      </c>
      <c r="E17" s="38">
        <v>13</v>
      </c>
      <c r="F17" s="38">
        <v>1.1000000000000001</v>
      </c>
      <c r="G17" s="38" t="s">
        <v>287</v>
      </c>
      <c r="H17" s="38" t="s">
        <v>131</v>
      </c>
      <c r="I17" s="38" t="s">
        <v>288</v>
      </c>
      <c r="J17" s="41" t="s">
        <v>133</v>
      </c>
    </row>
    <row r="18" spans="1:10">
      <c r="A18" s="38" t="s">
        <v>105</v>
      </c>
      <c r="B18" s="38">
        <v>81</v>
      </c>
      <c r="C18" s="38">
        <v>1</v>
      </c>
      <c r="D18" s="38">
        <v>5</v>
      </c>
      <c r="E18" s="38">
        <v>5</v>
      </c>
      <c r="F18" s="38">
        <v>1.1000000000000001</v>
      </c>
      <c r="G18" s="38" t="s">
        <v>289</v>
      </c>
      <c r="H18" s="38" t="s">
        <v>131</v>
      </c>
      <c r="I18" s="38" t="s">
        <v>290</v>
      </c>
      <c r="J18" s="41" t="s">
        <v>133</v>
      </c>
    </row>
    <row r="19" spans="1:10">
      <c r="A19" s="38" t="s">
        <v>105</v>
      </c>
      <c r="B19" s="38">
        <v>81</v>
      </c>
      <c r="C19" s="38">
        <v>2</v>
      </c>
      <c r="D19" s="38">
        <v>21</v>
      </c>
      <c r="E19" s="38">
        <v>9</v>
      </c>
      <c r="F19" s="38">
        <v>1.1000000000000001</v>
      </c>
      <c r="G19" s="38" t="s">
        <v>289</v>
      </c>
      <c r="H19" s="38" t="s">
        <v>131</v>
      </c>
      <c r="I19" s="38" t="s">
        <v>290</v>
      </c>
      <c r="J19" s="41" t="s">
        <v>133</v>
      </c>
    </row>
    <row r="20" spans="1:10">
      <c r="A20" s="38" t="s">
        <v>105</v>
      </c>
      <c r="B20" s="38">
        <v>82</v>
      </c>
      <c r="C20" s="38">
        <v>1</v>
      </c>
      <c r="D20" s="38">
        <v>5</v>
      </c>
      <c r="E20" s="38">
        <v>6</v>
      </c>
      <c r="F20" s="38">
        <v>1.1000000000000001</v>
      </c>
      <c r="G20" s="38" t="s">
        <v>291</v>
      </c>
      <c r="H20" s="38" t="s">
        <v>131</v>
      </c>
      <c r="I20" s="38" t="s">
        <v>292</v>
      </c>
      <c r="J20" s="41" t="s">
        <v>133</v>
      </c>
    </row>
    <row r="21" spans="1:10">
      <c r="A21" s="38" t="s">
        <v>105</v>
      </c>
      <c r="B21" s="38">
        <v>82</v>
      </c>
      <c r="C21" s="38">
        <v>2</v>
      </c>
      <c r="D21" s="38">
        <v>22</v>
      </c>
      <c r="E21">
        <v>12</v>
      </c>
      <c r="F21" s="38">
        <v>1.1000000000000001</v>
      </c>
      <c r="G21" s="38" t="s">
        <v>291</v>
      </c>
      <c r="H21" s="38" t="s">
        <v>131</v>
      </c>
      <c r="I21" s="38" t="s">
        <v>292</v>
      </c>
      <c r="J21" s="41" t="s">
        <v>133</v>
      </c>
    </row>
    <row r="22" spans="1:10">
      <c r="A22" s="38" t="s">
        <v>105</v>
      </c>
      <c r="B22" s="38">
        <v>83</v>
      </c>
      <c r="C22" s="38">
        <v>1</v>
      </c>
      <c r="D22" s="38">
        <v>5</v>
      </c>
      <c r="E22" s="38">
        <v>15</v>
      </c>
      <c r="F22" s="38">
        <v>1.1000000000000001</v>
      </c>
      <c r="G22" s="38" t="s">
        <v>293</v>
      </c>
      <c r="H22" s="38" t="s">
        <v>131</v>
      </c>
      <c r="I22" s="38" t="s">
        <v>294</v>
      </c>
      <c r="J22" s="41" t="s">
        <v>133</v>
      </c>
    </row>
    <row r="23" spans="1:10">
      <c r="A23" s="38" t="s">
        <v>105</v>
      </c>
      <c r="B23" s="38">
        <v>83</v>
      </c>
      <c r="C23" s="38">
        <v>2</v>
      </c>
      <c r="D23" s="38">
        <v>33</v>
      </c>
      <c r="E23" s="38">
        <v>7</v>
      </c>
      <c r="F23" s="38">
        <v>1.1000000000000001</v>
      </c>
      <c r="G23" s="38" t="s">
        <v>293</v>
      </c>
      <c r="H23" s="38" t="s">
        <v>131</v>
      </c>
      <c r="I23" s="38" t="s">
        <v>294</v>
      </c>
      <c r="J23" s="41" t="s">
        <v>133</v>
      </c>
    </row>
    <row r="24" spans="1:10">
      <c r="A24" s="38" t="s">
        <v>105</v>
      </c>
      <c r="B24" s="38">
        <v>84</v>
      </c>
      <c r="C24" s="38">
        <v>1</v>
      </c>
      <c r="D24" s="38">
        <v>5</v>
      </c>
      <c r="E24" s="38">
        <v>16</v>
      </c>
      <c r="F24" s="38">
        <v>1.1000000000000001</v>
      </c>
      <c r="G24" s="38" t="s">
        <v>295</v>
      </c>
      <c r="H24" s="38" t="s">
        <v>131</v>
      </c>
      <c r="I24" s="38" t="s">
        <v>296</v>
      </c>
      <c r="J24" s="41" t="s">
        <v>133</v>
      </c>
    </row>
    <row r="25" spans="1:10">
      <c r="A25" s="38" t="s">
        <v>105</v>
      </c>
      <c r="B25" s="38">
        <v>84</v>
      </c>
      <c r="C25" s="38">
        <v>2</v>
      </c>
      <c r="D25" s="38">
        <v>20</v>
      </c>
      <c r="E25" s="38">
        <v>6</v>
      </c>
      <c r="F25" s="38">
        <v>1.1000000000000001</v>
      </c>
      <c r="G25" s="38" t="s">
        <v>295</v>
      </c>
      <c r="H25" s="38" t="s">
        <v>131</v>
      </c>
      <c r="I25" s="38" t="s">
        <v>296</v>
      </c>
      <c r="J25" s="41" t="s">
        <v>133</v>
      </c>
    </row>
    <row r="26" spans="1:10">
      <c r="A26" s="38" t="s">
        <v>105</v>
      </c>
      <c r="B26" s="38">
        <v>85</v>
      </c>
      <c r="C26" s="38">
        <v>1</v>
      </c>
      <c r="D26" s="38">
        <v>5</v>
      </c>
      <c r="E26" s="38">
        <v>1</v>
      </c>
      <c r="F26" s="38">
        <v>1.1000000000000001</v>
      </c>
      <c r="G26" s="38" t="s">
        <v>297</v>
      </c>
      <c r="H26" s="38" t="s">
        <v>131</v>
      </c>
      <c r="I26" s="38" t="s">
        <v>298</v>
      </c>
      <c r="J26" s="41" t="s">
        <v>133</v>
      </c>
    </row>
    <row r="27" spans="1:10">
      <c r="A27" s="38" t="s">
        <v>105</v>
      </c>
      <c r="B27" s="38">
        <v>85</v>
      </c>
      <c r="C27" s="38">
        <v>2</v>
      </c>
      <c r="D27" s="38">
        <v>29</v>
      </c>
      <c r="E27" s="38">
        <v>18</v>
      </c>
      <c r="F27" s="38">
        <v>1.1000000000000001</v>
      </c>
      <c r="G27" s="38" t="s">
        <v>297</v>
      </c>
      <c r="H27" s="38" t="s">
        <v>131</v>
      </c>
      <c r="I27" s="38" t="s">
        <v>298</v>
      </c>
      <c r="J27" s="41" t="s">
        <v>133</v>
      </c>
    </row>
    <row r="28" spans="1:10">
      <c r="A28" s="38" t="s">
        <v>105</v>
      </c>
      <c r="B28" s="38">
        <v>86</v>
      </c>
      <c r="C28" s="38">
        <v>1</v>
      </c>
      <c r="D28" s="38">
        <v>5</v>
      </c>
      <c r="E28" s="38">
        <v>13</v>
      </c>
      <c r="F28" s="38">
        <v>1.1000000000000001</v>
      </c>
      <c r="G28" s="38" t="s">
        <v>299</v>
      </c>
      <c r="H28" s="38" t="s">
        <v>131</v>
      </c>
      <c r="I28" s="38" t="s">
        <v>300</v>
      </c>
      <c r="J28" s="41" t="s">
        <v>133</v>
      </c>
    </row>
    <row r="29" spans="1:10">
      <c r="A29" s="38" t="s">
        <v>105</v>
      </c>
      <c r="B29" s="38">
        <v>86</v>
      </c>
      <c r="C29" s="38">
        <v>2</v>
      </c>
      <c r="D29" s="38">
        <v>23</v>
      </c>
      <c r="E29" s="38">
        <v>14</v>
      </c>
      <c r="F29" s="38">
        <v>1.1000000000000001</v>
      </c>
      <c r="G29" s="38" t="s">
        <v>299</v>
      </c>
      <c r="H29" s="38" t="s">
        <v>131</v>
      </c>
      <c r="I29" s="38" t="s">
        <v>300</v>
      </c>
      <c r="J29" s="41" t="s">
        <v>133</v>
      </c>
    </row>
    <row r="30" spans="1:10">
      <c r="A30" s="38" t="s">
        <v>105</v>
      </c>
      <c r="B30" s="38">
        <v>87</v>
      </c>
      <c r="C30" s="38">
        <v>1</v>
      </c>
      <c r="D30" s="38">
        <v>5</v>
      </c>
      <c r="E30" s="38">
        <v>2</v>
      </c>
      <c r="F30" s="38">
        <v>1.1000000000000001</v>
      </c>
      <c r="G30" s="38" t="s">
        <v>301</v>
      </c>
      <c r="H30" s="38" t="s">
        <v>131</v>
      </c>
      <c r="I30" s="38" t="s">
        <v>302</v>
      </c>
      <c r="J30" s="41" t="s">
        <v>133</v>
      </c>
    </row>
    <row r="31" spans="1:10">
      <c r="A31" s="38" t="s">
        <v>105</v>
      </c>
      <c r="B31" s="38">
        <v>87</v>
      </c>
      <c r="C31" s="38">
        <v>2</v>
      </c>
      <c r="D31" s="38">
        <v>30</v>
      </c>
      <c r="E31" s="38">
        <v>1</v>
      </c>
      <c r="F31" s="38">
        <v>1.1000000000000001</v>
      </c>
      <c r="G31" s="38" t="s">
        <v>301</v>
      </c>
      <c r="H31" s="38" t="s">
        <v>131</v>
      </c>
      <c r="I31" s="38" t="s">
        <v>302</v>
      </c>
      <c r="J31" s="41" t="s">
        <v>133</v>
      </c>
    </row>
    <row r="32" spans="1:10">
      <c r="A32" s="38" t="s">
        <v>105</v>
      </c>
      <c r="B32" s="38">
        <v>88</v>
      </c>
      <c r="C32" s="38">
        <v>1</v>
      </c>
      <c r="D32" s="38">
        <v>5</v>
      </c>
      <c r="E32" s="38">
        <v>14</v>
      </c>
      <c r="F32" s="38">
        <v>1.1000000000000001</v>
      </c>
      <c r="G32" s="38" t="s">
        <v>303</v>
      </c>
      <c r="H32" s="38" t="s">
        <v>131</v>
      </c>
      <c r="I32" s="38" t="s">
        <v>304</v>
      </c>
      <c r="J32" s="41" t="s">
        <v>133</v>
      </c>
    </row>
    <row r="33" spans="1:10">
      <c r="A33" s="38" t="s">
        <v>105</v>
      </c>
      <c r="B33" s="38">
        <v>88</v>
      </c>
      <c r="C33" s="38">
        <v>2</v>
      </c>
      <c r="D33" s="38">
        <v>34</v>
      </c>
      <c r="E33" s="38">
        <v>16</v>
      </c>
      <c r="F33" s="38">
        <v>1.1000000000000001</v>
      </c>
      <c r="G33" s="38" t="s">
        <v>303</v>
      </c>
      <c r="H33" s="38" t="s">
        <v>131</v>
      </c>
      <c r="I33" s="38" t="s">
        <v>304</v>
      </c>
      <c r="J33" s="41" t="s">
        <v>133</v>
      </c>
    </row>
    <row r="34" spans="1:10">
      <c r="A34" s="38" t="s">
        <v>105</v>
      </c>
      <c r="B34" s="38">
        <v>89</v>
      </c>
      <c r="C34" s="38">
        <v>1</v>
      </c>
      <c r="D34" s="38">
        <v>5</v>
      </c>
      <c r="E34" s="38">
        <v>10</v>
      </c>
      <c r="F34" s="38">
        <v>1.1000000000000001</v>
      </c>
      <c r="G34" s="38" t="s">
        <v>305</v>
      </c>
      <c r="H34" s="38" t="s">
        <v>131</v>
      </c>
      <c r="I34" s="38" t="s">
        <v>306</v>
      </c>
      <c r="J34" s="41" t="s">
        <v>133</v>
      </c>
    </row>
    <row r="35" spans="1:10">
      <c r="A35" s="38" t="s">
        <v>105</v>
      </c>
      <c r="B35" s="38">
        <v>89</v>
      </c>
      <c r="C35" s="38">
        <v>2</v>
      </c>
      <c r="D35" s="38">
        <v>25</v>
      </c>
      <c r="E35" s="38">
        <v>14</v>
      </c>
      <c r="F35" s="38">
        <v>1.1000000000000001</v>
      </c>
      <c r="G35" s="38" t="s">
        <v>305</v>
      </c>
      <c r="H35" s="38" t="s">
        <v>131</v>
      </c>
      <c r="I35" s="38" t="s">
        <v>306</v>
      </c>
      <c r="J35" s="41" t="s">
        <v>133</v>
      </c>
    </row>
    <row r="36" spans="1:10">
      <c r="A36" s="38" t="s">
        <v>105</v>
      </c>
      <c r="B36" s="38">
        <v>90</v>
      </c>
      <c r="C36" s="38">
        <v>1</v>
      </c>
      <c r="D36" s="38">
        <v>5</v>
      </c>
      <c r="E36" s="38">
        <v>8</v>
      </c>
      <c r="F36" s="38">
        <v>1.1000000000000001</v>
      </c>
      <c r="G36" s="38" t="s">
        <v>307</v>
      </c>
      <c r="H36" s="38" t="s">
        <v>131</v>
      </c>
      <c r="I36" s="38" t="s">
        <v>308</v>
      </c>
      <c r="J36" s="41" t="s">
        <v>133</v>
      </c>
    </row>
    <row r="37" spans="1:10">
      <c r="A37" s="38" t="s">
        <v>105</v>
      </c>
      <c r="B37" s="38">
        <v>90</v>
      </c>
      <c r="C37" s="38">
        <v>2</v>
      </c>
      <c r="D37" s="38">
        <v>36</v>
      </c>
      <c r="E37" s="38">
        <v>4</v>
      </c>
      <c r="F37" s="38">
        <v>1.1000000000000001</v>
      </c>
      <c r="G37" s="38" t="s">
        <v>307</v>
      </c>
      <c r="H37" s="38" t="s">
        <v>131</v>
      </c>
      <c r="I37" s="38" t="s">
        <v>308</v>
      </c>
      <c r="J37" s="41" t="s">
        <v>133</v>
      </c>
    </row>
    <row r="38" spans="1:10">
      <c r="A38" s="38" t="s">
        <v>105</v>
      </c>
      <c r="B38" s="38">
        <v>91</v>
      </c>
      <c r="C38" s="38">
        <v>1</v>
      </c>
      <c r="D38" s="38">
        <v>6</v>
      </c>
      <c r="E38" s="38">
        <v>6</v>
      </c>
      <c r="F38" s="38">
        <v>1.1000000000000001</v>
      </c>
      <c r="G38" s="38" t="s">
        <v>309</v>
      </c>
      <c r="H38" s="38" t="s">
        <v>131</v>
      </c>
      <c r="I38" s="38" t="s">
        <v>310</v>
      </c>
      <c r="J38" s="41" t="s">
        <v>133</v>
      </c>
    </row>
    <row r="39" spans="1:10">
      <c r="A39" s="38" t="s">
        <v>105</v>
      </c>
      <c r="B39" s="38">
        <v>91</v>
      </c>
      <c r="C39" s="38">
        <v>2</v>
      </c>
      <c r="D39" s="38">
        <v>19</v>
      </c>
      <c r="E39" s="38">
        <v>10</v>
      </c>
      <c r="F39" s="38">
        <v>1.1000000000000001</v>
      </c>
      <c r="G39" s="38" t="s">
        <v>309</v>
      </c>
      <c r="H39" s="38" t="s">
        <v>131</v>
      </c>
      <c r="I39" s="38" t="s">
        <v>310</v>
      </c>
      <c r="J39" s="41" t="s">
        <v>133</v>
      </c>
    </row>
    <row r="40" spans="1:10">
      <c r="A40" s="38" t="s">
        <v>105</v>
      </c>
      <c r="B40" s="38">
        <v>92</v>
      </c>
      <c r="C40" s="38">
        <v>1</v>
      </c>
      <c r="D40" s="38">
        <v>6</v>
      </c>
      <c r="E40" s="38">
        <v>1</v>
      </c>
      <c r="F40" s="38">
        <v>1.1000000000000001</v>
      </c>
      <c r="G40" s="38" t="s">
        <v>311</v>
      </c>
      <c r="H40" s="38" t="s">
        <v>131</v>
      </c>
      <c r="I40" s="38" t="s">
        <v>312</v>
      </c>
      <c r="J40" s="41" t="s">
        <v>133</v>
      </c>
    </row>
    <row r="41" spans="1:10">
      <c r="A41" s="38" t="s">
        <v>105</v>
      </c>
      <c r="B41" s="38">
        <v>92</v>
      </c>
      <c r="C41" s="38">
        <v>2</v>
      </c>
      <c r="D41" s="38">
        <v>25</v>
      </c>
      <c r="E41" s="38">
        <v>8</v>
      </c>
      <c r="F41" s="38">
        <v>1.1000000000000001</v>
      </c>
      <c r="G41" s="38" t="s">
        <v>311</v>
      </c>
      <c r="H41" s="38" t="s">
        <v>131</v>
      </c>
      <c r="I41" s="38" t="s">
        <v>312</v>
      </c>
      <c r="J41" s="41" t="s">
        <v>133</v>
      </c>
    </row>
    <row r="42" spans="1:10">
      <c r="A42" s="38" t="s">
        <v>105</v>
      </c>
      <c r="B42" s="38">
        <v>93</v>
      </c>
      <c r="C42" s="38">
        <v>1</v>
      </c>
      <c r="D42" s="38">
        <v>6</v>
      </c>
      <c r="E42" s="38">
        <v>7</v>
      </c>
      <c r="F42" s="38">
        <v>1.1000000000000001</v>
      </c>
      <c r="G42" s="38" t="s">
        <v>313</v>
      </c>
      <c r="H42" s="38" t="s">
        <v>131</v>
      </c>
      <c r="I42" s="38" t="s">
        <v>314</v>
      </c>
      <c r="J42" s="41" t="s">
        <v>133</v>
      </c>
    </row>
    <row r="43" spans="1:10">
      <c r="A43" s="38" t="s">
        <v>105</v>
      </c>
      <c r="B43" s="38">
        <v>93</v>
      </c>
      <c r="C43" s="38">
        <v>2</v>
      </c>
      <c r="D43" s="38">
        <v>31</v>
      </c>
      <c r="E43" s="38">
        <v>5</v>
      </c>
      <c r="F43" s="38">
        <v>1.1000000000000001</v>
      </c>
      <c r="G43" s="38" t="s">
        <v>313</v>
      </c>
      <c r="H43" s="38" t="s">
        <v>131</v>
      </c>
      <c r="I43" s="38" t="s">
        <v>314</v>
      </c>
      <c r="J43" s="41" t="s">
        <v>133</v>
      </c>
    </row>
    <row r="44" spans="1:10">
      <c r="A44" s="38" t="s">
        <v>105</v>
      </c>
      <c r="B44" s="38">
        <v>94</v>
      </c>
      <c r="C44" s="38">
        <v>1</v>
      </c>
      <c r="D44" s="38">
        <v>6</v>
      </c>
      <c r="E44" s="38">
        <v>16</v>
      </c>
      <c r="F44" s="38">
        <v>1.1000000000000001</v>
      </c>
      <c r="G44" s="38" t="s">
        <v>315</v>
      </c>
      <c r="H44" s="38" t="s">
        <v>131</v>
      </c>
      <c r="I44" s="38" t="s">
        <v>316</v>
      </c>
      <c r="J44" s="41" t="s">
        <v>133</v>
      </c>
    </row>
    <row r="45" spans="1:10">
      <c r="A45" s="38" t="s">
        <v>105</v>
      </c>
      <c r="B45" s="38">
        <v>94</v>
      </c>
      <c r="C45" s="38">
        <v>2</v>
      </c>
      <c r="D45" s="38">
        <v>29</v>
      </c>
      <c r="E45" s="38">
        <v>7</v>
      </c>
      <c r="F45" s="38">
        <v>1.1000000000000001</v>
      </c>
      <c r="G45" s="38" t="s">
        <v>315</v>
      </c>
      <c r="H45" s="38" t="s">
        <v>131</v>
      </c>
      <c r="I45" s="38" t="s">
        <v>316</v>
      </c>
      <c r="J45" s="41" t="s">
        <v>133</v>
      </c>
    </row>
    <row r="46" spans="1:10">
      <c r="A46" s="38" t="s">
        <v>105</v>
      </c>
      <c r="B46" s="38">
        <v>95</v>
      </c>
      <c r="C46" s="38">
        <v>1</v>
      </c>
      <c r="D46" s="38">
        <v>6</v>
      </c>
      <c r="E46" s="38">
        <v>5</v>
      </c>
      <c r="F46" s="38">
        <v>1.1000000000000001</v>
      </c>
      <c r="G46" s="38" t="s">
        <v>317</v>
      </c>
      <c r="H46" s="38" t="s">
        <v>131</v>
      </c>
      <c r="I46" s="38" t="s">
        <v>318</v>
      </c>
      <c r="J46" s="41" t="s">
        <v>133</v>
      </c>
    </row>
    <row r="47" spans="1:10">
      <c r="A47" s="38" t="s">
        <v>105</v>
      </c>
      <c r="B47" s="38">
        <v>95</v>
      </c>
      <c r="C47" s="38">
        <v>2</v>
      </c>
      <c r="D47" s="38">
        <v>28</v>
      </c>
      <c r="E47" s="38">
        <v>3</v>
      </c>
      <c r="F47" s="38">
        <v>1.1000000000000001</v>
      </c>
      <c r="G47" s="38" t="s">
        <v>317</v>
      </c>
      <c r="H47" s="38" t="s">
        <v>131</v>
      </c>
      <c r="I47" s="38" t="s">
        <v>318</v>
      </c>
      <c r="J47" s="41" t="s">
        <v>133</v>
      </c>
    </row>
    <row r="48" spans="1:10">
      <c r="A48" s="38" t="s">
        <v>105</v>
      </c>
      <c r="B48" s="38">
        <v>96</v>
      </c>
      <c r="C48" s="38">
        <v>1</v>
      </c>
      <c r="D48" s="38">
        <v>6</v>
      </c>
      <c r="E48" s="38">
        <v>17</v>
      </c>
      <c r="F48" s="38">
        <v>1.1000000000000001</v>
      </c>
      <c r="G48" s="38" t="s">
        <v>319</v>
      </c>
      <c r="H48" s="38" t="s">
        <v>131</v>
      </c>
      <c r="I48" s="38" t="s">
        <v>320</v>
      </c>
      <c r="J48" s="41" t="s">
        <v>133</v>
      </c>
    </row>
    <row r="49" spans="1:10">
      <c r="A49" s="38" t="s">
        <v>105</v>
      </c>
      <c r="B49" s="38">
        <v>96</v>
      </c>
      <c r="C49" s="38">
        <v>2</v>
      </c>
      <c r="D49" s="38">
        <v>36</v>
      </c>
      <c r="E49" s="38">
        <v>1</v>
      </c>
      <c r="F49" s="38">
        <v>1.1000000000000001</v>
      </c>
      <c r="G49" s="38" t="s">
        <v>319</v>
      </c>
      <c r="H49" s="38" t="s">
        <v>131</v>
      </c>
      <c r="I49" s="38" t="s">
        <v>320</v>
      </c>
      <c r="J49" s="41" t="s">
        <v>133</v>
      </c>
    </row>
    <row r="50" spans="1:10">
      <c r="A50" s="38" t="s">
        <v>105</v>
      </c>
      <c r="B50" s="38">
        <v>97</v>
      </c>
      <c r="C50" s="38">
        <v>1</v>
      </c>
      <c r="D50" s="38">
        <v>6</v>
      </c>
      <c r="E50" s="38">
        <v>2</v>
      </c>
      <c r="F50" s="38">
        <v>1.1000000000000001</v>
      </c>
      <c r="G50" s="38" t="s">
        <v>321</v>
      </c>
      <c r="H50" s="38" t="s">
        <v>131</v>
      </c>
      <c r="I50" s="38" t="s">
        <v>322</v>
      </c>
      <c r="J50" s="41" t="s">
        <v>133</v>
      </c>
    </row>
    <row r="51" spans="1:10">
      <c r="A51" s="38" t="s">
        <v>105</v>
      </c>
      <c r="B51" s="38">
        <v>97</v>
      </c>
      <c r="C51" s="38">
        <v>2</v>
      </c>
      <c r="D51" s="38">
        <v>20</v>
      </c>
      <c r="E51" s="38">
        <v>13</v>
      </c>
      <c r="F51" s="38">
        <v>1.1000000000000001</v>
      </c>
      <c r="G51" s="38" t="s">
        <v>321</v>
      </c>
      <c r="H51" s="38" t="s">
        <v>131</v>
      </c>
      <c r="I51" s="38" t="s">
        <v>322</v>
      </c>
      <c r="J51" s="41" t="s">
        <v>133</v>
      </c>
    </row>
    <row r="52" spans="1:10">
      <c r="A52" s="38" t="s">
        <v>105</v>
      </c>
      <c r="B52" s="38">
        <v>98</v>
      </c>
      <c r="C52" s="38">
        <v>1</v>
      </c>
      <c r="D52" s="38">
        <v>6</v>
      </c>
      <c r="E52" s="38">
        <v>8</v>
      </c>
      <c r="F52" s="38">
        <v>1.1000000000000001</v>
      </c>
      <c r="G52" s="38" t="s">
        <v>323</v>
      </c>
      <c r="H52" s="38" t="s">
        <v>131</v>
      </c>
      <c r="I52" s="38" t="s">
        <v>324</v>
      </c>
      <c r="J52" s="41" t="s">
        <v>133</v>
      </c>
    </row>
    <row r="53" spans="1:10">
      <c r="A53" s="38" t="s">
        <v>105</v>
      </c>
      <c r="B53" s="38">
        <v>98</v>
      </c>
      <c r="C53" s="38">
        <v>2</v>
      </c>
      <c r="D53" s="38">
        <v>32</v>
      </c>
      <c r="E53" s="38">
        <v>12</v>
      </c>
      <c r="F53" s="38">
        <v>1.1000000000000001</v>
      </c>
      <c r="G53" s="38" t="s">
        <v>323</v>
      </c>
      <c r="H53" s="38" t="s">
        <v>131</v>
      </c>
      <c r="I53" s="38" t="s">
        <v>324</v>
      </c>
      <c r="J53" s="41" t="s">
        <v>133</v>
      </c>
    </row>
    <row r="54" spans="1:10">
      <c r="A54" s="38" t="s">
        <v>105</v>
      </c>
      <c r="B54" s="38">
        <v>99</v>
      </c>
      <c r="C54" s="38">
        <v>1</v>
      </c>
      <c r="D54" s="38">
        <v>6</v>
      </c>
      <c r="E54" s="38">
        <v>9</v>
      </c>
      <c r="F54" s="38">
        <v>1.1000000000000001</v>
      </c>
      <c r="G54" s="38" t="s">
        <v>325</v>
      </c>
      <c r="H54" s="38" t="s">
        <v>131</v>
      </c>
      <c r="I54" s="38" t="s">
        <v>326</v>
      </c>
      <c r="J54" s="41" t="s">
        <v>133</v>
      </c>
    </row>
    <row r="55" spans="1:10">
      <c r="A55" s="38" t="s">
        <v>105</v>
      </c>
      <c r="B55" s="38">
        <v>99</v>
      </c>
      <c r="C55" s="38">
        <v>2</v>
      </c>
      <c r="D55" s="38">
        <v>34</v>
      </c>
      <c r="E55" s="38">
        <v>4</v>
      </c>
      <c r="F55" s="38">
        <v>1.1000000000000001</v>
      </c>
      <c r="G55" s="38" t="s">
        <v>325</v>
      </c>
      <c r="H55" s="38" t="s">
        <v>131</v>
      </c>
      <c r="I55" s="38" t="s">
        <v>326</v>
      </c>
      <c r="J55" s="41" t="s">
        <v>133</v>
      </c>
    </row>
    <row r="56" spans="1:10">
      <c r="A56" s="38" t="s">
        <v>105</v>
      </c>
      <c r="B56" s="38">
        <v>100</v>
      </c>
      <c r="C56" s="38">
        <v>1</v>
      </c>
      <c r="D56" s="38">
        <v>6</v>
      </c>
      <c r="E56" s="38">
        <v>12</v>
      </c>
      <c r="F56" s="38">
        <v>1.1000000000000001</v>
      </c>
      <c r="G56" s="38" t="s">
        <v>327</v>
      </c>
      <c r="H56" s="38" t="s">
        <v>131</v>
      </c>
      <c r="I56" s="38" t="s">
        <v>328</v>
      </c>
      <c r="J56" s="41" t="s">
        <v>133</v>
      </c>
    </row>
    <row r="57" spans="1:10">
      <c r="A57" s="38" t="s">
        <v>105</v>
      </c>
      <c r="B57" s="38">
        <v>100</v>
      </c>
      <c r="C57" s="38">
        <v>2</v>
      </c>
      <c r="D57" s="38">
        <v>30</v>
      </c>
      <c r="E57" s="38">
        <v>18</v>
      </c>
      <c r="F57" s="38">
        <v>1.1000000000000001</v>
      </c>
      <c r="G57" s="38" t="s">
        <v>327</v>
      </c>
      <c r="H57" s="38" t="s">
        <v>131</v>
      </c>
      <c r="I57" s="38" t="s">
        <v>328</v>
      </c>
      <c r="J57" s="41" t="s">
        <v>133</v>
      </c>
    </row>
    <row r="58" spans="1:10">
      <c r="A58" s="38" t="s">
        <v>105</v>
      </c>
      <c r="B58" s="38">
        <v>101</v>
      </c>
      <c r="C58" s="38">
        <v>1</v>
      </c>
      <c r="D58" s="38">
        <v>6</v>
      </c>
      <c r="E58" s="38">
        <v>10</v>
      </c>
      <c r="F58" s="38">
        <v>1.1000000000000001</v>
      </c>
      <c r="G58" s="38" t="s">
        <v>329</v>
      </c>
      <c r="H58" s="38" t="s">
        <v>131</v>
      </c>
      <c r="I58" s="38" t="s">
        <v>330</v>
      </c>
      <c r="J58" s="41" t="s">
        <v>133</v>
      </c>
    </row>
    <row r="59" spans="1:10">
      <c r="A59" s="38" t="s">
        <v>105</v>
      </c>
      <c r="B59" s="38">
        <v>101</v>
      </c>
      <c r="C59" s="38">
        <v>2</v>
      </c>
      <c r="D59" s="38">
        <v>27</v>
      </c>
      <c r="E59" s="38">
        <v>16</v>
      </c>
      <c r="F59" s="38">
        <v>1.1000000000000001</v>
      </c>
      <c r="G59" s="38" t="s">
        <v>329</v>
      </c>
      <c r="H59" s="38" t="s">
        <v>131</v>
      </c>
      <c r="I59" s="38" t="s">
        <v>330</v>
      </c>
      <c r="J59" s="41" t="s">
        <v>133</v>
      </c>
    </row>
    <row r="60" spans="1:10">
      <c r="A60" s="38" t="s">
        <v>105</v>
      </c>
      <c r="B60" s="38">
        <v>102</v>
      </c>
      <c r="C60" s="38">
        <v>1</v>
      </c>
      <c r="D60" s="38">
        <v>6</v>
      </c>
      <c r="E60" s="38">
        <v>11</v>
      </c>
      <c r="F60" s="38">
        <v>1.1000000000000001</v>
      </c>
      <c r="G60" s="38" t="s">
        <v>331</v>
      </c>
      <c r="H60" s="38" t="s">
        <v>131</v>
      </c>
      <c r="I60" s="38" t="s">
        <v>332</v>
      </c>
      <c r="J60" s="41" t="s">
        <v>133</v>
      </c>
    </row>
    <row r="61" spans="1:10">
      <c r="A61" s="38" t="s">
        <v>105</v>
      </c>
      <c r="B61" s="38">
        <v>102</v>
      </c>
      <c r="C61" s="38">
        <v>2</v>
      </c>
      <c r="D61" s="38">
        <v>33</v>
      </c>
      <c r="E61" s="38">
        <v>1</v>
      </c>
      <c r="F61" s="38">
        <v>1.1000000000000001</v>
      </c>
      <c r="G61" s="38" t="s">
        <v>331</v>
      </c>
      <c r="H61" s="38" t="s">
        <v>131</v>
      </c>
      <c r="I61" s="38" t="s">
        <v>332</v>
      </c>
      <c r="J61" s="41" t="s">
        <v>133</v>
      </c>
    </row>
    <row r="62" spans="1:10">
      <c r="A62" s="38" t="s">
        <v>105</v>
      </c>
      <c r="B62" s="38">
        <v>103</v>
      </c>
      <c r="C62" s="38">
        <v>1</v>
      </c>
      <c r="D62" s="38">
        <v>6</v>
      </c>
      <c r="E62" s="38">
        <v>13</v>
      </c>
      <c r="F62" s="38">
        <v>1.1000000000000001</v>
      </c>
      <c r="G62" s="38" t="s">
        <v>333</v>
      </c>
      <c r="H62" s="38" t="s">
        <v>131</v>
      </c>
      <c r="I62" s="38" t="s">
        <v>334</v>
      </c>
      <c r="J62" s="41" t="s">
        <v>133</v>
      </c>
    </row>
    <row r="63" spans="1:10">
      <c r="A63" s="38" t="s">
        <v>105</v>
      </c>
      <c r="B63" s="38">
        <v>103</v>
      </c>
      <c r="C63" s="38">
        <v>2</v>
      </c>
      <c r="D63" s="38">
        <v>26</v>
      </c>
      <c r="E63" s="38">
        <v>10</v>
      </c>
      <c r="F63" s="38">
        <v>1.1000000000000001</v>
      </c>
      <c r="G63" s="38" t="s">
        <v>333</v>
      </c>
      <c r="H63" s="38" t="s">
        <v>131</v>
      </c>
      <c r="I63" s="38" t="s">
        <v>334</v>
      </c>
      <c r="J63" s="41" t="s">
        <v>133</v>
      </c>
    </row>
    <row r="64" spans="1:10">
      <c r="A64" s="38" t="s">
        <v>105</v>
      </c>
      <c r="B64" s="38">
        <v>104</v>
      </c>
      <c r="C64" s="38">
        <v>1</v>
      </c>
      <c r="D64" s="38">
        <v>6</v>
      </c>
      <c r="E64" s="38">
        <v>15</v>
      </c>
      <c r="F64" s="38">
        <v>1.1000000000000001</v>
      </c>
      <c r="G64" s="38" t="s">
        <v>335</v>
      </c>
      <c r="H64" s="38" t="s">
        <v>131</v>
      </c>
      <c r="I64" s="38" t="s">
        <v>336</v>
      </c>
      <c r="J64" s="41" t="s">
        <v>133</v>
      </c>
    </row>
    <row r="65" spans="1:10">
      <c r="A65" s="38" t="s">
        <v>105</v>
      </c>
      <c r="B65" s="38">
        <v>104</v>
      </c>
      <c r="C65" s="38">
        <v>2</v>
      </c>
      <c r="D65" s="38">
        <v>23</v>
      </c>
      <c r="E65" s="38">
        <v>15</v>
      </c>
      <c r="F65" s="38">
        <v>1.1000000000000001</v>
      </c>
      <c r="G65" s="38" t="s">
        <v>335</v>
      </c>
      <c r="H65" s="38" t="s">
        <v>131</v>
      </c>
      <c r="I65" s="38" t="s">
        <v>336</v>
      </c>
      <c r="J65" s="41" t="s">
        <v>133</v>
      </c>
    </row>
    <row r="66" spans="1:10">
      <c r="A66" s="38" t="s">
        <v>105</v>
      </c>
      <c r="B66" s="38">
        <v>105</v>
      </c>
      <c r="C66" s="38">
        <v>1</v>
      </c>
      <c r="D66" s="38">
        <v>6</v>
      </c>
      <c r="E66" s="38">
        <v>18</v>
      </c>
      <c r="F66" s="38">
        <v>1.1000000000000001</v>
      </c>
      <c r="G66" s="38" t="s">
        <v>337</v>
      </c>
      <c r="H66" s="38" t="s">
        <v>131</v>
      </c>
      <c r="I66" s="38" t="s">
        <v>338</v>
      </c>
      <c r="J66" s="41" t="s">
        <v>133</v>
      </c>
    </row>
    <row r="67" spans="1:10">
      <c r="A67" s="38" t="s">
        <v>105</v>
      </c>
      <c r="B67" s="38">
        <v>105</v>
      </c>
      <c r="C67" s="38">
        <v>2</v>
      </c>
      <c r="D67" s="38">
        <v>35</v>
      </c>
      <c r="E67" s="38">
        <v>1</v>
      </c>
      <c r="F67" s="38">
        <v>1.1000000000000001</v>
      </c>
      <c r="G67" s="38" t="s">
        <v>337</v>
      </c>
      <c r="H67" s="38" t="s">
        <v>131</v>
      </c>
      <c r="I67" s="38" t="s">
        <v>338</v>
      </c>
      <c r="J67" s="41" t="s">
        <v>133</v>
      </c>
    </row>
    <row r="68" spans="1:10">
      <c r="A68" s="38" t="s">
        <v>105</v>
      </c>
      <c r="B68" s="38">
        <v>106</v>
      </c>
      <c r="C68" s="38">
        <v>1</v>
      </c>
      <c r="D68" s="38">
        <v>6</v>
      </c>
      <c r="E68" s="38">
        <v>4</v>
      </c>
      <c r="F68" s="38">
        <v>1.1000000000000001</v>
      </c>
      <c r="G68" s="38" t="s">
        <v>339</v>
      </c>
      <c r="H68" s="38" t="s">
        <v>131</v>
      </c>
      <c r="I68" s="38" t="s">
        <v>340</v>
      </c>
      <c r="J68" s="41" t="s">
        <v>133</v>
      </c>
    </row>
    <row r="69" spans="1:10">
      <c r="A69" s="38" t="s">
        <v>105</v>
      </c>
      <c r="B69" s="38">
        <v>106</v>
      </c>
      <c r="C69" s="38">
        <v>2</v>
      </c>
      <c r="D69" s="38">
        <v>21</v>
      </c>
      <c r="E69" s="38">
        <v>5</v>
      </c>
      <c r="F69" s="38">
        <v>1.1000000000000001</v>
      </c>
      <c r="G69" s="38" t="s">
        <v>339</v>
      </c>
      <c r="H69" s="38" t="s">
        <v>131</v>
      </c>
      <c r="I69" s="38" t="s">
        <v>340</v>
      </c>
      <c r="J69" s="41" t="s">
        <v>133</v>
      </c>
    </row>
    <row r="70" spans="1:10">
      <c r="A70" s="38" t="s">
        <v>105</v>
      </c>
      <c r="B70" s="38">
        <v>107</v>
      </c>
      <c r="C70" s="38">
        <v>1</v>
      </c>
      <c r="D70" s="38">
        <v>6</v>
      </c>
      <c r="E70" s="38">
        <v>3</v>
      </c>
      <c r="F70" s="38">
        <v>1.1000000000000001</v>
      </c>
      <c r="G70" s="38" t="s">
        <v>341</v>
      </c>
      <c r="H70" s="38" t="s">
        <v>131</v>
      </c>
      <c r="I70" s="38" t="s">
        <v>342</v>
      </c>
      <c r="J70" s="41" t="s">
        <v>133</v>
      </c>
    </row>
    <row r="71" spans="1:10">
      <c r="A71" s="38" t="s">
        <v>105</v>
      </c>
      <c r="B71" s="38">
        <v>107</v>
      </c>
      <c r="C71" s="38">
        <v>2</v>
      </c>
      <c r="D71" s="38">
        <v>22</v>
      </c>
      <c r="E71">
        <v>5</v>
      </c>
      <c r="F71" s="38">
        <v>1.1000000000000001</v>
      </c>
      <c r="G71" s="38" t="s">
        <v>341</v>
      </c>
      <c r="H71" s="38" t="s">
        <v>131</v>
      </c>
      <c r="I71" s="38" t="s">
        <v>342</v>
      </c>
      <c r="J71" s="41" t="s">
        <v>133</v>
      </c>
    </row>
    <row r="72" spans="1:10">
      <c r="A72" s="38" t="s">
        <v>105</v>
      </c>
      <c r="B72" s="38">
        <v>108</v>
      </c>
      <c r="C72" s="38">
        <v>1</v>
      </c>
      <c r="D72" s="38">
        <v>6</v>
      </c>
      <c r="E72" s="38">
        <v>14</v>
      </c>
      <c r="F72" s="38">
        <v>1.1000000000000001</v>
      </c>
      <c r="G72" s="38" t="s">
        <v>343</v>
      </c>
      <c r="H72" s="38" t="s">
        <v>131</v>
      </c>
      <c r="I72" s="38" t="s">
        <v>344</v>
      </c>
      <c r="J72" s="41" t="s">
        <v>133</v>
      </c>
    </row>
    <row r="73" spans="1:10">
      <c r="A73" s="38" t="s">
        <v>105</v>
      </c>
      <c r="B73" s="38">
        <v>108</v>
      </c>
      <c r="C73" s="38">
        <v>2</v>
      </c>
      <c r="D73" s="38">
        <v>24</v>
      </c>
      <c r="E73" s="38">
        <v>9</v>
      </c>
      <c r="F73" s="38">
        <v>1.1000000000000001</v>
      </c>
      <c r="G73" s="38" t="s">
        <v>343</v>
      </c>
      <c r="H73" s="38" t="s">
        <v>131</v>
      </c>
      <c r="I73" s="38" t="s">
        <v>344</v>
      </c>
      <c r="J73" s="41" t="s">
        <v>133</v>
      </c>
    </row>
    <row r="74" spans="1:10">
      <c r="A74" s="38" t="s">
        <v>105</v>
      </c>
      <c r="B74" s="38">
        <v>109</v>
      </c>
      <c r="C74" s="38">
        <v>1</v>
      </c>
      <c r="D74" s="38">
        <v>7</v>
      </c>
      <c r="E74" s="38">
        <v>4</v>
      </c>
      <c r="F74" s="38">
        <v>1.1000000000000001</v>
      </c>
      <c r="G74" s="38" t="s">
        <v>345</v>
      </c>
      <c r="H74" s="38" t="s">
        <v>131</v>
      </c>
      <c r="I74" s="38" t="s">
        <v>346</v>
      </c>
      <c r="J74" s="41" t="s">
        <v>133</v>
      </c>
    </row>
    <row r="75" spans="1:10">
      <c r="A75" s="38" t="s">
        <v>105</v>
      </c>
      <c r="B75" s="38">
        <v>109</v>
      </c>
      <c r="C75" s="38">
        <v>2</v>
      </c>
      <c r="D75" s="38">
        <v>19</v>
      </c>
      <c r="E75" s="38">
        <v>17</v>
      </c>
      <c r="F75" s="38">
        <v>1.1000000000000001</v>
      </c>
      <c r="G75" s="38" t="s">
        <v>345</v>
      </c>
      <c r="H75" s="38" t="s">
        <v>131</v>
      </c>
      <c r="I75" s="38" t="s">
        <v>346</v>
      </c>
      <c r="J75" s="41" t="s">
        <v>133</v>
      </c>
    </row>
    <row r="76" spans="1:10">
      <c r="A76" s="38" t="s">
        <v>105</v>
      </c>
      <c r="B76" s="38">
        <v>110</v>
      </c>
      <c r="C76" s="38">
        <v>1</v>
      </c>
      <c r="D76" s="38">
        <v>7</v>
      </c>
      <c r="E76" s="38">
        <v>3</v>
      </c>
      <c r="F76" s="38">
        <v>1.1000000000000001</v>
      </c>
      <c r="G76" s="38" t="s">
        <v>347</v>
      </c>
      <c r="H76" s="38" t="s">
        <v>131</v>
      </c>
      <c r="I76" s="38" t="s">
        <v>348</v>
      </c>
      <c r="J76" s="41" t="s">
        <v>133</v>
      </c>
    </row>
    <row r="77" spans="1:10">
      <c r="A77" s="38" t="s">
        <v>105</v>
      </c>
      <c r="B77" s="38">
        <v>110</v>
      </c>
      <c r="C77" s="38">
        <v>2</v>
      </c>
      <c r="D77" s="38">
        <v>34</v>
      </c>
      <c r="E77" s="38">
        <v>11</v>
      </c>
      <c r="F77" s="38">
        <v>1.1000000000000001</v>
      </c>
      <c r="G77" s="38" t="s">
        <v>347</v>
      </c>
      <c r="H77" s="38" t="s">
        <v>131</v>
      </c>
      <c r="I77" s="38" t="s">
        <v>348</v>
      </c>
      <c r="J77" s="41" t="s">
        <v>133</v>
      </c>
    </row>
    <row r="78" spans="1:10">
      <c r="A78" s="38" t="s">
        <v>105</v>
      </c>
      <c r="B78" s="38">
        <v>111</v>
      </c>
      <c r="C78" s="38">
        <v>1</v>
      </c>
      <c r="D78" s="38">
        <v>7</v>
      </c>
      <c r="E78" s="38">
        <v>6</v>
      </c>
      <c r="F78" s="38">
        <v>1.1000000000000001</v>
      </c>
      <c r="G78" s="38" t="s">
        <v>349</v>
      </c>
      <c r="H78" s="38" t="s">
        <v>131</v>
      </c>
      <c r="I78" s="38" t="s">
        <v>350</v>
      </c>
      <c r="J78" s="41" t="s">
        <v>133</v>
      </c>
    </row>
    <row r="79" spans="1:10">
      <c r="A79" s="38" t="s">
        <v>105</v>
      </c>
      <c r="B79" s="38">
        <v>111</v>
      </c>
      <c r="C79" s="38">
        <v>2</v>
      </c>
      <c r="D79" s="38">
        <v>31</v>
      </c>
      <c r="E79" s="38">
        <v>11</v>
      </c>
      <c r="F79" s="38">
        <v>1.1000000000000001</v>
      </c>
      <c r="G79" s="38" t="s">
        <v>349</v>
      </c>
      <c r="H79" s="38" t="s">
        <v>131</v>
      </c>
      <c r="I79" s="38" t="s">
        <v>350</v>
      </c>
      <c r="J79" s="41" t="s">
        <v>133</v>
      </c>
    </row>
    <row r="80" spans="1:10">
      <c r="A80" s="38" t="s">
        <v>105</v>
      </c>
      <c r="B80" s="38">
        <v>112</v>
      </c>
      <c r="C80" s="38">
        <v>1</v>
      </c>
      <c r="D80" s="38">
        <v>7</v>
      </c>
      <c r="E80" s="38">
        <v>15</v>
      </c>
      <c r="F80" s="38">
        <v>1.1000000000000001</v>
      </c>
      <c r="G80" s="38" t="s">
        <v>351</v>
      </c>
      <c r="H80" s="38" t="s">
        <v>131</v>
      </c>
      <c r="I80" s="38" t="s">
        <v>352</v>
      </c>
      <c r="J80" s="41" t="s">
        <v>133</v>
      </c>
    </row>
    <row r="81" spans="1:10">
      <c r="A81" s="38" t="s">
        <v>105</v>
      </c>
      <c r="B81" s="38">
        <v>112</v>
      </c>
      <c r="C81" s="38">
        <v>2</v>
      </c>
      <c r="D81" s="38">
        <v>23</v>
      </c>
      <c r="E81" s="38">
        <v>16</v>
      </c>
      <c r="F81" s="38">
        <v>1.1000000000000001</v>
      </c>
      <c r="G81" s="38" t="s">
        <v>351</v>
      </c>
      <c r="H81" s="38" t="s">
        <v>131</v>
      </c>
      <c r="I81" s="38" t="s">
        <v>352</v>
      </c>
      <c r="J81" s="41" t="s">
        <v>133</v>
      </c>
    </row>
    <row r="82" spans="1:10">
      <c r="A82" s="38" t="s">
        <v>105</v>
      </c>
      <c r="B82" s="38">
        <v>113</v>
      </c>
      <c r="C82" s="38">
        <v>1</v>
      </c>
      <c r="D82" s="38">
        <v>7</v>
      </c>
      <c r="E82" s="38">
        <v>5</v>
      </c>
      <c r="F82" s="38">
        <v>1.1000000000000001</v>
      </c>
      <c r="G82" s="38" t="s">
        <v>353</v>
      </c>
      <c r="H82" s="38" t="s">
        <v>131</v>
      </c>
      <c r="I82" s="38" t="s">
        <v>354</v>
      </c>
      <c r="J82" s="41" t="s">
        <v>133</v>
      </c>
    </row>
    <row r="83" spans="1:10">
      <c r="A83" s="38" t="s">
        <v>105</v>
      </c>
      <c r="B83" s="38">
        <v>113</v>
      </c>
      <c r="C83" s="38">
        <v>2</v>
      </c>
      <c r="D83" s="38">
        <v>24</v>
      </c>
      <c r="E83" s="38">
        <v>12</v>
      </c>
      <c r="F83" s="38">
        <v>1.1000000000000001</v>
      </c>
      <c r="G83" s="38" t="s">
        <v>353</v>
      </c>
      <c r="H83" s="38" t="s">
        <v>131</v>
      </c>
      <c r="I83" s="38" t="s">
        <v>354</v>
      </c>
      <c r="J83" s="41" t="s">
        <v>133</v>
      </c>
    </row>
    <row r="84" spans="1:10">
      <c r="A84" s="38" t="s">
        <v>105</v>
      </c>
      <c r="B84" s="38">
        <v>114</v>
      </c>
      <c r="C84" s="38">
        <v>1</v>
      </c>
      <c r="D84" s="38">
        <v>7</v>
      </c>
      <c r="E84" s="38">
        <v>1</v>
      </c>
      <c r="F84" s="38">
        <v>1.1000000000000001</v>
      </c>
      <c r="G84" s="38" t="s">
        <v>355</v>
      </c>
      <c r="H84" s="38" t="s">
        <v>131</v>
      </c>
      <c r="I84" s="38" t="s">
        <v>356</v>
      </c>
      <c r="J84" s="41" t="s">
        <v>133</v>
      </c>
    </row>
    <row r="85" spans="1:10">
      <c r="A85" s="38" t="s">
        <v>105</v>
      </c>
      <c r="B85" s="38">
        <v>114</v>
      </c>
      <c r="C85" s="38">
        <v>2</v>
      </c>
      <c r="D85" s="38">
        <v>25</v>
      </c>
      <c r="E85" s="38">
        <v>10</v>
      </c>
      <c r="F85" s="38">
        <v>1.1000000000000001</v>
      </c>
      <c r="G85" s="38" t="s">
        <v>355</v>
      </c>
      <c r="H85" s="38" t="s">
        <v>131</v>
      </c>
      <c r="I85" s="38" t="s">
        <v>356</v>
      </c>
      <c r="J85" s="41" t="s">
        <v>133</v>
      </c>
    </row>
    <row r="86" spans="1:10">
      <c r="A86" s="38" t="s">
        <v>105</v>
      </c>
      <c r="B86" s="38">
        <v>115</v>
      </c>
      <c r="C86" s="38">
        <v>1</v>
      </c>
      <c r="D86" s="38">
        <v>7</v>
      </c>
      <c r="E86" s="38">
        <v>9</v>
      </c>
      <c r="F86" s="38">
        <v>1.1000000000000001</v>
      </c>
      <c r="G86" s="38" t="s">
        <v>357</v>
      </c>
      <c r="H86" s="38" t="s">
        <v>131</v>
      </c>
      <c r="I86" s="38" t="s">
        <v>358</v>
      </c>
      <c r="J86" s="41" t="s">
        <v>133</v>
      </c>
    </row>
    <row r="87" spans="1:10">
      <c r="A87" s="38" t="s">
        <v>105</v>
      </c>
      <c r="B87" s="38">
        <v>115</v>
      </c>
      <c r="C87" s="38">
        <v>2</v>
      </c>
      <c r="D87" s="38">
        <v>32</v>
      </c>
      <c r="E87" s="38">
        <v>6</v>
      </c>
      <c r="F87" s="38">
        <v>1.1000000000000001</v>
      </c>
      <c r="G87" s="38" t="s">
        <v>357</v>
      </c>
      <c r="H87" s="38" t="s">
        <v>131</v>
      </c>
      <c r="I87" s="38" t="s">
        <v>358</v>
      </c>
      <c r="J87" s="41" t="s">
        <v>133</v>
      </c>
    </row>
    <row r="88" spans="1:10">
      <c r="A88" s="38" t="s">
        <v>105</v>
      </c>
      <c r="B88" s="38">
        <v>116</v>
      </c>
      <c r="C88" s="38">
        <v>1</v>
      </c>
      <c r="D88" s="38">
        <v>7</v>
      </c>
      <c r="E88" s="38">
        <v>14</v>
      </c>
      <c r="F88" s="38">
        <v>1.1000000000000001</v>
      </c>
      <c r="G88" s="38" t="s">
        <v>359</v>
      </c>
      <c r="H88" s="38" t="s">
        <v>131</v>
      </c>
      <c r="I88" s="38" t="s">
        <v>360</v>
      </c>
      <c r="J88" s="41" t="s">
        <v>133</v>
      </c>
    </row>
    <row r="89" spans="1:10">
      <c r="A89" s="38" t="s">
        <v>105</v>
      </c>
      <c r="B89" s="38">
        <v>116</v>
      </c>
      <c r="C89" s="38">
        <v>2</v>
      </c>
      <c r="D89" s="38">
        <v>33</v>
      </c>
      <c r="E89" s="38">
        <v>16</v>
      </c>
      <c r="F89" s="38">
        <v>1.1000000000000001</v>
      </c>
      <c r="G89" s="38" t="s">
        <v>359</v>
      </c>
      <c r="H89" s="38" t="s">
        <v>131</v>
      </c>
      <c r="I89" s="38" t="s">
        <v>360</v>
      </c>
      <c r="J89" s="41" t="s">
        <v>133</v>
      </c>
    </row>
    <row r="90" spans="1:10">
      <c r="A90" s="38" t="s">
        <v>105</v>
      </c>
      <c r="B90" s="38">
        <v>117</v>
      </c>
      <c r="C90" s="38">
        <v>1</v>
      </c>
      <c r="D90" s="38">
        <v>7</v>
      </c>
      <c r="E90" s="38">
        <v>12</v>
      </c>
      <c r="F90" s="38">
        <v>1.1000000000000001</v>
      </c>
      <c r="G90" s="38" t="s">
        <v>361</v>
      </c>
      <c r="H90" s="38" t="s">
        <v>131</v>
      </c>
      <c r="I90" s="38" t="s">
        <v>362</v>
      </c>
      <c r="J90" s="41" t="s">
        <v>133</v>
      </c>
    </row>
    <row r="91" spans="1:10">
      <c r="A91" s="38" t="s">
        <v>105</v>
      </c>
      <c r="B91" s="38">
        <v>117</v>
      </c>
      <c r="C91" s="38">
        <v>2</v>
      </c>
      <c r="D91" s="38">
        <v>29</v>
      </c>
      <c r="E91" s="38">
        <v>4</v>
      </c>
      <c r="F91" s="38">
        <v>1.1000000000000001</v>
      </c>
      <c r="G91" s="38" t="s">
        <v>361</v>
      </c>
      <c r="H91" s="38" t="s">
        <v>131</v>
      </c>
      <c r="I91" s="38" t="s">
        <v>362</v>
      </c>
      <c r="J91" s="41" t="s">
        <v>133</v>
      </c>
    </row>
    <row r="92" spans="1:10">
      <c r="A92" s="38" t="s">
        <v>105</v>
      </c>
      <c r="B92" s="38">
        <v>118</v>
      </c>
      <c r="C92" s="38">
        <v>1</v>
      </c>
      <c r="D92" s="38">
        <v>7</v>
      </c>
      <c r="E92" s="38">
        <v>10</v>
      </c>
      <c r="F92" s="38">
        <v>1.1000000000000001</v>
      </c>
      <c r="G92" s="38" t="s">
        <v>363</v>
      </c>
      <c r="H92" s="38" t="s">
        <v>131</v>
      </c>
      <c r="I92" s="38" t="s">
        <v>364</v>
      </c>
      <c r="J92" s="41" t="s">
        <v>133</v>
      </c>
    </row>
    <row r="93" spans="1:10">
      <c r="A93" s="38" t="s">
        <v>105</v>
      </c>
      <c r="B93" s="38">
        <v>118</v>
      </c>
      <c r="C93" s="38">
        <v>2</v>
      </c>
      <c r="D93" s="38">
        <v>30</v>
      </c>
      <c r="E93" s="38">
        <v>8</v>
      </c>
      <c r="F93" s="38">
        <v>1.1000000000000001</v>
      </c>
      <c r="G93" s="38" t="s">
        <v>363</v>
      </c>
      <c r="H93" s="38" t="s">
        <v>131</v>
      </c>
      <c r="I93" s="38" t="s">
        <v>364</v>
      </c>
      <c r="J93" s="41" t="s">
        <v>133</v>
      </c>
    </row>
    <row r="94" spans="1:10">
      <c r="A94" s="38" t="s">
        <v>105</v>
      </c>
      <c r="B94" s="38">
        <v>119</v>
      </c>
      <c r="C94" s="38">
        <v>1</v>
      </c>
      <c r="D94" s="38">
        <v>7</v>
      </c>
      <c r="E94" s="38">
        <v>17</v>
      </c>
      <c r="F94" s="38">
        <v>1.1000000000000001</v>
      </c>
      <c r="G94" s="38" t="s">
        <v>365</v>
      </c>
      <c r="H94" s="38" t="s">
        <v>131</v>
      </c>
      <c r="I94" s="38" t="s">
        <v>366</v>
      </c>
      <c r="J94" s="41" t="s">
        <v>133</v>
      </c>
    </row>
    <row r="95" spans="1:10">
      <c r="A95" s="38" t="s">
        <v>105</v>
      </c>
      <c r="B95" s="38">
        <v>119</v>
      </c>
      <c r="C95" s="38">
        <v>2</v>
      </c>
      <c r="D95" s="38">
        <v>27</v>
      </c>
      <c r="E95" s="38">
        <v>3</v>
      </c>
      <c r="F95" s="38">
        <v>1.1000000000000001</v>
      </c>
      <c r="G95" s="38" t="s">
        <v>365</v>
      </c>
      <c r="H95" s="38" t="s">
        <v>131</v>
      </c>
      <c r="I95" s="38" t="s">
        <v>366</v>
      </c>
      <c r="J95" s="41" t="s">
        <v>133</v>
      </c>
    </row>
    <row r="96" spans="1:10">
      <c r="A96" s="38" t="s">
        <v>105</v>
      </c>
      <c r="B96" s="38">
        <v>120</v>
      </c>
      <c r="C96" s="38">
        <v>1</v>
      </c>
      <c r="D96" s="38">
        <v>7</v>
      </c>
      <c r="E96" s="38">
        <v>13</v>
      </c>
      <c r="F96" s="38">
        <v>1.1000000000000001</v>
      </c>
      <c r="G96" s="38" t="s">
        <v>367</v>
      </c>
      <c r="H96" s="38" t="s">
        <v>131</v>
      </c>
      <c r="I96" s="38" t="s">
        <v>368</v>
      </c>
      <c r="J96" s="41" t="s">
        <v>133</v>
      </c>
    </row>
    <row r="97" spans="1:10">
      <c r="A97" s="38" t="s">
        <v>105</v>
      </c>
      <c r="B97" s="38">
        <v>120</v>
      </c>
      <c r="C97" s="38">
        <v>2</v>
      </c>
      <c r="D97" s="38">
        <v>22</v>
      </c>
      <c r="E97">
        <v>10</v>
      </c>
      <c r="F97" s="38">
        <v>1.1000000000000001</v>
      </c>
      <c r="G97" s="38" t="s">
        <v>367</v>
      </c>
      <c r="H97" s="38" t="s">
        <v>131</v>
      </c>
      <c r="I97" s="38" t="s">
        <v>368</v>
      </c>
      <c r="J97" s="41" t="s">
        <v>133</v>
      </c>
    </row>
    <row r="98" spans="1:10">
      <c r="A98" s="38" t="s">
        <v>105</v>
      </c>
      <c r="B98" s="38">
        <v>121</v>
      </c>
      <c r="C98" s="38">
        <v>1</v>
      </c>
      <c r="D98" s="38">
        <v>7</v>
      </c>
      <c r="E98" s="38">
        <v>16</v>
      </c>
      <c r="F98" s="38">
        <v>1.1000000000000001</v>
      </c>
      <c r="G98" s="38" t="s">
        <v>369</v>
      </c>
      <c r="H98" s="38" t="s">
        <v>131</v>
      </c>
      <c r="I98" s="38" t="s">
        <v>370</v>
      </c>
      <c r="J98" s="41" t="s">
        <v>133</v>
      </c>
    </row>
    <row r="99" spans="1:10">
      <c r="A99" s="38" t="s">
        <v>105</v>
      </c>
      <c r="B99" s="38">
        <v>121</v>
      </c>
      <c r="C99" s="38">
        <v>2</v>
      </c>
      <c r="D99" s="38">
        <v>26</v>
      </c>
      <c r="E99" s="38">
        <v>11</v>
      </c>
      <c r="F99" s="38">
        <v>1.1000000000000001</v>
      </c>
      <c r="G99" s="38" t="s">
        <v>369</v>
      </c>
      <c r="H99" s="38" t="s">
        <v>131</v>
      </c>
      <c r="I99" s="38" t="s">
        <v>370</v>
      </c>
      <c r="J99" s="41" t="s">
        <v>133</v>
      </c>
    </row>
    <row r="100" spans="1:10">
      <c r="A100" s="38" t="s">
        <v>105</v>
      </c>
      <c r="B100" s="38">
        <v>122</v>
      </c>
      <c r="C100" s="38">
        <v>1</v>
      </c>
      <c r="D100" s="38">
        <v>7</v>
      </c>
      <c r="E100" s="38">
        <v>8</v>
      </c>
      <c r="F100" s="38">
        <v>1.1000000000000001</v>
      </c>
      <c r="G100" s="38" t="s">
        <v>371</v>
      </c>
      <c r="H100" s="38" t="s">
        <v>131</v>
      </c>
      <c r="I100" s="38" t="s">
        <v>372</v>
      </c>
      <c r="J100" s="41" t="s">
        <v>133</v>
      </c>
    </row>
    <row r="101" spans="1:10">
      <c r="A101" s="38" t="s">
        <v>105</v>
      </c>
      <c r="B101" s="38">
        <v>122</v>
      </c>
      <c r="C101" s="38">
        <v>2</v>
      </c>
      <c r="D101" s="38">
        <v>21</v>
      </c>
      <c r="E101" s="38">
        <v>14</v>
      </c>
      <c r="F101" s="38">
        <v>1.1000000000000001</v>
      </c>
      <c r="G101" s="38" t="s">
        <v>371</v>
      </c>
      <c r="H101" s="38" t="s">
        <v>131</v>
      </c>
      <c r="I101" s="38" t="s">
        <v>372</v>
      </c>
      <c r="J101" s="41" t="s">
        <v>133</v>
      </c>
    </row>
    <row r="102" spans="1:10">
      <c r="A102" s="38" t="s">
        <v>105</v>
      </c>
      <c r="B102" s="38">
        <v>123</v>
      </c>
      <c r="C102" s="38">
        <v>1</v>
      </c>
      <c r="D102" s="38">
        <v>7</v>
      </c>
      <c r="E102" s="38">
        <v>7</v>
      </c>
      <c r="F102" s="38">
        <v>1.1000000000000001</v>
      </c>
      <c r="G102" s="38" t="s">
        <v>373</v>
      </c>
      <c r="H102" s="38" t="s">
        <v>131</v>
      </c>
      <c r="I102" s="38" t="s">
        <v>374</v>
      </c>
      <c r="J102" s="41" t="s">
        <v>133</v>
      </c>
    </row>
    <row r="103" spans="1:10">
      <c r="A103" s="38" t="s">
        <v>105</v>
      </c>
      <c r="B103" s="38">
        <v>123</v>
      </c>
      <c r="C103" s="38">
        <v>2</v>
      </c>
      <c r="D103" s="38">
        <v>36</v>
      </c>
      <c r="E103" s="38">
        <v>15</v>
      </c>
      <c r="F103" s="38">
        <v>1.1000000000000001</v>
      </c>
      <c r="G103" s="38" t="s">
        <v>373</v>
      </c>
      <c r="H103" s="38" t="s">
        <v>131</v>
      </c>
      <c r="I103" s="38" t="s">
        <v>374</v>
      </c>
      <c r="J103" s="41" t="s">
        <v>133</v>
      </c>
    </row>
    <row r="104" spans="1:10">
      <c r="A104" s="38" t="s">
        <v>105</v>
      </c>
      <c r="B104" s="38">
        <v>124</v>
      </c>
      <c r="C104" s="38">
        <v>1</v>
      </c>
      <c r="D104" s="38">
        <v>7</v>
      </c>
      <c r="E104" s="38">
        <v>18</v>
      </c>
      <c r="F104" s="38">
        <v>1.1000000000000001</v>
      </c>
      <c r="G104" s="38" t="s">
        <v>375</v>
      </c>
      <c r="H104" s="38" t="s">
        <v>131</v>
      </c>
      <c r="I104" s="38" t="s">
        <v>376</v>
      </c>
      <c r="J104" s="41" t="s">
        <v>133</v>
      </c>
    </row>
    <row r="105" spans="1:10">
      <c r="A105" s="38" t="s">
        <v>105</v>
      </c>
      <c r="B105" s="38">
        <v>124</v>
      </c>
      <c r="C105" s="38">
        <v>2</v>
      </c>
      <c r="D105" s="38">
        <v>28</v>
      </c>
      <c r="E105" s="38">
        <v>7</v>
      </c>
      <c r="F105" s="38">
        <v>1.1000000000000001</v>
      </c>
      <c r="G105" s="38" t="s">
        <v>375</v>
      </c>
      <c r="H105" s="38" t="s">
        <v>131</v>
      </c>
      <c r="I105" s="38" t="s">
        <v>376</v>
      </c>
      <c r="J105" s="41" t="s">
        <v>133</v>
      </c>
    </row>
    <row r="106" spans="1:10">
      <c r="A106" s="38" t="s">
        <v>105</v>
      </c>
      <c r="B106" s="38">
        <v>125</v>
      </c>
      <c r="C106" s="38">
        <v>1</v>
      </c>
      <c r="D106" s="38">
        <v>7</v>
      </c>
      <c r="E106" s="38">
        <v>2</v>
      </c>
      <c r="F106" s="38">
        <v>1.1000000000000001</v>
      </c>
      <c r="G106" s="38" t="s">
        <v>377</v>
      </c>
      <c r="H106" s="38" t="s">
        <v>131</v>
      </c>
      <c r="I106" s="38" t="s">
        <v>378</v>
      </c>
      <c r="J106" s="41" t="s">
        <v>133</v>
      </c>
    </row>
    <row r="107" spans="1:10">
      <c r="A107" s="38" t="s">
        <v>105</v>
      </c>
      <c r="B107" s="38">
        <v>125</v>
      </c>
      <c r="C107" s="38">
        <v>2</v>
      </c>
      <c r="D107" s="38">
        <v>20</v>
      </c>
      <c r="E107" s="38">
        <v>8</v>
      </c>
      <c r="F107" s="38">
        <v>1.1000000000000001</v>
      </c>
      <c r="G107" s="38" t="s">
        <v>377</v>
      </c>
      <c r="H107" s="38" t="s">
        <v>131</v>
      </c>
      <c r="I107" s="38" t="s">
        <v>378</v>
      </c>
      <c r="J107" s="41" t="s">
        <v>133</v>
      </c>
    </row>
    <row r="108" spans="1:10">
      <c r="A108" s="38" t="s">
        <v>105</v>
      </c>
      <c r="B108" s="38">
        <v>126</v>
      </c>
      <c r="C108" s="38">
        <v>1</v>
      </c>
      <c r="D108" s="38">
        <v>7</v>
      </c>
      <c r="E108" s="38">
        <v>11</v>
      </c>
      <c r="F108" s="38">
        <v>1.1000000000000001</v>
      </c>
      <c r="G108" s="38" t="s">
        <v>379</v>
      </c>
      <c r="H108" s="38" t="s">
        <v>131</v>
      </c>
      <c r="I108" s="38" t="s">
        <v>380</v>
      </c>
      <c r="J108" s="41" t="s">
        <v>133</v>
      </c>
    </row>
    <row r="109" spans="1:10">
      <c r="A109" s="38" t="s">
        <v>105</v>
      </c>
      <c r="B109" s="38">
        <v>126</v>
      </c>
      <c r="C109" s="38">
        <v>2</v>
      </c>
      <c r="D109" s="38">
        <v>35</v>
      </c>
      <c r="E109" s="38">
        <v>9</v>
      </c>
      <c r="F109" s="38">
        <v>1.1000000000000001</v>
      </c>
      <c r="G109" s="38" t="s">
        <v>379</v>
      </c>
      <c r="H109" s="38" t="s">
        <v>131</v>
      </c>
      <c r="I109" s="38" t="s">
        <v>380</v>
      </c>
      <c r="J109" s="41" t="s">
        <v>133</v>
      </c>
    </row>
    <row r="110" spans="1:10">
      <c r="A110" s="38" t="s">
        <v>105</v>
      </c>
      <c r="B110" s="38">
        <v>127</v>
      </c>
      <c r="C110" s="38">
        <v>1</v>
      </c>
      <c r="D110" s="38">
        <v>8</v>
      </c>
      <c r="E110" s="38">
        <v>6</v>
      </c>
      <c r="F110" s="38">
        <v>1.1000000000000001</v>
      </c>
      <c r="G110" s="38" t="s">
        <v>381</v>
      </c>
      <c r="H110" s="38" t="s">
        <v>131</v>
      </c>
      <c r="I110" s="38" t="s">
        <v>382</v>
      </c>
      <c r="J110" s="41" t="s">
        <v>133</v>
      </c>
    </row>
    <row r="111" spans="1:10">
      <c r="A111" s="38" t="s">
        <v>105</v>
      </c>
      <c r="B111" s="38">
        <v>127</v>
      </c>
      <c r="C111" s="38">
        <v>2</v>
      </c>
      <c r="D111" s="38">
        <v>26</v>
      </c>
      <c r="E111" s="38">
        <v>17</v>
      </c>
      <c r="F111" s="38">
        <v>1.1000000000000001</v>
      </c>
      <c r="G111" s="38" t="s">
        <v>381</v>
      </c>
      <c r="H111" s="38" t="s">
        <v>131</v>
      </c>
      <c r="I111" s="38" t="s">
        <v>382</v>
      </c>
      <c r="J111" s="41" t="s">
        <v>133</v>
      </c>
    </row>
    <row r="112" spans="1:10">
      <c r="A112" s="38" t="s">
        <v>105</v>
      </c>
      <c r="B112" s="38">
        <v>128</v>
      </c>
      <c r="C112" s="38">
        <v>1</v>
      </c>
      <c r="D112" s="38">
        <v>8</v>
      </c>
      <c r="E112" s="38">
        <v>15</v>
      </c>
      <c r="F112" s="38">
        <v>1.1000000000000001</v>
      </c>
      <c r="G112" s="38" t="s">
        <v>383</v>
      </c>
      <c r="H112" s="38" t="s">
        <v>131</v>
      </c>
      <c r="I112" s="38" t="s">
        <v>384</v>
      </c>
      <c r="J112" s="41" t="s">
        <v>133</v>
      </c>
    </row>
    <row r="113" spans="1:10">
      <c r="A113" s="38" t="s">
        <v>105</v>
      </c>
      <c r="B113" s="38">
        <v>128</v>
      </c>
      <c r="C113" s="38">
        <v>2</v>
      </c>
      <c r="D113" s="38">
        <v>28</v>
      </c>
      <c r="E113" s="38">
        <v>18</v>
      </c>
      <c r="F113" s="38">
        <v>1.1000000000000001</v>
      </c>
      <c r="G113" s="38" t="s">
        <v>383</v>
      </c>
      <c r="H113" s="38" t="s">
        <v>131</v>
      </c>
      <c r="I113" s="38" t="s">
        <v>384</v>
      </c>
      <c r="J113" s="41" t="s">
        <v>133</v>
      </c>
    </row>
    <row r="114" spans="1:10">
      <c r="A114" s="38" t="s">
        <v>105</v>
      </c>
      <c r="B114" s="38">
        <v>129</v>
      </c>
      <c r="C114" s="38">
        <v>1</v>
      </c>
      <c r="D114" s="38">
        <v>8</v>
      </c>
      <c r="E114" s="38">
        <v>4</v>
      </c>
      <c r="F114" s="38">
        <v>1.1000000000000001</v>
      </c>
      <c r="G114" s="38" t="s">
        <v>385</v>
      </c>
      <c r="H114" s="38" t="s">
        <v>131</v>
      </c>
      <c r="I114" s="38" t="s">
        <v>386</v>
      </c>
      <c r="J114" s="41" t="s">
        <v>133</v>
      </c>
    </row>
    <row r="115" spans="1:10">
      <c r="A115" s="38" t="s">
        <v>105</v>
      </c>
      <c r="B115" s="38">
        <v>129</v>
      </c>
      <c r="C115" s="38">
        <v>2</v>
      </c>
      <c r="D115" s="38">
        <v>21</v>
      </c>
      <c r="E115" s="38">
        <v>10</v>
      </c>
      <c r="F115" s="38">
        <v>1.1000000000000001</v>
      </c>
      <c r="G115" s="38" t="s">
        <v>385</v>
      </c>
      <c r="H115" s="38" t="s">
        <v>131</v>
      </c>
      <c r="I115" s="38" t="s">
        <v>386</v>
      </c>
      <c r="J115" s="41" t="s">
        <v>133</v>
      </c>
    </row>
    <row r="116" spans="1:10">
      <c r="A116" s="38" t="s">
        <v>105</v>
      </c>
      <c r="B116" s="38">
        <v>130</v>
      </c>
      <c r="C116" s="38">
        <v>1</v>
      </c>
      <c r="D116" s="38">
        <v>8</v>
      </c>
      <c r="E116" s="38">
        <v>11</v>
      </c>
      <c r="F116" s="38">
        <v>1.1000000000000001</v>
      </c>
      <c r="G116" s="38" t="s">
        <v>387</v>
      </c>
      <c r="H116" s="38" t="s">
        <v>131</v>
      </c>
      <c r="I116" s="38" t="s">
        <v>388</v>
      </c>
      <c r="J116" s="41" t="s">
        <v>133</v>
      </c>
    </row>
    <row r="117" spans="1:10">
      <c r="A117" s="38" t="s">
        <v>105</v>
      </c>
      <c r="B117" s="38">
        <v>130</v>
      </c>
      <c r="C117" s="38">
        <v>2</v>
      </c>
      <c r="D117" s="38">
        <v>27</v>
      </c>
      <c r="E117" s="38">
        <v>9</v>
      </c>
      <c r="F117" s="38">
        <v>1.1000000000000001</v>
      </c>
      <c r="G117" s="38" t="s">
        <v>387</v>
      </c>
      <c r="H117" s="38" t="s">
        <v>131</v>
      </c>
      <c r="I117" s="38" t="s">
        <v>388</v>
      </c>
      <c r="J117" s="41" t="s">
        <v>133</v>
      </c>
    </row>
    <row r="118" spans="1:10">
      <c r="A118" s="38" t="s">
        <v>105</v>
      </c>
      <c r="B118" s="38">
        <v>131</v>
      </c>
      <c r="C118" s="38">
        <v>1</v>
      </c>
      <c r="D118" s="38">
        <v>8</v>
      </c>
      <c r="E118" s="38">
        <v>18</v>
      </c>
      <c r="F118" s="38">
        <v>1.1000000000000001</v>
      </c>
      <c r="G118" s="38" t="s">
        <v>389</v>
      </c>
      <c r="H118" s="38" t="s">
        <v>131</v>
      </c>
      <c r="I118" s="38" t="s">
        <v>390</v>
      </c>
      <c r="J118" s="41" t="s">
        <v>133</v>
      </c>
    </row>
    <row r="119" spans="1:10">
      <c r="A119" s="38" t="s">
        <v>105</v>
      </c>
      <c r="B119" s="38">
        <v>131</v>
      </c>
      <c r="C119" s="38">
        <v>2</v>
      </c>
      <c r="D119" s="38">
        <v>29</v>
      </c>
      <c r="E119" s="38">
        <v>5</v>
      </c>
      <c r="F119" s="38">
        <v>1.1000000000000001</v>
      </c>
      <c r="G119" s="38" t="s">
        <v>389</v>
      </c>
      <c r="H119" s="38" t="s">
        <v>131</v>
      </c>
      <c r="I119" s="38" t="s">
        <v>390</v>
      </c>
      <c r="J119" s="41" t="s">
        <v>133</v>
      </c>
    </row>
    <row r="120" spans="1:10">
      <c r="A120" s="38" t="s">
        <v>105</v>
      </c>
      <c r="B120" s="38">
        <v>132</v>
      </c>
      <c r="C120" s="38">
        <v>1</v>
      </c>
      <c r="D120" s="38">
        <v>8</v>
      </c>
      <c r="E120" s="38">
        <v>7</v>
      </c>
      <c r="F120" s="38">
        <v>1.1000000000000001</v>
      </c>
      <c r="G120" s="38" t="s">
        <v>391</v>
      </c>
      <c r="H120" s="38" t="s">
        <v>131</v>
      </c>
      <c r="I120" s="38" t="s">
        <v>392</v>
      </c>
      <c r="J120" s="41" t="s">
        <v>133</v>
      </c>
    </row>
    <row r="121" spans="1:10">
      <c r="A121" s="38" t="s">
        <v>105</v>
      </c>
      <c r="B121" s="38">
        <v>132</v>
      </c>
      <c r="C121" s="38">
        <v>2</v>
      </c>
      <c r="D121" s="38">
        <v>23</v>
      </c>
      <c r="E121" s="38">
        <v>5</v>
      </c>
      <c r="F121" s="38">
        <v>1.1000000000000001</v>
      </c>
      <c r="G121" s="38" t="s">
        <v>391</v>
      </c>
      <c r="H121" s="38" t="s">
        <v>131</v>
      </c>
      <c r="I121" s="38" t="s">
        <v>392</v>
      </c>
      <c r="J121" s="41" t="s">
        <v>133</v>
      </c>
    </row>
    <row r="122" spans="1:10">
      <c r="A122" s="38" t="s">
        <v>105</v>
      </c>
      <c r="B122" s="38">
        <v>133</v>
      </c>
      <c r="C122" s="38">
        <v>1</v>
      </c>
      <c r="D122" s="38">
        <v>8</v>
      </c>
      <c r="E122" s="38">
        <v>9</v>
      </c>
      <c r="F122" s="38">
        <v>1.1000000000000001</v>
      </c>
      <c r="G122" s="38" t="s">
        <v>393</v>
      </c>
      <c r="H122" s="38" t="s">
        <v>131</v>
      </c>
      <c r="I122" s="38" t="s">
        <v>394</v>
      </c>
      <c r="J122" s="41" t="s">
        <v>133</v>
      </c>
    </row>
    <row r="123" spans="1:10">
      <c r="A123" s="38" t="s">
        <v>105</v>
      </c>
      <c r="B123" s="38">
        <v>133</v>
      </c>
      <c r="C123" s="38">
        <v>2</v>
      </c>
      <c r="D123" s="38">
        <v>20</v>
      </c>
      <c r="E123" s="38">
        <v>3</v>
      </c>
      <c r="F123" s="38">
        <v>1.1000000000000001</v>
      </c>
      <c r="G123" s="38" t="s">
        <v>393</v>
      </c>
      <c r="H123" s="38" t="s">
        <v>131</v>
      </c>
      <c r="I123" s="38" t="s">
        <v>394</v>
      </c>
      <c r="J123" s="41" t="s">
        <v>133</v>
      </c>
    </row>
    <row r="124" spans="1:10">
      <c r="A124" s="38" t="s">
        <v>105</v>
      </c>
      <c r="B124" s="38">
        <v>134</v>
      </c>
      <c r="C124" s="38">
        <v>1</v>
      </c>
      <c r="D124" s="38">
        <v>8</v>
      </c>
      <c r="E124" s="38">
        <v>12</v>
      </c>
      <c r="F124" s="38">
        <v>1.1000000000000001</v>
      </c>
      <c r="G124" s="38" t="s">
        <v>395</v>
      </c>
      <c r="H124" s="38" t="s">
        <v>131</v>
      </c>
      <c r="I124" s="38" t="s">
        <v>396</v>
      </c>
      <c r="J124" s="41" t="s">
        <v>133</v>
      </c>
    </row>
    <row r="125" spans="1:10">
      <c r="A125" s="38" t="s">
        <v>105</v>
      </c>
      <c r="B125" s="38">
        <v>134</v>
      </c>
      <c r="C125" s="38">
        <v>2</v>
      </c>
      <c r="D125" s="38">
        <v>30</v>
      </c>
      <c r="E125" s="38">
        <v>11</v>
      </c>
      <c r="F125" s="38">
        <v>1.1000000000000001</v>
      </c>
      <c r="G125" s="38" t="s">
        <v>395</v>
      </c>
      <c r="H125" s="38" t="s">
        <v>131</v>
      </c>
      <c r="I125" s="38" t="s">
        <v>396</v>
      </c>
      <c r="J125" s="41" t="s">
        <v>133</v>
      </c>
    </row>
    <row r="126" spans="1:10">
      <c r="A126" s="38" t="s">
        <v>105</v>
      </c>
      <c r="B126" s="38">
        <v>135</v>
      </c>
      <c r="C126" s="38">
        <v>1</v>
      </c>
      <c r="D126" s="38">
        <v>8</v>
      </c>
      <c r="E126" s="38">
        <v>1</v>
      </c>
      <c r="F126" s="38">
        <v>1.1000000000000001</v>
      </c>
      <c r="G126" s="38" t="s">
        <v>397</v>
      </c>
      <c r="H126" s="38" t="s">
        <v>131</v>
      </c>
      <c r="I126" s="38" t="s">
        <v>398</v>
      </c>
      <c r="J126" s="41" t="s">
        <v>133</v>
      </c>
    </row>
    <row r="127" spans="1:10">
      <c r="A127" s="38" t="s">
        <v>105</v>
      </c>
      <c r="B127" s="38">
        <v>135</v>
      </c>
      <c r="C127" s="38">
        <v>2</v>
      </c>
      <c r="D127" s="38">
        <v>36</v>
      </c>
      <c r="E127" s="38">
        <v>12</v>
      </c>
      <c r="F127" s="38">
        <v>1.1000000000000001</v>
      </c>
      <c r="G127" s="38" t="s">
        <v>397</v>
      </c>
      <c r="H127" s="38" t="s">
        <v>131</v>
      </c>
      <c r="I127" s="38" t="s">
        <v>398</v>
      </c>
      <c r="J127" s="41" t="s">
        <v>133</v>
      </c>
    </row>
    <row r="128" spans="1:10">
      <c r="A128" s="38" t="s">
        <v>105</v>
      </c>
      <c r="B128" s="38">
        <v>136</v>
      </c>
      <c r="C128" s="38">
        <v>1</v>
      </c>
      <c r="D128" s="38">
        <v>8</v>
      </c>
      <c r="E128" s="38">
        <v>17</v>
      </c>
      <c r="F128" s="38">
        <v>1.1000000000000001</v>
      </c>
      <c r="G128" s="38" t="s">
        <v>399</v>
      </c>
      <c r="H128" s="38" t="s">
        <v>131</v>
      </c>
      <c r="I128" s="38" t="s">
        <v>400</v>
      </c>
      <c r="J128" s="41" t="s">
        <v>133</v>
      </c>
    </row>
    <row r="129" spans="1:10">
      <c r="A129" s="38" t="s">
        <v>105</v>
      </c>
      <c r="B129" s="38">
        <v>136</v>
      </c>
      <c r="C129" s="38">
        <v>2</v>
      </c>
      <c r="D129" s="38">
        <v>22</v>
      </c>
      <c r="E129">
        <v>17</v>
      </c>
      <c r="F129" s="38">
        <v>1.1000000000000001</v>
      </c>
      <c r="G129" s="38" t="s">
        <v>399</v>
      </c>
      <c r="H129" s="38" t="s">
        <v>131</v>
      </c>
      <c r="I129" s="38" t="s">
        <v>400</v>
      </c>
      <c r="J129" s="41" t="s">
        <v>133</v>
      </c>
    </row>
    <row r="130" spans="1:10">
      <c r="A130" s="38" t="s">
        <v>105</v>
      </c>
      <c r="B130" s="38">
        <v>137</v>
      </c>
      <c r="C130" s="38">
        <v>1</v>
      </c>
      <c r="D130" s="38">
        <v>8</v>
      </c>
      <c r="E130" s="38">
        <v>2</v>
      </c>
      <c r="F130" s="38">
        <v>1.1000000000000001</v>
      </c>
      <c r="G130" s="38" t="s">
        <v>401</v>
      </c>
      <c r="H130" s="38" t="s">
        <v>131</v>
      </c>
      <c r="I130" s="38" t="s">
        <v>402</v>
      </c>
      <c r="J130" s="41" t="s">
        <v>133</v>
      </c>
    </row>
    <row r="131" spans="1:10">
      <c r="A131" s="38" t="s">
        <v>105</v>
      </c>
      <c r="B131" s="38">
        <v>137</v>
      </c>
      <c r="C131" s="38">
        <v>2</v>
      </c>
      <c r="D131" s="38">
        <v>24</v>
      </c>
      <c r="E131" s="38">
        <v>1</v>
      </c>
      <c r="F131" s="38">
        <v>1.1000000000000001</v>
      </c>
      <c r="G131" s="38" t="s">
        <v>401</v>
      </c>
      <c r="H131" s="38" t="s">
        <v>131</v>
      </c>
      <c r="I131" s="38" t="s">
        <v>402</v>
      </c>
      <c r="J131" s="41" t="s">
        <v>133</v>
      </c>
    </row>
    <row r="132" spans="1:10">
      <c r="A132" s="38" t="s">
        <v>105</v>
      </c>
      <c r="B132" s="38">
        <v>138</v>
      </c>
      <c r="C132" s="38">
        <v>1</v>
      </c>
      <c r="D132" s="38">
        <v>8</v>
      </c>
      <c r="E132" s="38">
        <v>16</v>
      </c>
      <c r="F132" s="38">
        <v>1.1000000000000001</v>
      </c>
      <c r="G132" s="38" t="s">
        <v>403</v>
      </c>
      <c r="H132" s="38" t="s">
        <v>131</v>
      </c>
      <c r="I132" s="38" t="s">
        <v>404</v>
      </c>
      <c r="J132" s="41" t="s">
        <v>133</v>
      </c>
    </row>
    <row r="133" spans="1:10">
      <c r="A133" s="38" t="s">
        <v>105</v>
      </c>
      <c r="B133" s="38">
        <v>138</v>
      </c>
      <c r="C133" s="38">
        <v>2</v>
      </c>
      <c r="D133" s="38">
        <v>35</v>
      </c>
      <c r="E133" s="38">
        <v>5</v>
      </c>
      <c r="F133" s="38">
        <v>1.1000000000000001</v>
      </c>
      <c r="G133" s="38" t="s">
        <v>403</v>
      </c>
      <c r="H133" s="38" t="s">
        <v>131</v>
      </c>
      <c r="I133" s="38" t="s">
        <v>404</v>
      </c>
      <c r="J133" s="41" t="s">
        <v>133</v>
      </c>
    </row>
    <row r="134" spans="1:10">
      <c r="A134" s="38" t="s">
        <v>105</v>
      </c>
      <c r="B134" s="38">
        <v>139</v>
      </c>
      <c r="C134" s="38">
        <v>1</v>
      </c>
      <c r="D134" s="38">
        <v>8</v>
      </c>
      <c r="E134" s="38">
        <v>5</v>
      </c>
      <c r="F134" s="38">
        <v>1.1000000000000001</v>
      </c>
      <c r="G134" s="38" t="s">
        <v>405</v>
      </c>
      <c r="H134" s="38" t="s">
        <v>131</v>
      </c>
      <c r="I134" s="38" t="s">
        <v>406</v>
      </c>
      <c r="J134" s="41" t="s">
        <v>133</v>
      </c>
    </row>
    <row r="135" spans="1:10">
      <c r="A135" s="38" t="s">
        <v>105</v>
      </c>
      <c r="B135" s="38">
        <v>139</v>
      </c>
      <c r="C135" s="38">
        <v>2</v>
      </c>
      <c r="D135" s="38">
        <v>25</v>
      </c>
      <c r="E135" s="38">
        <v>3</v>
      </c>
      <c r="F135" s="38">
        <v>1.1000000000000001</v>
      </c>
      <c r="G135" s="38" t="s">
        <v>405</v>
      </c>
      <c r="H135" s="38" t="s">
        <v>131</v>
      </c>
      <c r="I135" s="38" t="s">
        <v>406</v>
      </c>
      <c r="J135" s="41" t="s">
        <v>133</v>
      </c>
    </row>
    <row r="136" spans="1:10">
      <c r="A136" s="38" t="s">
        <v>105</v>
      </c>
      <c r="B136" s="38">
        <v>140</v>
      </c>
      <c r="C136" s="38">
        <v>1</v>
      </c>
      <c r="D136" s="38">
        <v>8</v>
      </c>
      <c r="E136" s="38">
        <v>14</v>
      </c>
      <c r="F136" s="38">
        <v>1.1000000000000001</v>
      </c>
      <c r="G136" s="38" t="s">
        <v>407</v>
      </c>
      <c r="H136" s="38" t="s">
        <v>131</v>
      </c>
      <c r="I136" s="38" t="s">
        <v>408</v>
      </c>
      <c r="J136" s="41" t="s">
        <v>133</v>
      </c>
    </row>
    <row r="137" spans="1:10">
      <c r="A137" s="38" t="s">
        <v>105</v>
      </c>
      <c r="B137" s="38">
        <v>140</v>
      </c>
      <c r="C137" s="38">
        <v>2</v>
      </c>
      <c r="D137" s="38">
        <v>19</v>
      </c>
      <c r="E137" s="38">
        <v>15</v>
      </c>
      <c r="F137" s="38">
        <v>1.1000000000000001</v>
      </c>
      <c r="G137" s="38" t="s">
        <v>407</v>
      </c>
      <c r="H137" s="38" t="s">
        <v>131</v>
      </c>
      <c r="I137" s="38" t="s">
        <v>408</v>
      </c>
      <c r="J137" s="41" t="s">
        <v>133</v>
      </c>
    </row>
    <row r="138" spans="1:10">
      <c r="A138" s="38" t="s">
        <v>105</v>
      </c>
      <c r="B138" s="38">
        <v>141</v>
      </c>
      <c r="C138" s="38">
        <v>1</v>
      </c>
      <c r="D138" s="38">
        <v>8</v>
      </c>
      <c r="E138" s="38">
        <v>10</v>
      </c>
      <c r="F138" s="38">
        <v>1.1000000000000001</v>
      </c>
      <c r="G138" s="38" t="s">
        <v>409</v>
      </c>
      <c r="H138" s="38" t="s">
        <v>131</v>
      </c>
      <c r="I138" s="38" t="s">
        <v>410</v>
      </c>
      <c r="J138" s="41" t="s">
        <v>133</v>
      </c>
    </row>
    <row r="139" spans="1:10">
      <c r="A139" s="38" t="s">
        <v>105</v>
      </c>
      <c r="B139" s="38">
        <v>141</v>
      </c>
      <c r="C139" s="38">
        <v>2</v>
      </c>
      <c r="D139" s="38">
        <v>31</v>
      </c>
      <c r="E139" s="38">
        <v>10</v>
      </c>
      <c r="F139" s="38">
        <v>1.1000000000000001</v>
      </c>
      <c r="G139" s="38" t="s">
        <v>409</v>
      </c>
      <c r="H139" s="38" t="s">
        <v>131</v>
      </c>
      <c r="I139" s="38" t="s">
        <v>410</v>
      </c>
      <c r="J139" s="41" t="s">
        <v>133</v>
      </c>
    </row>
    <row r="140" spans="1:10">
      <c r="A140" s="38" t="s">
        <v>105</v>
      </c>
      <c r="B140" s="38">
        <v>142</v>
      </c>
      <c r="C140" s="38">
        <v>1</v>
      </c>
      <c r="D140" s="38">
        <v>8</v>
      </c>
      <c r="E140" s="38">
        <v>8</v>
      </c>
      <c r="F140" s="38">
        <v>1.1000000000000001</v>
      </c>
      <c r="G140" s="38" t="s">
        <v>411</v>
      </c>
      <c r="H140" s="38" t="s">
        <v>131</v>
      </c>
      <c r="I140" s="38" t="s">
        <v>412</v>
      </c>
      <c r="J140" s="41" t="s">
        <v>133</v>
      </c>
    </row>
    <row r="141" spans="1:10">
      <c r="A141" s="38" t="s">
        <v>105</v>
      </c>
      <c r="B141" s="38">
        <v>142</v>
      </c>
      <c r="C141" s="38">
        <v>2</v>
      </c>
      <c r="D141" s="38">
        <v>34</v>
      </c>
      <c r="E141" s="38">
        <v>7</v>
      </c>
      <c r="F141" s="38">
        <v>1.1000000000000001</v>
      </c>
      <c r="G141" s="38" t="s">
        <v>411</v>
      </c>
      <c r="H141" s="38" t="s">
        <v>131</v>
      </c>
      <c r="I141" s="38" t="s">
        <v>412</v>
      </c>
      <c r="J141" s="41" t="s">
        <v>133</v>
      </c>
    </row>
    <row r="142" spans="1:10">
      <c r="A142" s="38" t="s">
        <v>105</v>
      </c>
      <c r="B142" s="38">
        <v>143</v>
      </c>
      <c r="C142" s="38">
        <v>1</v>
      </c>
      <c r="D142" s="38">
        <v>8</v>
      </c>
      <c r="E142" s="38">
        <v>13</v>
      </c>
      <c r="F142" s="38">
        <v>1.1000000000000001</v>
      </c>
      <c r="G142" s="38" t="s">
        <v>413</v>
      </c>
      <c r="H142" s="38" t="s">
        <v>131</v>
      </c>
      <c r="I142" s="38" t="s">
        <v>414</v>
      </c>
      <c r="J142" s="41" t="s">
        <v>133</v>
      </c>
    </row>
    <row r="143" spans="1:10">
      <c r="A143" s="38" t="s">
        <v>105</v>
      </c>
      <c r="B143" s="38">
        <v>143</v>
      </c>
      <c r="C143" s="38">
        <v>2</v>
      </c>
      <c r="D143" s="38">
        <v>33</v>
      </c>
      <c r="E143" s="38">
        <v>11</v>
      </c>
      <c r="F143" s="38">
        <v>1.1000000000000001</v>
      </c>
      <c r="G143" s="38" t="s">
        <v>413</v>
      </c>
      <c r="H143" s="38" t="s">
        <v>131</v>
      </c>
      <c r="I143" s="38" t="s">
        <v>414</v>
      </c>
      <c r="J143" s="41" t="s">
        <v>133</v>
      </c>
    </row>
    <row r="144" spans="1:10">
      <c r="A144" s="38" t="s">
        <v>105</v>
      </c>
      <c r="B144" s="38">
        <v>144</v>
      </c>
      <c r="C144" s="38">
        <v>1</v>
      </c>
      <c r="D144" s="38">
        <v>8</v>
      </c>
      <c r="E144" s="38">
        <v>3</v>
      </c>
      <c r="F144" s="38">
        <v>1.1000000000000001</v>
      </c>
      <c r="G144" s="38" t="s">
        <v>415</v>
      </c>
      <c r="H144" s="38" t="s">
        <v>131</v>
      </c>
      <c r="I144" s="38" t="s">
        <v>416</v>
      </c>
      <c r="J144" s="41" t="s">
        <v>133</v>
      </c>
    </row>
    <row r="145" spans="1:10">
      <c r="A145" s="38" t="s">
        <v>105</v>
      </c>
      <c r="B145" s="38">
        <v>144</v>
      </c>
      <c r="C145" s="38">
        <v>2</v>
      </c>
      <c r="D145" s="38">
        <v>32</v>
      </c>
      <c r="E145" s="38">
        <v>17</v>
      </c>
      <c r="F145" s="38">
        <v>1.1000000000000001</v>
      </c>
      <c r="G145" s="38" t="s">
        <v>415</v>
      </c>
      <c r="H145" s="38" t="s">
        <v>131</v>
      </c>
      <c r="I145" s="38" t="s">
        <v>416</v>
      </c>
      <c r="J145" s="41" t="s">
        <v>133</v>
      </c>
    </row>
    <row r="146" spans="1:10">
      <c r="A146" s="38" t="s">
        <v>105</v>
      </c>
      <c r="B146" s="38">
        <v>145</v>
      </c>
      <c r="C146" s="38">
        <v>1</v>
      </c>
      <c r="D146" s="38">
        <v>9</v>
      </c>
      <c r="E146" s="38">
        <v>2</v>
      </c>
      <c r="F146" s="38">
        <v>1.1000000000000001</v>
      </c>
      <c r="G146" s="38" t="s">
        <v>417</v>
      </c>
      <c r="H146" s="38" t="s">
        <v>131</v>
      </c>
      <c r="I146" s="38" t="s">
        <v>418</v>
      </c>
      <c r="J146" s="41" t="s">
        <v>133</v>
      </c>
    </row>
    <row r="147" spans="1:10">
      <c r="A147" s="38" t="s">
        <v>105</v>
      </c>
      <c r="B147" s="38">
        <v>145</v>
      </c>
      <c r="C147" s="38">
        <v>2</v>
      </c>
      <c r="D147" s="38">
        <v>19</v>
      </c>
      <c r="E147" s="38">
        <v>7</v>
      </c>
      <c r="F147" s="38">
        <v>1.1000000000000001</v>
      </c>
      <c r="G147" s="38" t="s">
        <v>417</v>
      </c>
      <c r="H147" s="38" t="s">
        <v>131</v>
      </c>
      <c r="I147" s="38" t="s">
        <v>418</v>
      </c>
      <c r="J147" s="41" t="s">
        <v>133</v>
      </c>
    </row>
    <row r="148" spans="1:10">
      <c r="A148" s="38" t="s">
        <v>105</v>
      </c>
      <c r="B148" s="38">
        <v>146</v>
      </c>
      <c r="C148" s="38">
        <v>1</v>
      </c>
      <c r="D148" s="38">
        <v>9</v>
      </c>
      <c r="E148" s="38">
        <v>5</v>
      </c>
      <c r="F148" s="38">
        <v>1.1000000000000001</v>
      </c>
      <c r="G148" s="38" t="s">
        <v>419</v>
      </c>
      <c r="H148" s="38" t="s">
        <v>131</v>
      </c>
      <c r="I148" s="38" t="s">
        <v>420</v>
      </c>
      <c r="J148" s="41" t="s">
        <v>133</v>
      </c>
    </row>
    <row r="149" spans="1:10">
      <c r="A149" s="38" t="s">
        <v>105</v>
      </c>
      <c r="B149" s="38">
        <v>146</v>
      </c>
      <c r="C149" s="38">
        <v>2</v>
      </c>
      <c r="D149" s="38">
        <v>26</v>
      </c>
      <c r="E149" s="38">
        <v>6</v>
      </c>
      <c r="F149" s="38">
        <v>1.1000000000000001</v>
      </c>
      <c r="G149" s="38" t="s">
        <v>419</v>
      </c>
      <c r="H149" s="38" t="s">
        <v>131</v>
      </c>
      <c r="I149" s="38" t="s">
        <v>420</v>
      </c>
      <c r="J149" s="41" t="s">
        <v>133</v>
      </c>
    </row>
    <row r="150" spans="1:10">
      <c r="A150" s="38" t="s">
        <v>105</v>
      </c>
      <c r="B150" s="38">
        <v>147</v>
      </c>
      <c r="C150" s="38">
        <v>1</v>
      </c>
      <c r="D150" s="38">
        <v>9</v>
      </c>
      <c r="E150" s="38">
        <v>10</v>
      </c>
      <c r="F150" s="38">
        <v>1.1000000000000001</v>
      </c>
      <c r="G150" s="38" t="s">
        <v>421</v>
      </c>
      <c r="H150" s="38" t="s">
        <v>131</v>
      </c>
      <c r="I150" s="38" t="s">
        <v>422</v>
      </c>
      <c r="J150" s="41" t="s">
        <v>133</v>
      </c>
    </row>
    <row r="151" spans="1:10">
      <c r="A151" s="38" t="s">
        <v>105</v>
      </c>
      <c r="B151" s="38">
        <v>147</v>
      </c>
      <c r="C151" s="38">
        <v>2</v>
      </c>
      <c r="D151" s="38">
        <v>21</v>
      </c>
      <c r="E151" s="38">
        <v>1</v>
      </c>
      <c r="F151" s="38">
        <v>1.1000000000000001</v>
      </c>
      <c r="G151" s="38" t="s">
        <v>421</v>
      </c>
      <c r="H151" s="38" t="s">
        <v>131</v>
      </c>
      <c r="I151" s="38" t="s">
        <v>422</v>
      </c>
      <c r="J151" s="41" t="s">
        <v>133</v>
      </c>
    </row>
    <row r="152" spans="1:10">
      <c r="A152" s="38" t="s">
        <v>105</v>
      </c>
      <c r="B152" s="38">
        <v>148</v>
      </c>
      <c r="C152" s="38">
        <v>1</v>
      </c>
      <c r="D152" s="38">
        <v>9</v>
      </c>
      <c r="E152" s="38">
        <v>7</v>
      </c>
      <c r="F152" s="38">
        <v>1.1000000000000001</v>
      </c>
      <c r="G152" s="38" t="s">
        <v>423</v>
      </c>
      <c r="H152" s="38" t="s">
        <v>131</v>
      </c>
      <c r="I152" s="38" t="s">
        <v>424</v>
      </c>
      <c r="J152" s="41" t="s">
        <v>133</v>
      </c>
    </row>
    <row r="153" spans="1:10">
      <c r="A153" s="38" t="s">
        <v>105</v>
      </c>
      <c r="B153" s="38">
        <v>148</v>
      </c>
      <c r="C153" s="38">
        <v>2</v>
      </c>
      <c r="D153" s="38">
        <v>32</v>
      </c>
      <c r="E153" s="38">
        <v>5</v>
      </c>
      <c r="F153" s="38">
        <v>1.1000000000000001</v>
      </c>
      <c r="G153" s="38" t="s">
        <v>423</v>
      </c>
      <c r="H153" s="38" t="s">
        <v>131</v>
      </c>
      <c r="I153" s="38" t="s">
        <v>424</v>
      </c>
      <c r="J153" s="41" t="s">
        <v>133</v>
      </c>
    </row>
    <row r="154" spans="1:10">
      <c r="A154" s="38" t="s">
        <v>105</v>
      </c>
      <c r="B154" s="38">
        <v>149</v>
      </c>
      <c r="C154" s="38">
        <v>1</v>
      </c>
      <c r="D154" s="38">
        <v>9</v>
      </c>
      <c r="E154" s="38">
        <v>13</v>
      </c>
      <c r="F154" s="38">
        <v>1.1000000000000001</v>
      </c>
      <c r="G154" s="38" t="s">
        <v>425</v>
      </c>
      <c r="H154" s="38" t="s">
        <v>131</v>
      </c>
      <c r="I154" s="38" t="s">
        <v>426</v>
      </c>
      <c r="J154" s="41" t="s">
        <v>133</v>
      </c>
    </row>
    <row r="155" spans="1:10">
      <c r="A155" s="38" t="s">
        <v>105</v>
      </c>
      <c r="B155" s="38">
        <v>149</v>
      </c>
      <c r="C155" s="38">
        <v>2</v>
      </c>
      <c r="D155" s="38">
        <v>23</v>
      </c>
      <c r="E155" s="38">
        <v>12</v>
      </c>
      <c r="F155" s="38">
        <v>1.1000000000000001</v>
      </c>
      <c r="G155" s="38" t="s">
        <v>425</v>
      </c>
      <c r="H155" s="38" t="s">
        <v>131</v>
      </c>
      <c r="I155" s="38" t="s">
        <v>426</v>
      </c>
      <c r="J155" s="41" t="s">
        <v>133</v>
      </c>
    </row>
    <row r="156" spans="1:10">
      <c r="A156" s="38" t="s">
        <v>105</v>
      </c>
      <c r="B156" s="38">
        <v>150</v>
      </c>
      <c r="C156" s="38">
        <v>1</v>
      </c>
      <c r="D156" s="38">
        <v>9</v>
      </c>
      <c r="E156" s="38">
        <v>15</v>
      </c>
      <c r="F156" s="38">
        <v>1.1000000000000001</v>
      </c>
      <c r="G156" s="38" t="s">
        <v>427</v>
      </c>
      <c r="H156" s="38" t="s">
        <v>131</v>
      </c>
      <c r="I156" s="38" t="s">
        <v>428</v>
      </c>
      <c r="J156" s="41" t="s">
        <v>133</v>
      </c>
    </row>
    <row r="157" spans="1:10">
      <c r="A157" s="38" t="s">
        <v>105</v>
      </c>
      <c r="B157" s="38">
        <v>150</v>
      </c>
      <c r="C157" s="38">
        <v>2</v>
      </c>
      <c r="D157" s="38">
        <v>22</v>
      </c>
      <c r="E157">
        <v>8</v>
      </c>
      <c r="F157" s="38">
        <v>1.1000000000000001</v>
      </c>
      <c r="G157" s="38" t="s">
        <v>427</v>
      </c>
      <c r="H157" s="38" t="s">
        <v>131</v>
      </c>
      <c r="I157" s="38" t="s">
        <v>428</v>
      </c>
      <c r="J157" s="41" t="s">
        <v>133</v>
      </c>
    </row>
    <row r="158" spans="1:10">
      <c r="A158" s="38" t="s">
        <v>105</v>
      </c>
      <c r="B158" s="38">
        <v>151</v>
      </c>
      <c r="C158" s="38">
        <v>1</v>
      </c>
      <c r="D158" s="38">
        <v>9</v>
      </c>
      <c r="E158" s="38">
        <v>16</v>
      </c>
      <c r="F158" s="38">
        <v>1.1000000000000001</v>
      </c>
      <c r="G158" s="38" t="s">
        <v>429</v>
      </c>
      <c r="H158" s="38" t="s">
        <v>131</v>
      </c>
      <c r="I158" s="38" t="s">
        <v>430</v>
      </c>
      <c r="J158" s="41" t="s">
        <v>133</v>
      </c>
    </row>
    <row r="159" spans="1:10">
      <c r="A159" s="38" t="s">
        <v>105</v>
      </c>
      <c r="B159" s="38">
        <v>151</v>
      </c>
      <c r="C159" s="38">
        <v>2</v>
      </c>
      <c r="D159" s="38">
        <v>36</v>
      </c>
      <c r="E159" s="38">
        <v>7</v>
      </c>
      <c r="F159" s="38">
        <v>1.1000000000000001</v>
      </c>
      <c r="G159" s="38" t="s">
        <v>429</v>
      </c>
      <c r="H159" s="38" t="s">
        <v>131</v>
      </c>
      <c r="I159" s="38" t="s">
        <v>430</v>
      </c>
      <c r="J159" s="41" t="s">
        <v>133</v>
      </c>
    </row>
    <row r="160" spans="1:10">
      <c r="A160" s="38" t="s">
        <v>105</v>
      </c>
      <c r="B160" s="38">
        <v>152</v>
      </c>
      <c r="C160" s="38">
        <v>1</v>
      </c>
      <c r="D160" s="38">
        <v>9</v>
      </c>
      <c r="E160" s="38">
        <v>1</v>
      </c>
      <c r="F160" s="38">
        <v>1.1000000000000001</v>
      </c>
      <c r="G160" s="38" t="s">
        <v>431</v>
      </c>
      <c r="H160" s="38" t="s">
        <v>131</v>
      </c>
      <c r="I160" s="38" t="s">
        <v>432</v>
      </c>
      <c r="J160" s="41" t="s">
        <v>133</v>
      </c>
    </row>
    <row r="161" spans="1:10">
      <c r="A161" s="38" t="s">
        <v>105</v>
      </c>
      <c r="B161" s="38">
        <v>152</v>
      </c>
      <c r="C161" s="38">
        <v>2</v>
      </c>
      <c r="D161" s="38">
        <v>27</v>
      </c>
      <c r="E161" s="38">
        <v>14</v>
      </c>
      <c r="F161" s="38">
        <v>1.1000000000000001</v>
      </c>
      <c r="G161" s="38" t="s">
        <v>431</v>
      </c>
      <c r="H161" s="38" t="s">
        <v>131</v>
      </c>
      <c r="I161" s="38" t="s">
        <v>432</v>
      </c>
      <c r="J161" s="41" t="s">
        <v>133</v>
      </c>
    </row>
    <row r="162" spans="1:10">
      <c r="A162" s="38" t="s">
        <v>105</v>
      </c>
      <c r="B162" s="38">
        <v>153</v>
      </c>
      <c r="C162" s="38">
        <v>1</v>
      </c>
      <c r="D162" s="38">
        <v>9</v>
      </c>
      <c r="E162" s="38">
        <v>18</v>
      </c>
      <c r="F162" s="38">
        <v>1.1000000000000001</v>
      </c>
      <c r="G162" s="38" t="s">
        <v>433</v>
      </c>
      <c r="H162" s="38" t="s">
        <v>131</v>
      </c>
      <c r="I162" s="38" t="s">
        <v>434</v>
      </c>
      <c r="J162" s="41" t="s">
        <v>133</v>
      </c>
    </row>
    <row r="163" spans="1:10">
      <c r="A163" s="38" t="s">
        <v>105</v>
      </c>
      <c r="B163" s="38">
        <v>153</v>
      </c>
      <c r="C163" s="38">
        <v>2</v>
      </c>
      <c r="D163" s="38">
        <v>33</v>
      </c>
      <c r="E163" s="38">
        <v>8</v>
      </c>
      <c r="F163" s="38">
        <v>1.1000000000000001</v>
      </c>
      <c r="G163" s="38" t="s">
        <v>433</v>
      </c>
      <c r="H163" s="38" t="s">
        <v>131</v>
      </c>
      <c r="I163" s="38" t="s">
        <v>434</v>
      </c>
      <c r="J163" s="41" t="s">
        <v>133</v>
      </c>
    </row>
    <row r="164" spans="1:10">
      <c r="A164" s="38" t="s">
        <v>105</v>
      </c>
      <c r="B164" s="38">
        <v>154</v>
      </c>
      <c r="C164" s="38">
        <v>1</v>
      </c>
      <c r="D164" s="38">
        <v>9</v>
      </c>
      <c r="E164" s="38">
        <v>6</v>
      </c>
      <c r="F164" s="38">
        <v>1.1000000000000001</v>
      </c>
      <c r="G164" s="38" t="s">
        <v>435</v>
      </c>
      <c r="H164" s="38" t="s">
        <v>131</v>
      </c>
      <c r="I164" s="38" t="s">
        <v>436</v>
      </c>
      <c r="J164" s="41" t="s">
        <v>133</v>
      </c>
    </row>
    <row r="165" spans="1:10">
      <c r="A165" s="38" t="s">
        <v>105</v>
      </c>
      <c r="B165" s="38">
        <v>154</v>
      </c>
      <c r="C165" s="38">
        <v>2</v>
      </c>
      <c r="D165" s="38">
        <v>28</v>
      </c>
      <c r="E165" s="38">
        <v>17</v>
      </c>
      <c r="F165" s="38">
        <v>1.1000000000000001</v>
      </c>
      <c r="G165" s="38" t="s">
        <v>435</v>
      </c>
      <c r="H165" s="38" t="s">
        <v>131</v>
      </c>
      <c r="I165" s="38" t="s">
        <v>436</v>
      </c>
      <c r="J165" s="41" t="s">
        <v>133</v>
      </c>
    </row>
    <row r="166" spans="1:10">
      <c r="A166" s="38" t="s">
        <v>105</v>
      </c>
      <c r="B166" s="38">
        <v>155</v>
      </c>
      <c r="C166" s="38">
        <v>1</v>
      </c>
      <c r="D166" s="38">
        <v>9</v>
      </c>
      <c r="E166" s="38">
        <v>4</v>
      </c>
      <c r="F166" s="38">
        <v>1.1000000000000001</v>
      </c>
      <c r="G166" s="38" t="s">
        <v>437</v>
      </c>
      <c r="H166" s="38" t="s">
        <v>131</v>
      </c>
      <c r="I166" s="38" t="s">
        <v>438</v>
      </c>
      <c r="J166" s="41" t="s">
        <v>133</v>
      </c>
    </row>
    <row r="167" spans="1:10">
      <c r="A167" s="38" t="s">
        <v>105</v>
      </c>
      <c r="B167" s="38">
        <v>155</v>
      </c>
      <c r="C167" s="38">
        <v>2</v>
      </c>
      <c r="D167" s="38">
        <v>20</v>
      </c>
      <c r="E167" s="38">
        <v>18</v>
      </c>
      <c r="F167" s="38">
        <v>1.1000000000000001</v>
      </c>
      <c r="G167" s="38" t="s">
        <v>437</v>
      </c>
      <c r="H167" s="38" t="s">
        <v>131</v>
      </c>
      <c r="I167" s="38" t="s">
        <v>438</v>
      </c>
      <c r="J167" s="41" t="s">
        <v>133</v>
      </c>
    </row>
    <row r="168" spans="1:10">
      <c r="A168" s="38" t="s">
        <v>105</v>
      </c>
      <c r="B168" s="38">
        <v>156</v>
      </c>
      <c r="C168" s="38">
        <v>1</v>
      </c>
      <c r="D168" s="38">
        <v>9</v>
      </c>
      <c r="E168" s="38">
        <v>9</v>
      </c>
      <c r="F168" s="38">
        <v>1.1000000000000001</v>
      </c>
      <c r="G168" s="38" t="s">
        <v>439</v>
      </c>
      <c r="H168" s="38" t="s">
        <v>131</v>
      </c>
      <c r="I168" s="38" t="s">
        <v>440</v>
      </c>
      <c r="J168" s="41" t="s">
        <v>133</v>
      </c>
    </row>
    <row r="169" spans="1:10">
      <c r="A169" s="38" t="s">
        <v>105</v>
      </c>
      <c r="B169" s="38">
        <v>156</v>
      </c>
      <c r="C169" s="38">
        <v>2</v>
      </c>
      <c r="D169" s="38">
        <v>24</v>
      </c>
      <c r="E169" s="38">
        <v>2</v>
      </c>
      <c r="F169" s="38">
        <v>1.1000000000000001</v>
      </c>
      <c r="G169" s="38" t="s">
        <v>439</v>
      </c>
      <c r="H169" s="38" t="s">
        <v>131</v>
      </c>
      <c r="I169" s="38" t="s">
        <v>440</v>
      </c>
      <c r="J169" s="41" t="s">
        <v>133</v>
      </c>
    </row>
    <row r="170" spans="1:10">
      <c r="A170" s="38" t="s">
        <v>105</v>
      </c>
      <c r="B170" s="38">
        <v>157</v>
      </c>
      <c r="C170" s="38">
        <v>1</v>
      </c>
      <c r="D170" s="38">
        <v>9</v>
      </c>
      <c r="E170" s="38">
        <v>3</v>
      </c>
      <c r="F170" s="38">
        <v>1.1000000000000001</v>
      </c>
      <c r="G170" s="38" t="s">
        <v>441</v>
      </c>
      <c r="H170" s="38" t="s">
        <v>131</v>
      </c>
      <c r="I170" s="38" t="s">
        <v>442</v>
      </c>
      <c r="J170" s="41" t="s">
        <v>133</v>
      </c>
    </row>
    <row r="171" spans="1:10">
      <c r="A171" s="38" t="s">
        <v>105</v>
      </c>
      <c r="B171" s="38">
        <v>157</v>
      </c>
      <c r="C171" s="38">
        <v>2</v>
      </c>
      <c r="D171" s="38">
        <v>25</v>
      </c>
      <c r="E171" s="38">
        <v>2</v>
      </c>
      <c r="F171" s="38">
        <v>1.1000000000000001</v>
      </c>
      <c r="G171" s="38" t="s">
        <v>441</v>
      </c>
      <c r="H171" s="38" t="s">
        <v>131</v>
      </c>
      <c r="I171" s="38" t="s">
        <v>442</v>
      </c>
      <c r="J171" s="41" t="s">
        <v>133</v>
      </c>
    </row>
    <row r="172" spans="1:10">
      <c r="A172" s="38" t="s">
        <v>105</v>
      </c>
      <c r="B172" s="38">
        <v>158</v>
      </c>
      <c r="C172" s="38">
        <v>1</v>
      </c>
      <c r="D172" s="38">
        <v>9</v>
      </c>
      <c r="E172" s="38">
        <v>12</v>
      </c>
      <c r="F172" s="38">
        <v>1.1000000000000001</v>
      </c>
      <c r="G172" s="38" t="s">
        <v>443</v>
      </c>
      <c r="H172" s="38" t="s">
        <v>131</v>
      </c>
      <c r="I172" s="38" t="s">
        <v>444</v>
      </c>
      <c r="J172" s="41" t="s">
        <v>133</v>
      </c>
    </row>
    <row r="173" spans="1:10">
      <c r="A173" s="38" t="s">
        <v>105</v>
      </c>
      <c r="B173" s="38">
        <v>158</v>
      </c>
      <c r="C173" s="38">
        <v>2</v>
      </c>
      <c r="D173" s="38">
        <v>34</v>
      </c>
      <c r="E173" s="38">
        <v>18</v>
      </c>
      <c r="F173" s="38">
        <v>1.1000000000000001</v>
      </c>
      <c r="G173" s="38" t="s">
        <v>443</v>
      </c>
      <c r="H173" s="38" t="s">
        <v>131</v>
      </c>
      <c r="I173" s="38" t="s">
        <v>444</v>
      </c>
      <c r="J173" s="41" t="s">
        <v>133</v>
      </c>
    </row>
    <row r="174" spans="1:10">
      <c r="A174" s="38" t="s">
        <v>105</v>
      </c>
      <c r="B174" s="38">
        <v>159</v>
      </c>
      <c r="C174" s="38">
        <v>1</v>
      </c>
      <c r="D174" s="38">
        <v>9</v>
      </c>
      <c r="E174" s="38">
        <v>8</v>
      </c>
      <c r="F174" s="38">
        <v>1.1000000000000001</v>
      </c>
      <c r="G174" s="38" t="s">
        <v>445</v>
      </c>
      <c r="H174" s="38" t="s">
        <v>131</v>
      </c>
      <c r="I174" s="38" t="s">
        <v>446</v>
      </c>
      <c r="J174" s="41" t="s">
        <v>133</v>
      </c>
    </row>
    <row r="175" spans="1:10">
      <c r="A175" s="38" t="s">
        <v>105</v>
      </c>
      <c r="B175" s="38">
        <v>159</v>
      </c>
      <c r="C175" s="38">
        <v>2</v>
      </c>
      <c r="D175" s="38">
        <v>29</v>
      </c>
      <c r="E175" s="38">
        <v>13</v>
      </c>
      <c r="F175" s="38">
        <v>1.1000000000000001</v>
      </c>
      <c r="G175" s="38" t="s">
        <v>445</v>
      </c>
      <c r="H175" s="38" t="s">
        <v>131</v>
      </c>
      <c r="I175" s="38" t="s">
        <v>446</v>
      </c>
      <c r="J175" s="41" t="s">
        <v>133</v>
      </c>
    </row>
    <row r="176" spans="1:10">
      <c r="A176" s="38" t="s">
        <v>105</v>
      </c>
      <c r="B176" s="38">
        <v>160</v>
      </c>
      <c r="C176" s="38">
        <v>1</v>
      </c>
      <c r="D176" s="38">
        <v>9</v>
      </c>
      <c r="E176" s="38">
        <v>11</v>
      </c>
      <c r="F176" s="38">
        <v>1.1000000000000001</v>
      </c>
      <c r="G176" s="38" t="s">
        <v>447</v>
      </c>
      <c r="H176" s="38" t="s">
        <v>131</v>
      </c>
      <c r="I176" s="38" t="s">
        <v>448</v>
      </c>
      <c r="J176" s="41" t="s">
        <v>133</v>
      </c>
    </row>
    <row r="177" spans="1:10">
      <c r="A177" s="38" t="s">
        <v>105</v>
      </c>
      <c r="B177" s="38">
        <v>160</v>
      </c>
      <c r="C177" s="38">
        <v>2</v>
      </c>
      <c r="D177" s="38">
        <v>30</v>
      </c>
      <c r="E177" s="38">
        <v>15</v>
      </c>
      <c r="F177" s="38">
        <v>1.1000000000000001</v>
      </c>
      <c r="G177" s="38" t="s">
        <v>447</v>
      </c>
      <c r="H177" s="38" t="s">
        <v>131</v>
      </c>
      <c r="I177" s="38" t="s">
        <v>448</v>
      </c>
      <c r="J177" s="41" t="s">
        <v>133</v>
      </c>
    </row>
    <row r="178" spans="1:10">
      <c r="A178" s="38" t="s">
        <v>105</v>
      </c>
      <c r="B178" s="38">
        <v>161</v>
      </c>
      <c r="C178" s="38">
        <v>1</v>
      </c>
      <c r="D178" s="38">
        <v>9</v>
      </c>
      <c r="E178" s="38">
        <v>17</v>
      </c>
      <c r="F178" s="38">
        <v>1.1000000000000001</v>
      </c>
      <c r="G178" s="38" t="s">
        <v>449</v>
      </c>
      <c r="H178" s="38" t="s">
        <v>131</v>
      </c>
      <c r="I178" s="38" t="s">
        <v>450</v>
      </c>
      <c r="J178" s="41" t="s">
        <v>133</v>
      </c>
    </row>
    <row r="179" spans="1:10">
      <c r="A179" s="38" t="s">
        <v>105</v>
      </c>
      <c r="B179" s="38">
        <v>161</v>
      </c>
      <c r="C179" s="38">
        <v>2</v>
      </c>
      <c r="D179" s="38">
        <v>35</v>
      </c>
      <c r="E179" s="38">
        <v>8</v>
      </c>
      <c r="F179" s="38">
        <v>1.1000000000000001</v>
      </c>
      <c r="G179" s="38" t="s">
        <v>449</v>
      </c>
      <c r="H179" s="38" t="s">
        <v>131</v>
      </c>
      <c r="I179" s="38" t="s">
        <v>450</v>
      </c>
      <c r="J179" s="41" t="s">
        <v>133</v>
      </c>
    </row>
    <row r="180" spans="1:10">
      <c r="A180" s="38" t="s">
        <v>105</v>
      </c>
      <c r="B180" s="38">
        <v>162</v>
      </c>
      <c r="C180" s="38">
        <v>1</v>
      </c>
      <c r="D180" s="38">
        <v>9</v>
      </c>
      <c r="E180" s="38">
        <v>14</v>
      </c>
      <c r="F180" s="38">
        <v>1.1000000000000001</v>
      </c>
      <c r="G180" s="38" t="s">
        <v>451</v>
      </c>
      <c r="H180" s="38" t="s">
        <v>131</v>
      </c>
      <c r="I180" s="38" t="s">
        <v>452</v>
      </c>
      <c r="J180" s="41" t="s">
        <v>133</v>
      </c>
    </row>
    <row r="181" spans="1:10">
      <c r="A181" s="38" t="s">
        <v>105</v>
      </c>
      <c r="B181" s="38">
        <v>162</v>
      </c>
      <c r="C181" s="38">
        <v>2</v>
      </c>
      <c r="D181" s="38">
        <v>31</v>
      </c>
      <c r="E181" s="38">
        <v>18</v>
      </c>
      <c r="F181" s="38">
        <v>1.1000000000000001</v>
      </c>
      <c r="G181" s="38" t="s">
        <v>451</v>
      </c>
      <c r="H181" s="38" t="s">
        <v>131</v>
      </c>
      <c r="I181" s="38" t="s">
        <v>452</v>
      </c>
      <c r="J181" s="41" t="s">
        <v>133</v>
      </c>
    </row>
    <row r="182" spans="1:10">
      <c r="A182" s="38" t="s">
        <v>105</v>
      </c>
      <c r="B182" s="38">
        <v>163</v>
      </c>
      <c r="C182" s="38">
        <v>1</v>
      </c>
      <c r="D182" s="38">
        <v>10</v>
      </c>
      <c r="E182" s="38">
        <v>2</v>
      </c>
      <c r="F182" s="38">
        <v>1.1000000000000001</v>
      </c>
      <c r="G182" s="38" t="s">
        <v>453</v>
      </c>
      <c r="H182" s="38" t="s">
        <v>131</v>
      </c>
      <c r="I182" s="38" t="s">
        <v>454</v>
      </c>
      <c r="J182" s="41" t="s">
        <v>133</v>
      </c>
    </row>
    <row r="183" spans="1:10">
      <c r="A183" s="38" t="s">
        <v>105</v>
      </c>
      <c r="B183" s="38">
        <v>163</v>
      </c>
      <c r="C183" s="38">
        <v>2</v>
      </c>
      <c r="D183" s="38">
        <v>21</v>
      </c>
      <c r="E183" s="38">
        <v>4</v>
      </c>
      <c r="F183" s="38">
        <v>1.1000000000000001</v>
      </c>
      <c r="G183" s="38" t="s">
        <v>453</v>
      </c>
      <c r="H183" s="38" t="s">
        <v>131</v>
      </c>
      <c r="I183" s="38" t="s">
        <v>454</v>
      </c>
      <c r="J183" s="41" t="s">
        <v>133</v>
      </c>
    </row>
    <row r="184" spans="1:10">
      <c r="A184" s="38" t="s">
        <v>105</v>
      </c>
      <c r="B184" s="38">
        <v>164</v>
      </c>
      <c r="C184" s="38">
        <v>1</v>
      </c>
      <c r="D184" s="38">
        <v>10</v>
      </c>
      <c r="E184" s="38">
        <v>18</v>
      </c>
      <c r="F184" s="38">
        <v>1.1000000000000001</v>
      </c>
      <c r="G184" s="38" t="s">
        <v>455</v>
      </c>
      <c r="H184" s="38" t="s">
        <v>131</v>
      </c>
      <c r="I184" s="38" t="s">
        <v>456</v>
      </c>
      <c r="J184" s="41" t="s">
        <v>133</v>
      </c>
    </row>
    <row r="185" spans="1:10">
      <c r="A185" s="38" t="s">
        <v>105</v>
      </c>
      <c r="B185" s="38">
        <v>164</v>
      </c>
      <c r="C185" s="38">
        <v>2</v>
      </c>
      <c r="D185" s="38">
        <v>20</v>
      </c>
      <c r="E185" s="38">
        <v>16</v>
      </c>
      <c r="F185" s="38">
        <v>1.1000000000000001</v>
      </c>
      <c r="G185" s="38" t="s">
        <v>455</v>
      </c>
      <c r="H185" s="38" t="s">
        <v>131</v>
      </c>
      <c r="I185" s="38" t="s">
        <v>456</v>
      </c>
      <c r="J185" s="41" t="s">
        <v>133</v>
      </c>
    </row>
    <row r="186" spans="1:10">
      <c r="A186" s="38" t="s">
        <v>105</v>
      </c>
      <c r="B186" s="38">
        <v>165</v>
      </c>
      <c r="C186" s="38">
        <v>1</v>
      </c>
      <c r="D186" s="38">
        <v>10</v>
      </c>
      <c r="E186" s="38">
        <v>12</v>
      </c>
      <c r="F186" s="38">
        <v>1.1000000000000001</v>
      </c>
      <c r="G186" s="38" t="s">
        <v>457</v>
      </c>
      <c r="H186" s="38" t="s">
        <v>131</v>
      </c>
      <c r="I186" s="38" t="s">
        <v>458</v>
      </c>
      <c r="J186" s="41" t="s">
        <v>133</v>
      </c>
    </row>
    <row r="187" spans="1:10">
      <c r="A187" s="38" t="s">
        <v>105</v>
      </c>
      <c r="B187" s="38">
        <v>165</v>
      </c>
      <c r="C187" s="38">
        <v>2</v>
      </c>
      <c r="D187" s="38">
        <v>25</v>
      </c>
      <c r="E187" s="38">
        <v>12</v>
      </c>
      <c r="F187" s="38">
        <v>1.1000000000000001</v>
      </c>
      <c r="G187" s="38" t="s">
        <v>457</v>
      </c>
      <c r="H187" s="38" t="s">
        <v>131</v>
      </c>
      <c r="I187" s="38" t="s">
        <v>458</v>
      </c>
      <c r="J187" s="41" t="s">
        <v>133</v>
      </c>
    </row>
    <row r="188" spans="1:10">
      <c r="A188" s="38" t="s">
        <v>105</v>
      </c>
      <c r="B188" s="38">
        <v>166</v>
      </c>
      <c r="C188" s="38">
        <v>1</v>
      </c>
      <c r="D188" s="38">
        <v>10</v>
      </c>
      <c r="E188" s="38">
        <v>6</v>
      </c>
      <c r="F188" s="38">
        <v>1.1000000000000001</v>
      </c>
      <c r="G188" s="38" t="s">
        <v>459</v>
      </c>
      <c r="H188" s="38" t="s">
        <v>131</v>
      </c>
      <c r="I188" s="38" t="s">
        <v>460</v>
      </c>
      <c r="J188" s="41" t="s">
        <v>133</v>
      </c>
    </row>
    <row r="189" spans="1:10">
      <c r="A189" s="38" t="s">
        <v>105</v>
      </c>
      <c r="B189" s="38">
        <v>166</v>
      </c>
      <c r="C189" s="38">
        <v>2</v>
      </c>
      <c r="D189" s="38">
        <v>24</v>
      </c>
      <c r="E189" s="38">
        <v>10</v>
      </c>
      <c r="F189" s="38">
        <v>1.1000000000000001</v>
      </c>
      <c r="G189" s="38" t="s">
        <v>459</v>
      </c>
      <c r="H189" s="38" t="s">
        <v>131</v>
      </c>
      <c r="I189" s="38" t="s">
        <v>460</v>
      </c>
      <c r="J189" s="41" t="s">
        <v>133</v>
      </c>
    </row>
    <row r="190" spans="1:10">
      <c r="A190" s="38" t="s">
        <v>105</v>
      </c>
      <c r="B190" s="38">
        <v>167</v>
      </c>
      <c r="C190" s="38">
        <v>1</v>
      </c>
      <c r="D190" s="38">
        <v>10</v>
      </c>
      <c r="E190" s="38">
        <v>8</v>
      </c>
      <c r="F190" s="38">
        <v>1.1000000000000001</v>
      </c>
      <c r="G190" s="38" t="s">
        <v>461</v>
      </c>
      <c r="H190" s="38" t="s">
        <v>131</v>
      </c>
      <c r="I190" s="38" t="s">
        <v>462</v>
      </c>
      <c r="J190" s="41" t="s">
        <v>133</v>
      </c>
    </row>
    <row r="191" spans="1:10">
      <c r="A191" s="38" t="s">
        <v>105</v>
      </c>
      <c r="B191" s="38">
        <v>167</v>
      </c>
      <c r="C191" s="38">
        <v>2</v>
      </c>
      <c r="D191" s="38">
        <v>26</v>
      </c>
      <c r="E191" s="38">
        <v>9</v>
      </c>
      <c r="F191" s="38">
        <v>1.1000000000000001</v>
      </c>
      <c r="G191" s="38" t="s">
        <v>461</v>
      </c>
      <c r="H191" s="38" t="s">
        <v>131</v>
      </c>
      <c r="I191" s="38" t="s">
        <v>462</v>
      </c>
      <c r="J191" s="41" t="s">
        <v>133</v>
      </c>
    </row>
    <row r="192" spans="1:10">
      <c r="A192" s="38" t="s">
        <v>105</v>
      </c>
      <c r="B192" s="38">
        <v>168</v>
      </c>
      <c r="C192" s="38">
        <v>1</v>
      </c>
      <c r="D192" s="38">
        <v>10</v>
      </c>
      <c r="E192" s="38">
        <v>16</v>
      </c>
      <c r="F192" s="38">
        <v>1.1000000000000001</v>
      </c>
      <c r="G192" s="38" t="s">
        <v>463</v>
      </c>
      <c r="H192" s="38" t="s">
        <v>131</v>
      </c>
      <c r="I192" s="38" t="s">
        <v>464</v>
      </c>
      <c r="J192" s="41" t="s">
        <v>133</v>
      </c>
    </row>
    <row r="193" spans="1:10">
      <c r="A193" s="38" t="s">
        <v>105</v>
      </c>
      <c r="B193" s="38">
        <v>168</v>
      </c>
      <c r="C193" s="38">
        <v>2</v>
      </c>
      <c r="D193" s="38">
        <v>28</v>
      </c>
      <c r="E193" s="38">
        <v>13</v>
      </c>
      <c r="F193" s="38">
        <v>1.1000000000000001</v>
      </c>
      <c r="G193" s="38" t="s">
        <v>463</v>
      </c>
      <c r="H193" s="38" t="s">
        <v>131</v>
      </c>
      <c r="I193" s="38" t="s">
        <v>464</v>
      </c>
      <c r="J193" s="41" t="s">
        <v>133</v>
      </c>
    </row>
    <row r="194" spans="1:10">
      <c r="A194" s="38" t="s">
        <v>105</v>
      </c>
      <c r="B194" s="38">
        <v>169</v>
      </c>
      <c r="C194" s="38">
        <v>1</v>
      </c>
      <c r="D194" s="38">
        <v>10</v>
      </c>
      <c r="E194" s="38">
        <v>3</v>
      </c>
      <c r="F194" s="38">
        <v>1.1000000000000001</v>
      </c>
      <c r="G194" s="38" t="s">
        <v>465</v>
      </c>
      <c r="H194" s="38" t="s">
        <v>131</v>
      </c>
      <c r="I194" s="38" t="s">
        <v>466</v>
      </c>
      <c r="J194" s="41" t="s">
        <v>133</v>
      </c>
    </row>
    <row r="195" spans="1:10">
      <c r="A195" s="38" t="s">
        <v>105</v>
      </c>
      <c r="B195" s="38">
        <v>169</v>
      </c>
      <c r="C195" s="38">
        <v>2</v>
      </c>
      <c r="D195" s="38">
        <v>32</v>
      </c>
      <c r="E195" s="38">
        <v>13</v>
      </c>
      <c r="F195" s="38">
        <v>1.1000000000000001</v>
      </c>
      <c r="G195" s="38" t="s">
        <v>465</v>
      </c>
      <c r="H195" s="38" t="s">
        <v>131</v>
      </c>
      <c r="I195" s="38" t="s">
        <v>466</v>
      </c>
      <c r="J195" s="41" t="s">
        <v>133</v>
      </c>
    </row>
    <row r="196" spans="1:10">
      <c r="A196" s="38" t="s">
        <v>105</v>
      </c>
      <c r="B196" s="38">
        <v>170</v>
      </c>
      <c r="C196" s="38">
        <v>1</v>
      </c>
      <c r="D196" s="38">
        <v>10</v>
      </c>
      <c r="E196" s="38">
        <v>5</v>
      </c>
      <c r="F196" s="38">
        <v>1.1000000000000001</v>
      </c>
      <c r="G196" s="38" t="s">
        <v>467</v>
      </c>
      <c r="H196" s="38" t="s">
        <v>131</v>
      </c>
      <c r="I196" s="38" t="s">
        <v>468</v>
      </c>
      <c r="J196" s="41" t="s">
        <v>133</v>
      </c>
    </row>
    <row r="197" spans="1:10">
      <c r="A197" s="38" t="s">
        <v>105</v>
      </c>
      <c r="B197" s="38">
        <v>170</v>
      </c>
      <c r="C197" s="38">
        <v>2</v>
      </c>
      <c r="D197" s="38">
        <v>29</v>
      </c>
      <c r="E197" s="38">
        <v>1</v>
      </c>
      <c r="F197" s="38">
        <v>1.1000000000000001</v>
      </c>
      <c r="G197" s="38" t="s">
        <v>467</v>
      </c>
      <c r="H197" s="38" t="s">
        <v>131</v>
      </c>
      <c r="I197" s="38" t="s">
        <v>468</v>
      </c>
      <c r="J197" s="41" t="s">
        <v>133</v>
      </c>
    </row>
    <row r="198" spans="1:10">
      <c r="A198" s="38" t="s">
        <v>105</v>
      </c>
      <c r="B198" s="38">
        <v>171</v>
      </c>
      <c r="C198" s="38">
        <v>1</v>
      </c>
      <c r="D198" s="38">
        <v>10</v>
      </c>
      <c r="E198" s="38">
        <v>7</v>
      </c>
      <c r="F198" s="38">
        <v>1.1000000000000001</v>
      </c>
      <c r="G198" s="38" t="s">
        <v>469</v>
      </c>
      <c r="H198" s="38" t="s">
        <v>131</v>
      </c>
      <c r="I198" s="38" t="s">
        <v>470</v>
      </c>
      <c r="J198" s="41" t="s">
        <v>133</v>
      </c>
    </row>
    <row r="199" spans="1:10">
      <c r="A199" s="38" t="s">
        <v>105</v>
      </c>
      <c r="B199" s="38">
        <v>171</v>
      </c>
      <c r="C199" s="38">
        <v>2</v>
      </c>
      <c r="D199" s="38">
        <v>23</v>
      </c>
      <c r="E199" s="38">
        <v>10</v>
      </c>
      <c r="F199" s="38">
        <v>1.1000000000000001</v>
      </c>
      <c r="G199" s="38" t="s">
        <v>469</v>
      </c>
      <c r="H199" s="38" t="s">
        <v>131</v>
      </c>
      <c r="I199" s="38" t="s">
        <v>470</v>
      </c>
      <c r="J199" s="41" t="s">
        <v>133</v>
      </c>
    </row>
    <row r="200" spans="1:10">
      <c r="A200" s="38" t="s">
        <v>105</v>
      </c>
      <c r="B200" s="38">
        <v>172</v>
      </c>
      <c r="C200" s="38">
        <v>1</v>
      </c>
      <c r="D200" s="38">
        <v>10</v>
      </c>
      <c r="E200" s="38">
        <v>17</v>
      </c>
      <c r="F200" s="38">
        <v>1.1000000000000001</v>
      </c>
      <c r="G200" s="38" t="s">
        <v>471</v>
      </c>
      <c r="H200" s="38" t="s">
        <v>131</v>
      </c>
      <c r="I200" s="38" t="s">
        <v>472</v>
      </c>
      <c r="J200" s="41" t="s">
        <v>133</v>
      </c>
    </row>
    <row r="201" spans="1:10">
      <c r="A201" s="38" t="s">
        <v>105</v>
      </c>
      <c r="B201" s="38">
        <v>172</v>
      </c>
      <c r="C201" s="38">
        <v>2</v>
      </c>
      <c r="D201" s="38">
        <v>34</v>
      </c>
      <c r="E201" s="38">
        <v>6</v>
      </c>
      <c r="F201" s="38">
        <v>1.1000000000000001</v>
      </c>
      <c r="G201" s="38" t="s">
        <v>471</v>
      </c>
      <c r="H201" s="38" t="s">
        <v>131</v>
      </c>
      <c r="I201" s="38" t="s">
        <v>472</v>
      </c>
      <c r="J201" s="41" t="s">
        <v>133</v>
      </c>
    </row>
    <row r="202" spans="1:10">
      <c r="A202" s="38" t="s">
        <v>105</v>
      </c>
      <c r="B202" s="38">
        <v>173</v>
      </c>
      <c r="C202" s="38">
        <v>1</v>
      </c>
      <c r="D202" s="38">
        <v>10</v>
      </c>
      <c r="E202" s="38">
        <v>10</v>
      </c>
      <c r="F202" s="38">
        <v>1.1000000000000001</v>
      </c>
      <c r="G202" s="38" t="s">
        <v>473</v>
      </c>
      <c r="H202" s="38" t="s">
        <v>131</v>
      </c>
      <c r="I202" s="38" t="s">
        <v>474</v>
      </c>
      <c r="J202" s="41" t="s">
        <v>133</v>
      </c>
    </row>
    <row r="203" spans="1:10">
      <c r="A203" s="38" t="s">
        <v>105</v>
      </c>
      <c r="B203" s="38">
        <v>173</v>
      </c>
      <c r="C203" s="38">
        <v>2</v>
      </c>
      <c r="D203" s="38">
        <v>22</v>
      </c>
      <c r="E203">
        <v>14</v>
      </c>
      <c r="F203" s="38">
        <v>1.1000000000000001</v>
      </c>
      <c r="G203" s="38" t="s">
        <v>473</v>
      </c>
      <c r="H203" s="38" t="s">
        <v>131</v>
      </c>
      <c r="I203" s="38" t="s">
        <v>474</v>
      </c>
      <c r="J203" s="41" t="s">
        <v>133</v>
      </c>
    </row>
    <row r="204" spans="1:10">
      <c r="A204" s="38" t="s">
        <v>105</v>
      </c>
      <c r="B204" s="38">
        <v>174</v>
      </c>
      <c r="C204" s="38">
        <v>1</v>
      </c>
      <c r="D204" s="38">
        <v>10</v>
      </c>
      <c r="E204" s="38">
        <v>14</v>
      </c>
      <c r="F204" s="38">
        <v>1.1000000000000001</v>
      </c>
      <c r="G204" s="38" t="s">
        <v>475</v>
      </c>
      <c r="H204" s="38" t="s">
        <v>131</v>
      </c>
      <c r="I204" s="38" t="s">
        <v>476</v>
      </c>
      <c r="J204" s="41" t="s">
        <v>133</v>
      </c>
    </row>
    <row r="205" spans="1:10">
      <c r="A205" s="38" t="s">
        <v>105</v>
      </c>
      <c r="B205" s="38">
        <v>174</v>
      </c>
      <c r="C205" s="38">
        <v>2</v>
      </c>
      <c r="D205" s="38">
        <v>27</v>
      </c>
      <c r="E205" s="38">
        <v>15</v>
      </c>
      <c r="F205" s="38">
        <v>1.1000000000000001</v>
      </c>
      <c r="G205" s="38" t="s">
        <v>475</v>
      </c>
      <c r="H205" s="38" t="s">
        <v>131</v>
      </c>
      <c r="I205" s="38" t="s">
        <v>476</v>
      </c>
      <c r="J205" s="41" t="s">
        <v>133</v>
      </c>
    </row>
    <row r="206" spans="1:10">
      <c r="A206" s="38" t="s">
        <v>105</v>
      </c>
      <c r="B206" s="38">
        <v>175</v>
      </c>
      <c r="C206" s="38">
        <v>1</v>
      </c>
      <c r="D206" s="38">
        <v>10</v>
      </c>
      <c r="E206" s="38">
        <v>1</v>
      </c>
      <c r="F206" s="38">
        <v>1.1000000000000001</v>
      </c>
      <c r="G206" s="38" t="s">
        <v>477</v>
      </c>
      <c r="H206" s="38" t="s">
        <v>131</v>
      </c>
      <c r="I206" s="38" t="s">
        <v>478</v>
      </c>
      <c r="J206" s="41" t="s">
        <v>133</v>
      </c>
    </row>
    <row r="207" spans="1:10">
      <c r="A207" s="38" t="s">
        <v>105</v>
      </c>
      <c r="B207" s="38">
        <v>175</v>
      </c>
      <c r="C207" s="38">
        <v>2</v>
      </c>
      <c r="D207" s="38">
        <v>19</v>
      </c>
      <c r="E207" s="38">
        <v>4</v>
      </c>
      <c r="F207" s="38">
        <v>1.1000000000000001</v>
      </c>
      <c r="G207" s="38" t="s">
        <v>477</v>
      </c>
      <c r="H207" s="38" t="s">
        <v>131</v>
      </c>
      <c r="I207" s="38" t="s">
        <v>478</v>
      </c>
      <c r="J207" s="41" t="s">
        <v>133</v>
      </c>
    </row>
    <row r="208" spans="1:10">
      <c r="A208" s="38" t="s">
        <v>105</v>
      </c>
      <c r="B208" s="38">
        <v>176</v>
      </c>
      <c r="C208" s="38">
        <v>1</v>
      </c>
      <c r="D208" s="38">
        <v>10</v>
      </c>
      <c r="E208" s="38">
        <v>11</v>
      </c>
      <c r="F208" s="38">
        <v>1.1000000000000001</v>
      </c>
      <c r="G208" s="38" t="s">
        <v>479</v>
      </c>
      <c r="H208" s="38" t="s">
        <v>131</v>
      </c>
      <c r="I208" s="38" t="s">
        <v>480</v>
      </c>
      <c r="J208" s="41" t="s">
        <v>133</v>
      </c>
    </row>
    <row r="209" spans="1:10">
      <c r="A209" s="38" t="s">
        <v>105</v>
      </c>
      <c r="B209" s="38">
        <v>176</v>
      </c>
      <c r="C209" s="38">
        <v>2</v>
      </c>
      <c r="D209" s="38">
        <v>35</v>
      </c>
      <c r="E209" s="38">
        <v>4</v>
      </c>
      <c r="F209" s="38">
        <v>1.1000000000000001</v>
      </c>
      <c r="G209" s="38" t="s">
        <v>479</v>
      </c>
      <c r="H209" s="38" t="s">
        <v>131</v>
      </c>
      <c r="I209" s="38" t="s">
        <v>480</v>
      </c>
      <c r="J209" s="41" t="s">
        <v>133</v>
      </c>
    </row>
    <row r="210" spans="1:10">
      <c r="A210" s="38" t="s">
        <v>105</v>
      </c>
      <c r="B210" s="38">
        <v>177</v>
      </c>
      <c r="C210" s="38">
        <v>1</v>
      </c>
      <c r="D210" s="38">
        <v>10</v>
      </c>
      <c r="E210" s="38">
        <v>13</v>
      </c>
      <c r="F210" s="38">
        <v>1.1000000000000001</v>
      </c>
      <c r="G210" s="38" t="s">
        <v>481</v>
      </c>
      <c r="H210" s="38" t="s">
        <v>131</v>
      </c>
      <c r="I210" s="38" t="s">
        <v>482</v>
      </c>
      <c r="J210" s="41" t="s">
        <v>133</v>
      </c>
    </row>
    <row r="211" spans="1:10">
      <c r="A211" s="38" t="s">
        <v>105</v>
      </c>
      <c r="B211" s="38">
        <v>177</v>
      </c>
      <c r="C211" s="38">
        <v>2</v>
      </c>
      <c r="D211" s="38">
        <v>36</v>
      </c>
      <c r="E211" s="38">
        <v>10</v>
      </c>
      <c r="F211" s="38">
        <v>1.1000000000000001</v>
      </c>
      <c r="G211" s="38" t="s">
        <v>481</v>
      </c>
      <c r="H211" s="38" t="s">
        <v>131</v>
      </c>
      <c r="I211" s="38" t="s">
        <v>482</v>
      </c>
      <c r="J211" s="41" t="s">
        <v>133</v>
      </c>
    </row>
    <row r="212" spans="1:10">
      <c r="A212" s="38" t="s">
        <v>105</v>
      </c>
      <c r="B212" s="38">
        <v>178</v>
      </c>
      <c r="C212" s="38">
        <v>1</v>
      </c>
      <c r="D212" s="38">
        <v>10</v>
      </c>
      <c r="E212" s="38">
        <v>4</v>
      </c>
      <c r="F212" s="38">
        <v>1.1000000000000001</v>
      </c>
      <c r="G212" s="38" t="s">
        <v>483</v>
      </c>
      <c r="H212" s="38" t="s">
        <v>131</v>
      </c>
      <c r="I212" s="38" t="s">
        <v>484</v>
      </c>
      <c r="J212" s="41" t="s">
        <v>133</v>
      </c>
    </row>
    <row r="213" spans="1:10">
      <c r="A213" s="38" t="s">
        <v>105</v>
      </c>
      <c r="B213" s="38">
        <v>178</v>
      </c>
      <c r="C213" s="38">
        <v>2</v>
      </c>
      <c r="D213" s="38">
        <v>30</v>
      </c>
      <c r="E213" s="38">
        <v>5</v>
      </c>
      <c r="F213" s="38">
        <v>1.1000000000000001</v>
      </c>
      <c r="G213" s="38" t="s">
        <v>483</v>
      </c>
      <c r="H213" s="38" t="s">
        <v>131</v>
      </c>
      <c r="I213" s="38" t="s">
        <v>484</v>
      </c>
      <c r="J213" s="41" t="s">
        <v>133</v>
      </c>
    </row>
    <row r="214" spans="1:10">
      <c r="A214" s="38" t="s">
        <v>105</v>
      </c>
      <c r="B214" s="38">
        <v>179</v>
      </c>
      <c r="C214" s="38">
        <v>1</v>
      </c>
      <c r="D214" s="38">
        <v>10</v>
      </c>
      <c r="E214" s="38">
        <v>15</v>
      </c>
      <c r="F214" s="38">
        <v>1.1000000000000001</v>
      </c>
      <c r="G214" s="38" t="s">
        <v>485</v>
      </c>
      <c r="H214" s="38" t="s">
        <v>131</v>
      </c>
      <c r="I214" s="38" t="s">
        <v>486</v>
      </c>
      <c r="J214" s="41" t="s">
        <v>133</v>
      </c>
    </row>
    <row r="215" spans="1:10">
      <c r="A215" s="38" t="s">
        <v>105</v>
      </c>
      <c r="B215" s="38">
        <v>179</v>
      </c>
      <c r="C215" s="38">
        <v>2</v>
      </c>
      <c r="D215" s="38">
        <v>31</v>
      </c>
      <c r="E215" s="38">
        <v>4</v>
      </c>
      <c r="F215" s="38">
        <v>1.1000000000000001</v>
      </c>
      <c r="G215" s="38" t="s">
        <v>485</v>
      </c>
      <c r="H215" s="38" t="s">
        <v>131</v>
      </c>
      <c r="I215" s="38" t="s">
        <v>486</v>
      </c>
      <c r="J215" s="41" t="s">
        <v>133</v>
      </c>
    </row>
    <row r="216" spans="1:10">
      <c r="A216" s="38" t="s">
        <v>105</v>
      </c>
      <c r="B216" s="38">
        <v>180</v>
      </c>
      <c r="C216" s="38">
        <v>1</v>
      </c>
      <c r="D216" s="38">
        <v>10</v>
      </c>
      <c r="E216" s="38">
        <v>9</v>
      </c>
      <c r="F216" s="38">
        <v>1.1000000000000001</v>
      </c>
      <c r="G216" s="38" t="s">
        <v>487</v>
      </c>
      <c r="H216" s="38" t="s">
        <v>131</v>
      </c>
      <c r="I216" s="38" t="s">
        <v>488</v>
      </c>
      <c r="J216" s="41" t="s">
        <v>133</v>
      </c>
    </row>
    <row r="217" spans="1:10">
      <c r="A217" s="38" t="s">
        <v>105</v>
      </c>
      <c r="B217" s="38">
        <v>180</v>
      </c>
      <c r="C217" s="38">
        <v>2</v>
      </c>
      <c r="D217" s="38">
        <v>33</v>
      </c>
      <c r="E217" s="38">
        <v>3</v>
      </c>
      <c r="F217" s="38">
        <v>1.1000000000000001</v>
      </c>
      <c r="G217" s="38" t="s">
        <v>487</v>
      </c>
      <c r="H217" s="38" t="s">
        <v>131</v>
      </c>
      <c r="I217" s="38" t="s">
        <v>488</v>
      </c>
      <c r="J217" s="41" t="s">
        <v>133</v>
      </c>
    </row>
    <row r="218" spans="1:10">
      <c r="A218" s="38" t="s">
        <v>105</v>
      </c>
      <c r="B218" s="38">
        <v>181</v>
      </c>
      <c r="C218" s="38">
        <v>1</v>
      </c>
      <c r="D218" s="38">
        <v>11</v>
      </c>
      <c r="E218" s="38">
        <v>15</v>
      </c>
      <c r="F218" s="38">
        <v>1.1000000000000001</v>
      </c>
      <c r="G218" s="38" t="s">
        <v>489</v>
      </c>
      <c r="H218" s="38" t="s">
        <v>131</v>
      </c>
      <c r="I218" s="38" t="s">
        <v>490</v>
      </c>
      <c r="J218" s="41" t="s">
        <v>133</v>
      </c>
    </row>
    <row r="219" spans="1:10">
      <c r="A219" s="38" t="s">
        <v>105</v>
      </c>
      <c r="B219" s="38">
        <v>181</v>
      </c>
      <c r="C219" s="38">
        <v>2</v>
      </c>
      <c r="D219" s="38">
        <v>31</v>
      </c>
      <c r="E219" s="38">
        <v>15</v>
      </c>
      <c r="F219" s="38">
        <v>1.1000000000000001</v>
      </c>
      <c r="G219" s="38" t="s">
        <v>489</v>
      </c>
      <c r="H219" s="38" t="s">
        <v>131</v>
      </c>
      <c r="I219" s="38" t="s">
        <v>490</v>
      </c>
      <c r="J219" s="41" t="s">
        <v>133</v>
      </c>
    </row>
    <row r="220" spans="1:10">
      <c r="A220" s="38" t="s">
        <v>105</v>
      </c>
      <c r="B220" s="38">
        <v>182</v>
      </c>
      <c r="C220" s="38">
        <v>1</v>
      </c>
      <c r="D220" s="38">
        <v>11</v>
      </c>
      <c r="E220" s="38">
        <v>4</v>
      </c>
      <c r="F220" s="38">
        <v>1.1000000000000001</v>
      </c>
      <c r="G220" s="38" t="s">
        <v>491</v>
      </c>
      <c r="H220" s="38" t="s">
        <v>131</v>
      </c>
      <c r="I220" s="38" t="s">
        <v>492</v>
      </c>
      <c r="J220" s="41" t="s">
        <v>133</v>
      </c>
    </row>
    <row r="221" spans="1:10">
      <c r="A221" s="38" t="s">
        <v>105</v>
      </c>
      <c r="B221" s="38">
        <v>182</v>
      </c>
      <c r="C221" s="38">
        <v>2</v>
      </c>
      <c r="D221" s="38">
        <v>24</v>
      </c>
      <c r="E221" s="38">
        <v>14</v>
      </c>
      <c r="F221" s="38">
        <v>1.1000000000000001</v>
      </c>
      <c r="G221" s="38" t="s">
        <v>491</v>
      </c>
      <c r="H221" s="38" t="s">
        <v>131</v>
      </c>
      <c r="I221" s="38" t="s">
        <v>492</v>
      </c>
      <c r="J221" s="41" t="s">
        <v>133</v>
      </c>
    </row>
    <row r="222" spans="1:10">
      <c r="A222" s="38" t="s">
        <v>105</v>
      </c>
      <c r="B222" s="38">
        <v>183</v>
      </c>
      <c r="C222" s="38">
        <v>1</v>
      </c>
      <c r="D222" s="38">
        <v>11</v>
      </c>
      <c r="E222" s="38">
        <v>5</v>
      </c>
      <c r="F222" s="38">
        <v>1.1000000000000001</v>
      </c>
      <c r="G222" s="38" t="s">
        <v>493</v>
      </c>
      <c r="H222" s="38" t="s">
        <v>131</v>
      </c>
      <c r="I222" s="38" t="s">
        <v>494</v>
      </c>
      <c r="J222" s="41" t="s">
        <v>133</v>
      </c>
    </row>
    <row r="223" spans="1:10">
      <c r="A223" s="38" t="s">
        <v>105</v>
      </c>
      <c r="B223" s="38">
        <v>183</v>
      </c>
      <c r="C223" s="38">
        <v>2</v>
      </c>
      <c r="D223" s="38">
        <v>30</v>
      </c>
      <c r="E223" s="38">
        <v>2</v>
      </c>
      <c r="F223" s="38">
        <v>1.1000000000000001</v>
      </c>
      <c r="G223" s="38" t="s">
        <v>493</v>
      </c>
      <c r="H223" s="38" t="s">
        <v>131</v>
      </c>
      <c r="I223" s="38" t="s">
        <v>494</v>
      </c>
      <c r="J223" s="41" t="s">
        <v>133</v>
      </c>
    </row>
    <row r="224" spans="1:10">
      <c r="A224" s="38" t="s">
        <v>105</v>
      </c>
      <c r="B224" s="38">
        <v>184</v>
      </c>
      <c r="C224" s="38">
        <v>1</v>
      </c>
      <c r="D224" s="38">
        <v>11</v>
      </c>
      <c r="E224" s="38">
        <v>11</v>
      </c>
      <c r="F224" s="38">
        <v>1.1000000000000001</v>
      </c>
      <c r="G224" s="38" t="s">
        <v>495</v>
      </c>
      <c r="H224" s="38" t="s">
        <v>131</v>
      </c>
      <c r="I224" s="38" t="s">
        <v>496</v>
      </c>
      <c r="J224" s="41" t="s">
        <v>133</v>
      </c>
    </row>
    <row r="225" spans="1:10">
      <c r="A225" s="38" t="s">
        <v>105</v>
      </c>
      <c r="B225" s="38">
        <v>184</v>
      </c>
      <c r="C225" s="38">
        <v>2</v>
      </c>
      <c r="D225" s="38">
        <v>23</v>
      </c>
      <c r="E225" s="38">
        <v>17</v>
      </c>
      <c r="F225" s="38">
        <v>1.1000000000000001</v>
      </c>
      <c r="G225" s="38" t="s">
        <v>495</v>
      </c>
      <c r="H225" s="38" t="s">
        <v>131</v>
      </c>
      <c r="I225" s="38" t="s">
        <v>496</v>
      </c>
      <c r="J225" s="41" t="s">
        <v>133</v>
      </c>
    </row>
    <row r="226" spans="1:10">
      <c r="A226" s="38" t="s">
        <v>105</v>
      </c>
      <c r="B226" s="38">
        <v>185</v>
      </c>
      <c r="C226" s="38">
        <v>1</v>
      </c>
      <c r="D226" s="38">
        <v>11</v>
      </c>
      <c r="E226" s="38">
        <v>17</v>
      </c>
      <c r="F226" s="38">
        <v>1.1000000000000001</v>
      </c>
      <c r="G226" s="38" t="s">
        <v>497</v>
      </c>
      <c r="H226" s="38" t="s">
        <v>131</v>
      </c>
      <c r="I226" s="38" t="s">
        <v>496</v>
      </c>
      <c r="J226" s="41" t="s">
        <v>133</v>
      </c>
    </row>
    <row r="227" spans="1:10">
      <c r="A227" s="38" t="s">
        <v>105</v>
      </c>
      <c r="B227" s="38">
        <v>185</v>
      </c>
      <c r="C227" s="38">
        <v>2</v>
      </c>
      <c r="D227" s="38">
        <v>32</v>
      </c>
      <c r="E227" s="38">
        <v>7</v>
      </c>
      <c r="F227" s="38">
        <v>1.1000000000000001</v>
      </c>
      <c r="G227" s="38" t="s">
        <v>497</v>
      </c>
      <c r="H227" s="38" t="s">
        <v>131</v>
      </c>
      <c r="I227" s="38" t="s">
        <v>496</v>
      </c>
      <c r="J227" s="41" t="s">
        <v>133</v>
      </c>
    </row>
    <row r="228" spans="1:10">
      <c r="A228" s="38" t="s">
        <v>105</v>
      </c>
      <c r="B228" s="38">
        <v>186</v>
      </c>
      <c r="C228" s="38">
        <v>1</v>
      </c>
      <c r="D228" s="38">
        <v>11</v>
      </c>
      <c r="E228" s="38">
        <v>16</v>
      </c>
      <c r="F228" s="38">
        <v>1.1000000000000001</v>
      </c>
      <c r="G228" s="38" t="s">
        <v>498</v>
      </c>
      <c r="H228" s="38" t="s">
        <v>131</v>
      </c>
      <c r="I228" s="38" t="s">
        <v>499</v>
      </c>
      <c r="J228" s="41" t="s">
        <v>133</v>
      </c>
    </row>
    <row r="229" spans="1:10">
      <c r="A229" s="38" t="s">
        <v>105</v>
      </c>
      <c r="B229" s="38">
        <v>186</v>
      </c>
      <c r="C229" s="38">
        <v>2</v>
      </c>
      <c r="D229" s="38">
        <v>33</v>
      </c>
      <c r="E229" s="38">
        <v>6</v>
      </c>
      <c r="F229" s="38">
        <v>1.1000000000000001</v>
      </c>
      <c r="G229" s="38" t="s">
        <v>498</v>
      </c>
      <c r="H229" s="38" t="s">
        <v>131</v>
      </c>
      <c r="I229" s="38" t="s">
        <v>499</v>
      </c>
      <c r="J229" s="41" t="s">
        <v>133</v>
      </c>
    </row>
    <row r="230" spans="1:10">
      <c r="A230" s="38" t="s">
        <v>105</v>
      </c>
      <c r="B230" s="38">
        <v>187</v>
      </c>
      <c r="C230" s="38">
        <v>1</v>
      </c>
      <c r="D230" s="38">
        <v>11</v>
      </c>
      <c r="E230" s="38">
        <v>3</v>
      </c>
      <c r="F230" s="38">
        <v>1.1000000000000001</v>
      </c>
      <c r="G230" s="38" t="s">
        <v>500</v>
      </c>
      <c r="H230" s="38" t="s">
        <v>131</v>
      </c>
      <c r="I230" s="38" t="s">
        <v>501</v>
      </c>
      <c r="J230" s="41" t="s">
        <v>133</v>
      </c>
    </row>
    <row r="231" spans="1:10">
      <c r="A231" s="38" t="s">
        <v>105</v>
      </c>
      <c r="B231" s="38">
        <v>187</v>
      </c>
      <c r="C231" s="38">
        <v>2</v>
      </c>
      <c r="D231" s="38">
        <v>27</v>
      </c>
      <c r="E231" s="38">
        <v>1</v>
      </c>
      <c r="F231" s="38">
        <v>1.1000000000000001</v>
      </c>
      <c r="G231" s="38" t="s">
        <v>500</v>
      </c>
      <c r="H231" s="38" t="s">
        <v>131</v>
      </c>
      <c r="I231" s="38" t="s">
        <v>501</v>
      </c>
      <c r="J231" s="41" t="s">
        <v>133</v>
      </c>
    </row>
    <row r="232" spans="1:10">
      <c r="A232" s="38" t="s">
        <v>105</v>
      </c>
      <c r="B232" s="38">
        <v>188</v>
      </c>
      <c r="C232" s="38">
        <v>1</v>
      </c>
      <c r="D232" s="38">
        <v>11</v>
      </c>
      <c r="E232" s="38">
        <v>10</v>
      </c>
      <c r="F232" s="38">
        <v>1.1000000000000001</v>
      </c>
      <c r="G232" s="38" t="s">
        <v>502</v>
      </c>
      <c r="H232" s="38" t="s">
        <v>131</v>
      </c>
      <c r="I232" s="38" t="s">
        <v>503</v>
      </c>
      <c r="J232" s="41" t="s">
        <v>133</v>
      </c>
    </row>
    <row r="233" spans="1:10">
      <c r="A233" s="38" t="s">
        <v>105</v>
      </c>
      <c r="B233" s="38">
        <v>188</v>
      </c>
      <c r="C233" s="38">
        <v>2</v>
      </c>
      <c r="D233" s="38">
        <v>34</v>
      </c>
      <c r="E233" s="38">
        <v>13</v>
      </c>
      <c r="F233" s="38">
        <v>1.1000000000000001</v>
      </c>
      <c r="G233" s="38" t="s">
        <v>502</v>
      </c>
      <c r="H233" s="38" t="s">
        <v>131</v>
      </c>
      <c r="I233" s="38" t="s">
        <v>503</v>
      </c>
      <c r="J233" s="41" t="s">
        <v>133</v>
      </c>
    </row>
    <row r="234" spans="1:10">
      <c r="A234" s="38" t="s">
        <v>105</v>
      </c>
      <c r="B234" s="38">
        <v>189</v>
      </c>
      <c r="C234" s="38">
        <v>1</v>
      </c>
      <c r="D234" s="38">
        <v>11</v>
      </c>
      <c r="E234" s="38">
        <v>6</v>
      </c>
      <c r="F234" s="38">
        <v>1.1000000000000001</v>
      </c>
      <c r="G234" s="38" t="s">
        <v>504</v>
      </c>
      <c r="H234" s="38" t="s">
        <v>131</v>
      </c>
      <c r="I234" s="38" t="s">
        <v>505</v>
      </c>
      <c r="J234" s="41" t="s">
        <v>133</v>
      </c>
    </row>
    <row r="235" spans="1:10">
      <c r="A235" s="38" t="s">
        <v>105</v>
      </c>
      <c r="B235" s="38">
        <v>189</v>
      </c>
      <c r="C235" s="38">
        <v>2</v>
      </c>
      <c r="D235" s="38">
        <v>28</v>
      </c>
      <c r="E235" s="38">
        <v>4</v>
      </c>
      <c r="F235" s="38">
        <v>1.1000000000000001</v>
      </c>
      <c r="G235" s="38" t="s">
        <v>504</v>
      </c>
      <c r="H235" s="38" t="s">
        <v>131</v>
      </c>
      <c r="I235" s="38" t="s">
        <v>505</v>
      </c>
      <c r="J235" s="41" t="s">
        <v>133</v>
      </c>
    </row>
    <row r="236" spans="1:10">
      <c r="A236" s="38" t="s">
        <v>105</v>
      </c>
      <c r="B236" s="38">
        <v>190</v>
      </c>
      <c r="C236" s="38">
        <v>1</v>
      </c>
      <c r="D236" s="38">
        <v>11</v>
      </c>
      <c r="E236" s="38">
        <v>1</v>
      </c>
      <c r="F236" s="38">
        <v>1.1000000000000001</v>
      </c>
      <c r="G236" s="38" t="s">
        <v>506</v>
      </c>
      <c r="H236" s="38" t="s">
        <v>131</v>
      </c>
      <c r="I236" s="38" t="s">
        <v>507</v>
      </c>
      <c r="J236" s="41" t="s">
        <v>133</v>
      </c>
    </row>
    <row r="237" spans="1:10">
      <c r="A237" s="38" t="s">
        <v>105</v>
      </c>
      <c r="B237" s="38">
        <v>190</v>
      </c>
      <c r="C237" s="38">
        <v>2</v>
      </c>
      <c r="D237" s="38">
        <v>26</v>
      </c>
      <c r="E237" s="38">
        <v>8</v>
      </c>
      <c r="F237" s="38">
        <v>1.1000000000000001</v>
      </c>
      <c r="G237" s="38" t="s">
        <v>506</v>
      </c>
      <c r="H237" s="38" t="s">
        <v>131</v>
      </c>
      <c r="I237" s="38" t="s">
        <v>507</v>
      </c>
      <c r="J237" s="41" t="s">
        <v>133</v>
      </c>
    </row>
    <row r="238" spans="1:10">
      <c r="A238" s="38" t="s">
        <v>105</v>
      </c>
      <c r="B238" s="38">
        <v>191</v>
      </c>
      <c r="C238" s="38">
        <v>1</v>
      </c>
      <c r="D238" s="38">
        <v>11</v>
      </c>
      <c r="E238" s="38">
        <v>2</v>
      </c>
      <c r="F238" s="38">
        <v>1.1000000000000001</v>
      </c>
      <c r="G238" s="38" t="s">
        <v>508</v>
      </c>
      <c r="H238" s="38" t="s">
        <v>131</v>
      </c>
      <c r="I238" s="38" t="s">
        <v>509</v>
      </c>
      <c r="J238" s="41" t="s">
        <v>133</v>
      </c>
    </row>
    <row r="239" spans="1:10">
      <c r="A239" s="38" t="s">
        <v>105</v>
      </c>
      <c r="B239" s="38">
        <v>191</v>
      </c>
      <c r="C239" s="38">
        <v>2</v>
      </c>
      <c r="D239" s="38">
        <v>35</v>
      </c>
      <c r="E239" s="38">
        <v>3</v>
      </c>
      <c r="F239" s="38">
        <v>1.1000000000000001</v>
      </c>
      <c r="G239" s="38" t="s">
        <v>508</v>
      </c>
      <c r="H239" s="38" t="s">
        <v>131</v>
      </c>
      <c r="I239" s="38" t="s">
        <v>509</v>
      </c>
      <c r="J239" s="41" t="s">
        <v>133</v>
      </c>
    </row>
    <row r="240" spans="1:10">
      <c r="A240" s="38" t="s">
        <v>105</v>
      </c>
      <c r="B240" s="38">
        <v>192</v>
      </c>
      <c r="C240" s="38">
        <v>1</v>
      </c>
      <c r="D240" s="38">
        <v>11</v>
      </c>
      <c r="E240" s="38">
        <v>14</v>
      </c>
      <c r="F240" s="38">
        <v>1.1000000000000001</v>
      </c>
      <c r="G240" s="38" t="s">
        <v>510</v>
      </c>
      <c r="H240" s="38" t="s">
        <v>131</v>
      </c>
      <c r="I240" s="38" t="s">
        <v>503</v>
      </c>
      <c r="J240" s="41" t="s">
        <v>133</v>
      </c>
    </row>
    <row r="241" spans="1:10">
      <c r="A241" s="38" t="s">
        <v>105</v>
      </c>
      <c r="B241" s="38">
        <v>192</v>
      </c>
      <c r="C241" s="38">
        <v>2</v>
      </c>
      <c r="D241" s="38">
        <v>20</v>
      </c>
      <c r="E241" s="38">
        <v>11</v>
      </c>
      <c r="F241" s="38">
        <v>1.1000000000000001</v>
      </c>
      <c r="G241" s="38" t="s">
        <v>510</v>
      </c>
      <c r="H241" s="38" t="s">
        <v>131</v>
      </c>
      <c r="I241" s="38" t="s">
        <v>503</v>
      </c>
      <c r="J241" s="41" t="s">
        <v>133</v>
      </c>
    </row>
    <row r="242" spans="1:10">
      <c r="A242" s="38" t="s">
        <v>105</v>
      </c>
      <c r="B242" s="38">
        <v>193</v>
      </c>
      <c r="C242" s="38">
        <v>1</v>
      </c>
      <c r="D242" s="38">
        <v>11</v>
      </c>
      <c r="E242" s="38">
        <v>8</v>
      </c>
      <c r="F242" s="38">
        <v>1.1000000000000001</v>
      </c>
      <c r="G242" s="38" t="s">
        <v>511</v>
      </c>
      <c r="H242" s="38" t="s">
        <v>131</v>
      </c>
      <c r="I242" s="38" t="s">
        <v>512</v>
      </c>
      <c r="J242" s="41" t="s">
        <v>133</v>
      </c>
    </row>
    <row r="243" spans="1:10">
      <c r="A243" s="38" t="s">
        <v>105</v>
      </c>
      <c r="B243" s="38">
        <v>193</v>
      </c>
      <c r="C243" s="38">
        <v>2</v>
      </c>
      <c r="D243" s="38">
        <v>19</v>
      </c>
      <c r="E243" s="38">
        <v>14</v>
      </c>
      <c r="F243" s="38">
        <v>1.1000000000000001</v>
      </c>
      <c r="G243" s="38" t="s">
        <v>511</v>
      </c>
      <c r="H243" s="38" t="s">
        <v>131</v>
      </c>
      <c r="I243" s="38" t="s">
        <v>512</v>
      </c>
      <c r="J243" s="41" t="s">
        <v>133</v>
      </c>
    </row>
    <row r="244" spans="1:10">
      <c r="A244" s="38" t="s">
        <v>105</v>
      </c>
      <c r="B244" s="38">
        <v>194</v>
      </c>
      <c r="C244" s="38">
        <v>1</v>
      </c>
      <c r="D244" s="38">
        <v>11</v>
      </c>
      <c r="E244" s="38">
        <v>18</v>
      </c>
      <c r="F244" s="38">
        <v>1.1000000000000001</v>
      </c>
      <c r="G244" s="38" t="s">
        <v>513</v>
      </c>
      <c r="H244" s="38" t="s">
        <v>131</v>
      </c>
      <c r="I244" s="38" t="s">
        <v>505</v>
      </c>
      <c r="J244" s="41" t="s">
        <v>133</v>
      </c>
    </row>
    <row r="245" spans="1:10">
      <c r="A245" s="38" t="s">
        <v>105</v>
      </c>
      <c r="B245" s="38">
        <v>194</v>
      </c>
      <c r="C245" s="38">
        <v>2</v>
      </c>
      <c r="D245" s="38">
        <v>29</v>
      </c>
      <c r="E245" s="38">
        <v>9</v>
      </c>
      <c r="F245" s="38">
        <v>1.1000000000000001</v>
      </c>
      <c r="G245" s="38" t="s">
        <v>513</v>
      </c>
      <c r="H245" s="38" t="s">
        <v>131</v>
      </c>
      <c r="I245" s="38" t="s">
        <v>505</v>
      </c>
      <c r="J245" s="41" t="s">
        <v>133</v>
      </c>
    </row>
    <row r="246" spans="1:10">
      <c r="A246" s="38" t="s">
        <v>105</v>
      </c>
      <c r="B246" s="38">
        <v>195</v>
      </c>
      <c r="C246" s="38">
        <v>1</v>
      </c>
      <c r="D246" s="38">
        <v>11</v>
      </c>
      <c r="E246" s="38">
        <v>13</v>
      </c>
      <c r="F246" s="38">
        <v>1.1000000000000001</v>
      </c>
      <c r="G246" s="38" t="s">
        <v>514</v>
      </c>
      <c r="H246" s="38" t="s">
        <v>131</v>
      </c>
      <c r="I246" s="38" t="s">
        <v>515</v>
      </c>
      <c r="J246" s="41" t="s">
        <v>133</v>
      </c>
    </row>
    <row r="247" spans="1:10">
      <c r="A247" s="38" t="s">
        <v>105</v>
      </c>
      <c r="B247" s="38">
        <v>195</v>
      </c>
      <c r="C247" s="38">
        <v>2</v>
      </c>
      <c r="D247" s="38">
        <v>21</v>
      </c>
      <c r="E247" s="38">
        <v>15</v>
      </c>
      <c r="F247" s="38">
        <v>1.1000000000000001</v>
      </c>
      <c r="G247" s="38" t="s">
        <v>514</v>
      </c>
      <c r="H247" s="38" t="s">
        <v>131</v>
      </c>
      <c r="I247" s="38" t="s">
        <v>515</v>
      </c>
      <c r="J247" s="41" t="s">
        <v>133</v>
      </c>
    </row>
    <row r="248" spans="1:10">
      <c r="A248" s="38" t="s">
        <v>105</v>
      </c>
      <c r="B248" s="38">
        <v>196</v>
      </c>
      <c r="C248" s="38">
        <v>1</v>
      </c>
      <c r="D248" s="38">
        <v>11</v>
      </c>
      <c r="E248" s="38">
        <v>12</v>
      </c>
      <c r="F248" s="38">
        <v>1.1000000000000001</v>
      </c>
      <c r="G248" s="38" t="s">
        <v>516</v>
      </c>
      <c r="H248" s="38" t="s">
        <v>131</v>
      </c>
      <c r="I248" s="38" t="s">
        <v>503</v>
      </c>
      <c r="J248" s="41" t="s">
        <v>133</v>
      </c>
    </row>
    <row r="249" spans="1:10">
      <c r="A249" s="38" t="s">
        <v>105</v>
      </c>
      <c r="B249" s="38">
        <v>196</v>
      </c>
      <c r="C249" s="38">
        <v>2</v>
      </c>
      <c r="D249" s="38">
        <v>36</v>
      </c>
      <c r="E249" s="38">
        <v>18</v>
      </c>
      <c r="F249" s="38">
        <v>1.1000000000000001</v>
      </c>
      <c r="G249" s="38" t="s">
        <v>516</v>
      </c>
      <c r="H249" s="38" t="s">
        <v>131</v>
      </c>
      <c r="I249" s="38" t="s">
        <v>503</v>
      </c>
      <c r="J249" s="41" t="s">
        <v>133</v>
      </c>
    </row>
    <row r="250" spans="1:10">
      <c r="A250" s="38" t="s">
        <v>105</v>
      </c>
      <c r="B250" s="38">
        <v>197</v>
      </c>
      <c r="C250" s="38">
        <v>1</v>
      </c>
      <c r="D250" s="38">
        <v>11</v>
      </c>
      <c r="E250" s="38">
        <v>7</v>
      </c>
      <c r="F250" s="38">
        <v>1.1000000000000001</v>
      </c>
      <c r="G250" s="38" t="s">
        <v>517</v>
      </c>
      <c r="H250" s="38" t="s">
        <v>131</v>
      </c>
      <c r="I250" s="38" t="s">
        <v>518</v>
      </c>
      <c r="J250" s="41" t="s">
        <v>133</v>
      </c>
    </row>
    <row r="251" spans="1:10">
      <c r="A251" s="38" t="s">
        <v>105</v>
      </c>
      <c r="B251" s="38">
        <v>197</v>
      </c>
      <c r="C251" s="38">
        <v>2</v>
      </c>
      <c r="D251" s="38">
        <v>25</v>
      </c>
      <c r="E251" s="38">
        <v>7</v>
      </c>
      <c r="F251" s="38">
        <v>1.1000000000000001</v>
      </c>
      <c r="G251" s="38" t="s">
        <v>517</v>
      </c>
      <c r="H251" s="38" t="s">
        <v>131</v>
      </c>
      <c r="I251" s="38" t="s">
        <v>518</v>
      </c>
      <c r="J251" s="41" t="s">
        <v>133</v>
      </c>
    </row>
    <row r="252" spans="1:10">
      <c r="A252" s="38" t="s">
        <v>105</v>
      </c>
      <c r="B252" s="38">
        <v>198</v>
      </c>
      <c r="C252" s="38">
        <v>1</v>
      </c>
      <c r="D252" s="38">
        <v>11</v>
      </c>
      <c r="E252" s="38">
        <v>9</v>
      </c>
      <c r="F252" s="38">
        <v>1.1000000000000001</v>
      </c>
      <c r="G252" s="38" t="s">
        <v>519</v>
      </c>
      <c r="H252" s="38" t="s">
        <v>131</v>
      </c>
      <c r="I252" s="38" t="s">
        <v>503</v>
      </c>
      <c r="J252" s="41" t="s">
        <v>133</v>
      </c>
    </row>
    <row r="253" spans="1:10">
      <c r="A253" s="38" t="s">
        <v>105</v>
      </c>
      <c r="B253" s="38">
        <v>198</v>
      </c>
      <c r="C253" s="38">
        <v>2</v>
      </c>
      <c r="D253" s="38">
        <v>22</v>
      </c>
      <c r="E253">
        <v>15</v>
      </c>
      <c r="F253" s="38">
        <v>1.1000000000000001</v>
      </c>
      <c r="G253" s="38" t="s">
        <v>519</v>
      </c>
      <c r="H253" s="38" t="s">
        <v>131</v>
      </c>
      <c r="I253" s="38" t="s">
        <v>503</v>
      </c>
      <c r="J253" s="41" t="s">
        <v>133</v>
      </c>
    </row>
    <row r="254" spans="1:10">
      <c r="A254" s="38" t="s">
        <v>105</v>
      </c>
      <c r="B254" s="38">
        <v>199</v>
      </c>
      <c r="C254" s="38">
        <v>1</v>
      </c>
      <c r="D254" s="38">
        <v>12</v>
      </c>
      <c r="E254" s="38">
        <v>17</v>
      </c>
      <c r="F254" s="38">
        <v>1.1000000000000001</v>
      </c>
      <c r="G254" s="38" t="s">
        <v>520</v>
      </c>
      <c r="H254" s="38" t="s">
        <v>131</v>
      </c>
      <c r="I254" s="38" t="s">
        <v>503</v>
      </c>
      <c r="J254" s="41" t="s">
        <v>133</v>
      </c>
    </row>
    <row r="255" spans="1:10">
      <c r="A255" s="38" t="s">
        <v>105</v>
      </c>
      <c r="B255" s="38">
        <v>199</v>
      </c>
      <c r="C255" s="38">
        <v>2</v>
      </c>
      <c r="D255" s="38">
        <v>28</v>
      </c>
      <c r="E255" s="38">
        <v>16</v>
      </c>
      <c r="F255" s="38">
        <v>1.1000000000000001</v>
      </c>
      <c r="G255" s="38" t="s">
        <v>520</v>
      </c>
      <c r="H255" s="38" t="s">
        <v>131</v>
      </c>
      <c r="I255" s="38" t="s">
        <v>503</v>
      </c>
      <c r="J255" s="41" t="s">
        <v>133</v>
      </c>
    </row>
    <row r="256" spans="1:10">
      <c r="A256" s="38" t="s">
        <v>105</v>
      </c>
      <c r="B256" s="38">
        <v>200</v>
      </c>
      <c r="C256" s="38">
        <v>1</v>
      </c>
      <c r="D256" s="38">
        <v>12</v>
      </c>
      <c r="E256" s="38">
        <v>14</v>
      </c>
      <c r="F256" s="38">
        <v>1.1000000000000001</v>
      </c>
      <c r="G256" s="38" t="s">
        <v>521</v>
      </c>
      <c r="H256" s="38" t="s">
        <v>131</v>
      </c>
      <c r="I256" s="38" t="s">
        <v>503</v>
      </c>
      <c r="J256" s="41" t="s">
        <v>133</v>
      </c>
    </row>
    <row r="257" spans="1:10">
      <c r="A257" s="38" t="s">
        <v>105</v>
      </c>
      <c r="B257" s="38">
        <v>200</v>
      </c>
      <c r="C257" s="38">
        <v>2</v>
      </c>
      <c r="D257" s="38">
        <v>35</v>
      </c>
      <c r="E257" s="38">
        <v>17</v>
      </c>
      <c r="F257" s="38">
        <v>1.1000000000000001</v>
      </c>
      <c r="G257" s="38" t="s">
        <v>521</v>
      </c>
      <c r="H257" s="38" t="s">
        <v>131</v>
      </c>
      <c r="I257" s="38" t="s">
        <v>503</v>
      </c>
      <c r="J257" s="41" t="s">
        <v>133</v>
      </c>
    </row>
    <row r="258" spans="1:10">
      <c r="A258" s="38" t="s">
        <v>105</v>
      </c>
      <c r="B258" s="38">
        <v>201</v>
      </c>
      <c r="C258" s="38">
        <v>1</v>
      </c>
      <c r="D258" s="38">
        <v>12</v>
      </c>
      <c r="E258" s="38">
        <v>6</v>
      </c>
      <c r="F258" s="38">
        <v>1.1000000000000001</v>
      </c>
      <c r="G258" s="38" t="s">
        <v>522</v>
      </c>
      <c r="H258" s="38" t="s">
        <v>131</v>
      </c>
      <c r="I258" s="38" t="s">
        <v>503</v>
      </c>
      <c r="J258" s="41" t="s">
        <v>133</v>
      </c>
    </row>
    <row r="259" spans="1:10">
      <c r="A259" s="38" t="s">
        <v>105</v>
      </c>
      <c r="B259" s="38">
        <v>201</v>
      </c>
      <c r="C259" s="38">
        <v>2</v>
      </c>
      <c r="D259" s="38">
        <v>29</v>
      </c>
      <c r="E259" s="38">
        <v>11</v>
      </c>
      <c r="F259" s="38">
        <v>1.1000000000000001</v>
      </c>
      <c r="G259" s="38" t="s">
        <v>522</v>
      </c>
      <c r="H259" s="38" t="s">
        <v>131</v>
      </c>
      <c r="I259" s="38" t="s">
        <v>503</v>
      </c>
      <c r="J259" s="41" t="s">
        <v>133</v>
      </c>
    </row>
    <row r="260" spans="1:10">
      <c r="A260" s="38" t="s">
        <v>105</v>
      </c>
      <c r="B260" s="38">
        <v>202</v>
      </c>
      <c r="C260" s="38">
        <v>1</v>
      </c>
      <c r="D260" s="38">
        <v>12</v>
      </c>
      <c r="E260" s="38">
        <v>13</v>
      </c>
      <c r="F260" s="38">
        <v>1.1000000000000001</v>
      </c>
      <c r="G260" s="38" t="s">
        <v>523</v>
      </c>
      <c r="H260" s="38" t="s">
        <v>131</v>
      </c>
      <c r="I260" s="38" t="s">
        <v>503</v>
      </c>
      <c r="J260" s="41" t="s">
        <v>133</v>
      </c>
    </row>
    <row r="261" spans="1:10">
      <c r="A261" s="38" t="s">
        <v>105</v>
      </c>
      <c r="B261" s="38">
        <v>202</v>
      </c>
      <c r="C261" s="38">
        <v>2</v>
      </c>
      <c r="D261" s="38">
        <v>20</v>
      </c>
      <c r="E261" s="38">
        <v>9</v>
      </c>
      <c r="F261" s="38">
        <v>1.1000000000000001</v>
      </c>
      <c r="G261" s="38" t="s">
        <v>523</v>
      </c>
      <c r="H261" s="38" t="s">
        <v>131</v>
      </c>
      <c r="I261" s="38" t="s">
        <v>503</v>
      </c>
      <c r="J261" s="41" t="s">
        <v>133</v>
      </c>
    </row>
    <row r="262" spans="1:10">
      <c r="A262" s="38" t="s">
        <v>105</v>
      </c>
      <c r="B262" s="38">
        <v>203</v>
      </c>
      <c r="C262" s="38">
        <v>1</v>
      </c>
      <c r="D262" s="38">
        <v>12</v>
      </c>
      <c r="E262" s="38">
        <v>11</v>
      </c>
      <c r="F262" s="38">
        <v>1.1000000000000001</v>
      </c>
      <c r="G262" s="38" t="s">
        <v>524</v>
      </c>
      <c r="H262" s="38" t="s">
        <v>131</v>
      </c>
      <c r="I262" s="38" t="s">
        <v>503</v>
      </c>
      <c r="J262" s="41" t="s">
        <v>133</v>
      </c>
    </row>
    <row r="263" spans="1:10">
      <c r="A263" s="38" t="s">
        <v>105</v>
      </c>
      <c r="B263" s="38">
        <v>203</v>
      </c>
      <c r="C263" s="38">
        <v>2</v>
      </c>
      <c r="D263" s="38">
        <v>34</v>
      </c>
      <c r="E263" s="38">
        <v>9</v>
      </c>
      <c r="F263" s="38">
        <v>1.1000000000000001</v>
      </c>
      <c r="G263" s="38" t="s">
        <v>524</v>
      </c>
      <c r="H263" s="38" t="s">
        <v>131</v>
      </c>
      <c r="I263" s="38" t="s">
        <v>503</v>
      </c>
      <c r="J263" s="41" t="s">
        <v>133</v>
      </c>
    </row>
    <row r="264" spans="1:10">
      <c r="A264" s="38" t="s">
        <v>105</v>
      </c>
      <c r="B264" s="38">
        <v>204</v>
      </c>
      <c r="C264" s="38">
        <v>1</v>
      </c>
      <c r="D264" s="38">
        <v>12</v>
      </c>
      <c r="E264" s="38">
        <v>10</v>
      </c>
      <c r="F264" s="38">
        <v>1.1000000000000001</v>
      </c>
      <c r="G264" s="38" t="s">
        <v>525</v>
      </c>
      <c r="H264" s="38" t="s">
        <v>131</v>
      </c>
      <c r="I264" s="38" t="s">
        <v>503</v>
      </c>
      <c r="J264" s="41" t="s">
        <v>133</v>
      </c>
    </row>
    <row r="265" spans="1:10">
      <c r="A265" s="38" t="s">
        <v>105</v>
      </c>
      <c r="B265" s="38">
        <v>204</v>
      </c>
      <c r="C265" s="38">
        <v>2</v>
      </c>
      <c r="D265" s="38">
        <v>33</v>
      </c>
      <c r="E265" s="38">
        <v>17</v>
      </c>
      <c r="F265" s="38">
        <v>1.1000000000000001</v>
      </c>
      <c r="G265" s="38" t="s">
        <v>525</v>
      </c>
      <c r="H265" s="38" t="s">
        <v>131</v>
      </c>
      <c r="I265" s="38" t="s">
        <v>503</v>
      </c>
      <c r="J265" s="41" t="s">
        <v>133</v>
      </c>
    </row>
    <row r="266" spans="1:10">
      <c r="A266" s="38" t="s">
        <v>105</v>
      </c>
      <c r="B266" s="38">
        <v>205</v>
      </c>
      <c r="C266" s="38">
        <v>1</v>
      </c>
      <c r="D266" s="38">
        <v>12</v>
      </c>
      <c r="E266" s="38">
        <v>1</v>
      </c>
      <c r="F266" s="38">
        <v>1.1000000000000001</v>
      </c>
      <c r="G266" s="38" t="s">
        <v>526</v>
      </c>
      <c r="H266" s="38" t="s">
        <v>131</v>
      </c>
      <c r="I266" s="38" t="s">
        <v>527</v>
      </c>
      <c r="J266" s="41" t="s">
        <v>133</v>
      </c>
    </row>
    <row r="267" spans="1:10">
      <c r="A267" s="38" t="s">
        <v>105</v>
      </c>
      <c r="B267" s="38">
        <v>205</v>
      </c>
      <c r="C267" s="38">
        <v>2</v>
      </c>
      <c r="D267" s="38">
        <v>32</v>
      </c>
      <c r="E267" s="38">
        <v>2</v>
      </c>
      <c r="F267" s="38">
        <v>1.1000000000000001</v>
      </c>
      <c r="G267" s="38" t="s">
        <v>526</v>
      </c>
      <c r="H267" s="38" t="s">
        <v>131</v>
      </c>
      <c r="I267" s="38" t="s">
        <v>527</v>
      </c>
      <c r="J267" s="41" t="s">
        <v>133</v>
      </c>
    </row>
    <row r="268" spans="1:10">
      <c r="A268" s="38" t="s">
        <v>105</v>
      </c>
      <c r="B268" s="38">
        <v>206</v>
      </c>
      <c r="C268" s="38">
        <v>1</v>
      </c>
      <c r="D268" s="38">
        <v>12</v>
      </c>
      <c r="E268" s="38">
        <v>15</v>
      </c>
      <c r="F268" s="38">
        <v>1.1000000000000001</v>
      </c>
      <c r="G268" s="38" t="s">
        <v>528</v>
      </c>
      <c r="H268" s="38" t="s">
        <v>131</v>
      </c>
      <c r="I268" s="38" t="s">
        <v>503</v>
      </c>
      <c r="J268" s="41" t="s">
        <v>133</v>
      </c>
    </row>
    <row r="269" spans="1:10">
      <c r="A269" s="38" t="s">
        <v>105</v>
      </c>
      <c r="B269" s="38">
        <v>206</v>
      </c>
      <c r="C269" s="38">
        <v>2</v>
      </c>
      <c r="D269" s="38">
        <v>25</v>
      </c>
      <c r="E269" s="38">
        <v>5</v>
      </c>
      <c r="F269" s="38">
        <v>1.1000000000000001</v>
      </c>
      <c r="G269" s="38" t="s">
        <v>528</v>
      </c>
      <c r="H269" s="38" t="s">
        <v>131</v>
      </c>
      <c r="I269" s="38" t="s">
        <v>503</v>
      </c>
      <c r="J269" s="41" t="s">
        <v>133</v>
      </c>
    </row>
    <row r="270" spans="1:10">
      <c r="A270" s="38" t="s">
        <v>105</v>
      </c>
      <c r="B270" s="38">
        <v>207</v>
      </c>
      <c r="C270" s="38">
        <v>1</v>
      </c>
      <c r="D270" s="38">
        <v>12</v>
      </c>
      <c r="E270" s="38">
        <v>3</v>
      </c>
      <c r="F270" s="38">
        <v>1.1000000000000001</v>
      </c>
      <c r="G270" s="38" t="s">
        <v>529</v>
      </c>
      <c r="H270" s="38" t="s">
        <v>131</v>
      </c>
      <c r="I270" s="38" t="s">
        <v>503</v>
      </c>
      <c r="J270" s="41" t="s">
        <v>133</v>
      </c>
    </row>
    <row r="271" spans="1:10">
      <c r="A271" s="38" t="s">
        <v>105</v>
      </c>
      <c r="B271" s="38">
        <v>207</v>
      </c>
      <c r="C271" s="38">
        <v>2</v>
      </c>
      <c r="D271" s="38">
        <v>24</v>
      </c>
      <c r="E271" s="38">
        <v>7</v>
      </c>
      <c r="F271" s="38">
        <v>1.1000000000000001</v>
      </c>
      <c r="G271" s="38" t="s">
        <v>529</v>
      </c>
      <c r="H271" s="38" t="s">
        <v>131</v>
      </c>
      <c r="I271" s="38" t="s">
        <v>503</v>
      </c>
      <c r="J271" s="41" t="s">
        <v>133</v>
      </c>
    </row>
    <row r="272" spans="1:10">
      <c r="A272" s="38" t="s">
        <v>105</v>
      </c>
      <c r="B272" s="38">
        <v>208</v>
      </c>
      <c r="C272" s="38">
        <v>1</v>
      </c>
      <c r="D272" s="38">
        <v>12</v>
      </c>
      <c r="E272" s="38">
        <v>9</v>
      </c>
      <c r="F272" s="38">
        <v>1.1000000000000001</v>
      </c>
      <c r="G272" s="38" t="s">
        <v>530</v>
      </c>
      <c r="H272" s="38" t="s">
        <v>131</v>
      </c>
      <c r="I272" s="38" t="s">
        <v>518</v>
      </c>
      <c r="J272" s="41" t="s">
        <v>133</v>
      </c>
    </row>
    <row r="273" spans="1:10">
      <c r="A273" s="38" t="s">
        <v>105</v>
      </c>
      <c r="B273" s="38">
        <v>208</v>
      </c>
      <c r="C273" s="38">
        <v>2</v>
      </c>
      <c r="D273" s="38">
        <v>22</v>
      </c>
      <c r="E273">
        <v>11</v>
      </c>
      <c r="F273" s="38">
        <v>1.1000000000000001</v>
      </c>
      <c r="G273" s="38" t="s">
        <v>530</v>
      </c>
      <c r="H273" s="38" t="s">
        <v>131</v>
      </c>
      <c r="I273" s="38" t="s">
        <v>518</v>
      </c>
      <c r="J273" s="41" t="s">
        <v>133</v>
      </c>
    </row>
    <row r="274" spans="1:10">
      <c r="A274" s="38" t="s">
        <v>105</v>
      </c>
      <c r="B274" s="38">
        <v>209</v>
      </c>
      <c r="C274" s="38">
        <v>1</v>
      </c>
      <c r="D274" s="38">
        <v>12</v>
      </c>
      <c r="E274" s="38">
        <v>7</v>
      </c>
      <c r="F274" s="38">
        <v>1.1000000000000001</v>
      </c>
      <c r="G274" s="38" t="s">
        <v>531</v>
      </c>
      <c r="H274" s="38" t="s">
        <v>131</v>
      </c>
      <c r="I274" s="38" t="s">
        <v>503</v>
      </c>
      <c r="J274" s="41" t="s">
        <v>133</v>
      </c>
    </row>
    <row r="275" spans="1:10">
      <c r="A275" s="38" t="s">
        <v>105</v>
      </c>
      <c r="B275" s="38">
        <v>209</v>
      </c>
      <c r="C275" s="38">
        <v>2</v>
      </c>
      <c r="D275" s="38">
        <v>30</v>
      </c>
      <c r="E275" s="38">
        <v>17</v>
      </c>
      <c r="F275" s="38">
        <v>1.1000000000000001</v>
      </c>
      <c r="G275" s="38" t="s">
        <v>531</v>
      </c>
      <c r="H275" s="38" t="s">
        <v>131</v>
      </c>
      <c r="I275" s="38" t="s">
        <v>503</v>
      </c>
      <c r="J275" s="41" t="s">
        <v>133</v>
      </c>
    </row>
    <row r="276" spans="1:10">
      <c r="A276" s="38" t="s">
        <v>105</v>
      </c>
      <c r="B276" s="38">
        <v>210</v>
      </c>
      <c r="C276" s="38">
        <v>1</v>
      </c>
      <c r="D276" s="38">
        <v>12</v>
      </c>
      <c r="E276" s="38">
        <v>12</v>
      </c>
      <c r="F276" s="38">
        <v>1.1000000000000001</v>
      </c>
      <c r="G276" s="38" t="s">
        <v>532</v>
      </c>
      <c r="H276" s="38" t="s">
        <v>131</v>
      </c>
      <c r="I276" s="38" t="s">
        <v>503</v>
      </c>
      <c r="J276" s="41" t="s">
        <v>133</v>
      </c>
    </row>
    <row r="277" spans="1:10">
      <c r="A277" s="38" t="s">
        <v>105</v>
      </c>
      <c r="B277" s="38">
        <v>210</v>
      </c>
      <c r="C277" s="38">
        <v>2</v>
      </c>
      <c r="D277" s="38">
        <v>26</v>
      </c>
      <c r="E277" s="38">
        <v>2</v>
      </c>
      <c r="F277" s="38">
        <v>1.1000000000000001</v>
      </c>
      <c r="G277" s="38" t="s">
        <v>532</v>
      </c>
      <c r="H277" s="38" t="s">
        <v>131</v>
      </c>
      <c r="I277" s="38" t="s">
        <v>503</v>
      </c>
      <c r="J277" s="41" t="s">
        <v>133</v>
      </c>
    </row>
    <row r="278" spans="1:10">
      <c r="A278" s="38" t="s">
        <v>105</v>
      </c>
      <c r="B278" s="38">
        <v>211</v>
      </c>
      <c r="C278" s="38">
        <v>1</v>
      </c>
      <c r="D278" s="38">
        <v>12</v>
      </c>
      <c r="E278" s="38">
        <v>8</v>
      </c>
      <c r="F278" s="38">
        <v>1.1000000000000001</v>
      </c>
      <c r="G278" s="38" t="s">
        <v>533</v>
      </c>
      <c r="H278" s="38" t="s">
        <v>131</v>
      </c>
      <c r="I278" s="38" t="s">
        <v>534</v>
      </c>
      <c r="J278" s="41" t="s">
        <v>133</v>
      </c>
    </row>
    <row r="279" spans="1:10">
      <c r="A279" s="38" t="s">
        <v>105</v>
      </c>
      <c r="B279" s="38">
        <v>211</v>
      </c>
      <c r="C279" s="38">
        <v>2</v>
      </c>
      <c r="D279" s="38">
        <v>36</v>
      </c>
      <c r="E279" s="38">
        <v>5</v>
      </c>
      <c r="F279" s="38">
        <v>1.1000000000000001</v>
      </c>
      <c r="G279" s="38" t="s">
        <v>533</v>
      </c>
      <c r="H279" s="38" t="s">
        <v>131</v>
      </c>
      <c r="I279" s="38" t="s">
        <v>534</v>
      </c>
      <c r="J279" s="41" t="s">
        <v>133</v>
      </c>
    </row>
    <row r="280" spans="1:10">
      <c r="A280" s="38" t="s">
        <v>105</v>
      </c>
      <c r="B280" s="38">
        <v>212</v>
      </c>
      <c r="C280" s="38">
        <v>1</v>
      </c>
      <c r="D280" s="38">
        <v>12</v>
      </c>
      <c r="E280" s="38">
        <v>16</v>
      </c>
      <c r="F280" s="38">
        <v>1.1000000000000001</v>
      </c>
      <c r="G280" s="38" t="s">
        <v>535</v>
      </c>
      <c r="H280" s="38" t="s">
        <v>131</v>
      </c>
      <c r="I280" s="38" t="s">
        <v>536</v>
      </c>
      <c r="J280" s="41" t="s">
        <v>133</v>
      </c>
    </row>
    <row r="281" spans="1:10">
      <c r="A281" s="38" t="s">
        <v>105</v>
      </c>
      <c r="B281" s="38">
        <v>212</v>
      </c>
      <c r="C281" s="38">
        <v>2</v>
      </c>
      <c r="D281" s="38">
        <v>21</v>
      </c>
      <c r="E281" s="38">
        <v>11</v>
      </c>
      <c r="F281" s="38">
        <v>1.1000000000000001</v>
      </c>
      <c r="G281" s="38" t="s">
        <v>535</v>
      </c>
      <c r="H281" s="38" t="s">
        <v>131</v>
      </c>
      <c r="I281" s="38" t="s">
        <v>536</v>
      </c>
      <c r="J281" s="41" t="s">
        <v>133</v>
      </c>
    </row>
    <row r="282" spans="1:10">
      <c r="A282" s="38" t="s">
        <v>105</v>
      </c>
      <c r="B282" s="38">
        <v>213</v>
      </c>
      <c r="C282" s="38">
        <v>1</v>
      </c>
      <c r="D282" s="38">
        <v>12</v>
      </c>
      <c r="E282" s="38">
        <v>18</v>
      </c>
      <c r="F282" s="38">
        <v>1.1000000000000001</v>
      </c>
      <c r="G282" s="38" t="s">
        <v>537</v>
      </c>
      <c r="H282" s="38" t="s">
        <v>131</v>
      </c>
      <c r="I282" s="38" t="s">
        <v>534</v>
      </c>
      <c r="J282" s="41" t="s">
        <v>133</v>
      </c>
    </row>
    <row r="283" spans="1:10">
      <c r="A283" s="38" t="s">
        <v>105</v>
      </c>
      <c r="B283" s="38">
        <v>213</v>
      </c>
      <c r="C283" s="38">
        <v>2</v>
      </c>
      <c r="D283" s="38">
        <v>23</v>
      </c>
      <c r="E283" s="38">
        <v>7</v>
      </c>
      <c r="F283" s="38">
        <v>1.1000000000000001</v>
      </c>
      <c r="G283" s="38" t="s">
        <v>537</v>
      </c>
      <c r="H283" s="38" t="s">
        <v>131</v>
      </c>
      <c r="I283" s="38" t="s">
        <v>534</v>
      </c>
      <c r="J283" s="41" t="s">
        <v>133</v>
      </c>
    </row>
    <row r="284" spans="1:10">
      <c r="A284" s="38" t="s">
        <v>105</v>
      </c>
      <c r="B284" s="38">
        <v>214</v>
      </c>
      <c r="C284" s="38">
        <v>1</v>
      </c>
      <c r="D284" s="38">
        <v>12</v>
      </c>
      <c r="E284" s="38">
        <v>5</v>
      </c>
      <c r="F284" s="38">
        <v>1.1000000000000001</v>
      </c>
      <c r="G284" s="38" t="s">
        <v>538</v>
      </c>
      <c r="H284" s="38" t="s">
        <v>131</v>
      </c>
      <c r="I284" s="38" t="s">
        <v>539</v>
      </c>
      <c r="J284" s="41" t="s">
        <v>133</v>
      </c>
    </row>
    <row r="285" spans="1:10">
      <c r="A285" s="38" t="s">
        <v>105</v>
      </c>
      <c r="B285" s="38">
        <v>214</v>
      </c>
      <c r="C285" s="38">
        <v>2</v>
      </c>
      <c r="D285" s="38">
        <v>19</v>
      </c>
      <c r="E285" s="38">
        <v>9</v>
      </c>
      <c r="F285" s="38">
        <v>1.1000000000000001</v>
      </c>
      <c r="G285" s="38" t="s">
        <v>538</v>
      </c>
      <c r="H285" s="38" t="s">
        <v>131</v>
      </c>
      <c r="I285" s="38" t="s">
        <v>539</v>
      </c>
      <c r="J285" s="41" t="s">
        <v>133</v>
      </c>
    </row>
    <row r="286" spans="1:10">
      <c r="A286" s="38" t="s">
        <v>105</v>
      </c>
      <c r="B286" s="38">
        <v>215</v>
      </c>
      <c r="C286" s="38">
        <v>1</v>
      </c>
      <c r="D286" s="38">
        <v>12</v>
      </c>
      <c r="E286" s="38">
        <v>2</v>
      </c>
      <c r="F286" s="38">
        <v>1.1000000000000001</v>
      </c>
      <c r="G286" s="38" t="s">
        <v>540</v>
      </c>
      <c r="H286" s="38" t="s">
        <v>131</v>
      </c>
      <c r="I286" s="38" t="s">
        <v>541</v>
      </c>
      <c r="J286" s="41" t="s">
        <v>133</v>
      </c>
    </row>
    <row r="287" spans="1:10">
      <c r="A287" s="38" t="s">
        <v>105</v>
      </c>
      <c r="B287" s="38">
        <v>215</v>
      </c>
      <c r="C287" s="38">
        <v>2</v>
      </c>
      <c r="D287" s="38">
        <v>31</v>
      </c>
      <c r="E287" s="38">
        <v>9</v>
      </c>
      <c r="F287" s="38">
        <v>1.1000000000000001</v>
      </c>
      <c r="G287" s="38" t="s">
        <v>540</v>
      </c>
      <c r="H287" s="38" t="s">
        <v>131</v>
      </c>
      <c r="I287" s="38" t="s">
        <v>541</v>
      </c>
      <c r="J287" s="41" t="s">
        <v>133</v>
      </c>
    </row>
    <row r="288" spans="1:10">
      <c r="A288" s="38" t="s">
        <v>105</v>
      </c>
      <c r="B288" s="38">
        <v>216</v>
      </c>
      <c r="C288" s="38">
        <v>1</v>
      </c>
      <c r="D288" s="38">
        <v>12</v>
      </c>
      <c r="E288" s="38">
        <v>4</v>
      </c>
      <c r="F288" s="38">
        <v>1.1000000000000001</v>
      </c>
      <c r="G288" s="38" t="s">
        <v>542</v>
      </c>
      <c r="H288" s="38" t="s">
        <v>131</v>
      </c>
      <c r="I288" s="38" t="s">
        <v>539</v>
      </c>
      <c r="J288" s="41" t="s">
        <v>133</v>
      </c>
    </row>
    <row r="289" spans="1:10">
      <c r="A289" s="38" t="s">
        <v>105</v>
      </c>
      <c r="B289" s="38">
        <v>216</v>
      </c>
      <c r="C289" s="38">
        <v>2</v>
      </c>
      <c r="D289" s="38">
        <v>27</v>
      </c>
      <c r="E289" s="38">
        <v>17</v>
      </c>
      <c r="F289" s="38">
        <v>1.1000000000000001</v>
      </c>
      <c r="G289" s="38" t="s">
        <v>542</v>
      </c>
      <c r="H289" s="38" t="s">
        <v>131</v>
      </c>
      <c r="I289" s="38" t="s">
        <v>539</v>
      </c>
      <c r="J289" s="41" t="s">
        <v>133</v>
      </c>
    </row>
    <row r="290" spans="1:10">
      <c r="A290" s="38" t="s">
        <v>105</v>
      </c>
      <c r="B290" s="38">
        <v>217</v>
      </c>
      <c r="C290" s="38">
        <v>1</v>
      </c>
      <c r="D290" s="38">
        <v>13</v>
      </c>
      <c r="E290" s="38">
        <v>1</v>
      </c>
      <c r="F290" s="38">
        <v>1.1000000000000001</v>
      </c>
      <c r="G290" s="38" t="s">
        <v>543</v>
      </c>
      <c r="H290" s="38" t="s">
        <v>131</v>
      </c>
      <c r="I290" s="38" t="s">
        <v>539</v>
      </c>
      <c r="J290" s="41" t="s">
        <v>133</v>
      </c>
    </row>
    <row r="291" spans="1:10">
      <c r="A291" s="38" t="s">
        <v>105</v>
      </c>
      <c r="B291" s="38">
        <v>217</v>
      </c>
      <c r="C291" s="38">
        <v>2</v>
      </c>
      <c r="D291" s="38">
        <v>29</v>
      </c>
      <c r="E291" s="38">
        <v>16</v>
      </c>
      <c r="F291" s="38">
        <v>1.1000000000000001</v>
      </c>
      <c r="G291" s="38" t="s">
        <v>543</v>
      </c>
      <c r="H291" s="38" t="s">
        <v>131</v>
      </c>
      <c r="I291" s="38" t="s">
        <v>539</v>
      </c>
      <c r="J291" s="41" t="s">
        <v>133</v>
      </c>
    </row>
    <row r="292" spans="1:10">
      <c r="A292" s="38" t="s">
        <v>105</v>
      </c>
      <c r="B292" s="38">
        <v>218</v>
      </c>
      <c r="C292" s="38">
        <v>1</v>
      </c>
      <c r="D292" s="38">
        <v>13</v>
      </c>
      <c r="E292" s="38">
        <v>4</v>
      </c>
      <c r="F292" s="38">
        <v>1.1000000000000001</v>
      </c>
      <c r="G292" s="38" t="s">
        <v>544</v>
      </c>
      <c r="H292" s="38" t="s">
        <v>131</v>
      </c>
      <c r="I292" s="38" t="s">
        <v>545</v>
      </c>
      <c r="J292" s="41" t="s">
        <v>133</v>
      </c>
    </row>
    <row r="293" spans="1:10">
      <c r="A293" s="38" t="s">
        <v>105</v>
      </c>
      <c r="B293" s="38">
        <v>218</v>
      </c>
      <c r="C293" s="38">
        <v>2</v>
      </c>
      <c r="D293" s="38">
        <v>20</v>
      </c>
      <c r="E293" s="38">
        <v>15</v>
      </c>
      <c r="F293" s="38">
        <v>1.1000000000000001</v>
      </c>
      <c r="G293" s="38" t="s">
        <v>544</v>
      </c>
      <c r="H293" s="38" t="s">
        <v>131</v>
      </c>
      <c r="I293" s="38" t="s">
        <v>545</v>
      </c>
      <c r="J293" s="41" t="s">
        <v>133</v>
      </c>
    </row>
    <row r="294" spans="1:10">
      <c r="A294" s="38" t="s">
        <v>105</v>
      </c>
      <c r="B294" s="38">
        <v>219</v>
      </c>
      <c r="C294" s="38">
        <v>1</v>
      </c>
      <c r="D294" s="38">
        <v>13</v>
      </c>
      <c r="E294" s="38">
        <v>3</v>
      </c>
      <c r="F294" s="38">
        <v>1.1000000000000001</v>
      </c>
      <c r="G294" s="38" t="s">
        <v>546</v>
      </c>
      <c r="H294" s="38" t="s">
        <v>131</v>
      </c>
      <c r="I294" s="38" t="s">
        <v>547</v>
      </c>
      <c r="J294" s="41" t="s">
        <v>133</v>
      </c>
    </row>
    <row r="295" spans="1:10">
      <c r="A295" s="38" t="s">
        <v>105</v>
      </c>
      <c r="B295" s="38">
        <v>219</v>
      </c>
      <c r="C295" s="38">
        <v>2</v>
      </c>
      <c r="D295" s="38">
        <v>23</v>
      </c>
      <c r="E295" s="38">
        <v>2</v>
      </c>
      <c r="F295" s="38">
        <v>1.1000000000000001</v>
      </c>
      <c r="G295" s="38" t="s">
        <v>546</v>
      </c>
      <c r="H295" s="38" t="s">
        <v>131</v>
      </c>
      <c r="I295" s="38" t="s">
        <v>547</v>
      </c>
      <c r="J295" s="41" t="s">
        <v>133</v>
      </c>
    </row>
    <row r="296" spans="1:10">
      <c r="A296" s="38" t="s">
        <v>105</v>
      </c>
      <c r="B296" s="38">
        <v>220</v>
      </c>
      <c r="C296" s="38">
        <v>1</v>
      </c>
      <c r="D296" s="38">
        <v>13</v>
      </c>
      <c r="E296" s="38">
        <v>8</v>
      </c>
      <c r="F296" s="38">
        <v>1.1000000000000001</v>
      </c>
      <c r="G296" s="38" t="s">
        <v>548</v>
      </c>
      <c r="H296" s="38" t="s">
        <v>131</v>
      </c>
      <c r="I296" s="38" t="s">
        <v>549</v>
      </c>
      <c r="J296" s="41" t="s">
        <v>133</v>
      </c>
    </row>
    <row r="297" spans="1:10">
      <c r="A297" s="38" t="s">
        <v>105</v>
      </c>
      <c r="B297" s="38">
        <v>220</v>
      </c>
      <c r="C297" s="38">
        <v>2</v>
      </c>
      <c r="D297" s="38">
        <v>35</v>
      </c>
      <c r="E297" s="38">
        <v>2</v>
      </c>
      <c r="F297" s="38">
        <v>1.1000000000000001</v>
      </c>
      <c r="G297" s="38" t="s">
        <v>548</v>
      </c>
      <c r="H297" s="38" t="s">
        <v>131</v>
      </c>
      <c r="I297" s="38" t="s">
        <v>549</v>
      </c>
      <c r="J297" s="41" t="s">
        <v>133</v>
      </c>
    </row>
    <row r="298" spans="1:10">
      <c r="A298" s="38" t="s">
        <v>105</v>
      </c>
      <c r="B298" s="38">
        <v>221</v>
      </c>
      <c r="C298" s="38">
        <v>1</v>
      </c>
      <c r="D298" s="38">
        <v>13</v>
      </c>
      <c r="E298" s="38">
        <v>12</v>
      </c>
      <c r="F298" s="38">
        <v>1.1000000000000001</v>
      </c>
      <c r="G298" s="38" t="s">
        <v>550</v>
      </c>
      <c r="H298" s="38" t="s">
        <v>131</v>
      </c>
      <c r="I298" s="38" t="s">
        <v>551</v>
      </c>
      <c r="J298" s="41" t="s">
        <v>133</v>
      </c>
    </row>
    <row r="299" spans="1:10">
      <c r="A299" s="38" t="s">
        <v>105</v>
      </c>
      <c r="B299" s="38">
        <v>221</v>
      </c>
      <c r="C299" s="38">
        <v>2</v>
      </c>
      <c r="D299" s="38">
        <v>27</v>
      </c>
      <c r="E299" s="38">
        <v>8</v>
      </c>
      <c r="F299" s="38">
        <v>1.1000000000000001</v>
      </c>
      <c r="G299" s="38" t="s">
        <v>550</v>
      </c>
      <c r="H299" s="38" t="s">
        <v>131</v>
      </c>
      <c r="I299" s="38" t="s">
        <v>551</v>
      </c>
      <c r="J299" s="41" t="s">
        <v>133</v>
      </c>
    </row>
    <row r="300" spans="1:10">
      <c r="A300" s="38" t="s">
        <v>105</v>
      </c>
      <c r="B300" s="38">
        <v>222</v>
      </c>
      <c r="C300" s="38">
        <v>1</v>
      </c>
      <c r="D300" s="38">
        <v>13</v>
      </c>
      <c r="E300" s="38">
        <v>15</v>
      </c>
      <c r="F300" s="38">
        <v>1.1000000000000001</v>
      </c>
      <c r="G300" s="38" t="s">
        <v>552</v>
      </c>
      <c r="H300" s="38" t="s">
        <v>131</v>
      </c>
      <c r="I300" s="38" t="s">
        <v>547</v>
      </c>
      <c r="J300" s="41" t="s">
        <v>133</v>
      </c>
    </row>
    <row r="301" spans="1:10">
      <c r="A301" s="38" t="s">
        <v>105</v>
      </c>
      <c r="B301" s="38">
        <v>222</v>
      </c>
      <c r="C301" s="38">
        <v>2</v>
      </c>
      <c r="D301" s="38">
        <v>21</v>
      </c>
      <c r="E301" s="38">
        <v>8</v>
      </c>
      <c r="F301" s="38">
        <v>1.1000000000000001</v>
      </c>
      <c r="G301" s="38" t="s">
        <v>552</v>
      </c>
      <c r="H301" s="38" t="s">
        <v>131</v>
      </c>
      <c r="I301" s="38" t="s">
        <v>547</v>
      </c>
      <c r="J301" s="41" t="s">
        <v>133</v>
      </c>
    </row>
    <row r="302" spans="1:10">
      <c r="A302" s="38" t="s">
        <v>105</v>
      </c>
      <c r="B302" s="38">
        <v>223</v>
      </c>
      <c r="C302" s="38">
        <v>1</v>
      </c>
      <c r="D302" s="38">
        <v>13</v>
      </c>
      <c r="E302" s="38">
        <v>6</v>
      </c>
      <c r="F302" s="38">
        <v>1.1000000000000001</v>
      </c>
      <c r="G302" s="38" t="s">
        <v>553</v>
      </c>
      <c r="H302" s="38" t="s">
        <v>131</v>
      </c>
      <c r="I302" s="38" t="s">
        <v>547</v>
      </c>
      <c r="J302" s="41" t="s">
        <v>133</v>
      </c>
    </row>
    <row r="303" spans="1:10">
      <c r="A303" s="38" t="s">
        <v>105</v>
      </c>
      <c r="B303" s="38">
        <v>223</v>
      </c>
      <c r="C303" s="38">
        <v>2</v>
      </c>
      <c r="D303" s="38">
        <v>26</v>
      </c>
      <c r="E303" s="38">
        <v>7</v>
      </c>
      <c r="F303" s="38">
        <v>1.1000000000000001</v>
      </c>
      <c r="G303" s="38" t="s">
        <v>553</v>
      </c>
      <c r="H303" s="38" t="s">
        <v>131</v>
      </c>
      <c r="I303" s="38" t="s">
        <v>547</v>
      </c>
      <c r="J303" s="41" t="s">
        <v>133</v>
      </c>
    </row>
    <row r="304" spans="1:10">
      <c r="A304" s="38" t="s">
        <v>105</v>
      </c>
      <c r="B304" s="38">
        <v>224</v>
      </c>
      <c r="C304" s="38">
        <v>1</v>
      </c>
      <c r="D304" s="38">
        <v>13</v>
      </c>
      <c r="E304" s="38">
        <v>11</v>
      </c>
      <c r="F304" s="38">
        <v>1.1000000000000001</v>
      </c>
      <c r="G304" s="38" t="s">
        <v>554</v>
      </c>
      <c r="H304" s="38" t="s">
        <v>131</v>
      </c>
      <c r="I304" s="38" t="s">
        <v>555</v>
      </c>
      <c r="J304" s="41" t="s">
        <v>133</v>
      </c>
    </row>
    <row r="305" spans="1:10">
      <c r="A305" s="38" t="s">
        <v>105</v>
      </c>
      <c r="B305" s="38">
        <v>224</v>
      </c>
      <c r="C305" s="38">
        <v>2</v>
      </c>
      <c r="D305" s="38">
        <v>22</v>
      </c>
      <c r="E305">
        <v>16</v>
      </c>
      <c r="F305" s="38">
        <v>1.1000000000000001</v>
      </c>
      <c r="G305" s="38" t="s">
        <v>554</v>
      </c>
      <c r="H305" s="38" t="s">
        <v>131</v>
      </c>
      <c r="I305" s="38" t="s">
        <v>555</v>
      </c>
      <c r="J305" s="41" t="s">
        <v>133</v>
      </c>
    </row>
    <row r="306" spans="1:10">
      <c r="A306" s="38" t="s">
        <v>105</v>
      </c>
      <c r="B306" s="38">
        <v>225</v>
      </c>
      <c r="C306" s="38">
        <v>1</v>
      </c>
      <c r="D306" s="38">
        <v>13</v>
      </c>
      <c r="E306" s="38">
        <v>18</v>
      </c>
      <c r="F306" s="38">
        <v>1.1000000000000001</v>
      </c>
      <c r="G306" s="38" t="s">
        <v>556</v>
      </c>
      <c r="H306" s="38" t="s">
        <v>131</v>
      </c>
      <c r="I306" s="38" t="s">
        <v>557</v>
      </c>
      <c r="J306" s="41" t="s">
        <v>133</v>
      </c>
    </row>
    <row r="307" spans="1:10">
      <c r="A307" s="38" t="s">
        <v>105</v>
      </c>
      <c r="B307" s="38">
        <v>225</v>
      </c>
      <c r="C307" s="38">
        <v>2</v>
      </c>
      <c r="D307" s="38">
        <v>35</v>
      </c>
      <c r="E307" s="38">
        <v>15</v>
      </c>
      <c r="F307" s="38">
        <v>1.1000000000000001</v>
      </c>
      <c r="G307" s="38" t="s">
        <v>556</v>
      </c>
      <c r="H307" s="38" t="s">
        <v>131</v>
      </c>
      <c r="I307" s="38" t="s">
        <v>557</v>
      </c>
      <c r="J307" s="41" t="s">
        <v>133</v>
      </c>
    </row>
    <row r="308" spans="1:10">
      <c r="A308" s="38" t="s">
        <v>105</v>
      </c>
      <c r="B308" s="38">
        <v>226</v>
      </c>
      <c r="C308" s="38">
        <v>1</v>
      </c>
      <c r="D308" s="38">
        <v>13</v>
      </c>
      <c r="E308" s="38">
        <v>17</v>
      </c>
      <c r="F308" s="38">
        <v>1.1000000000000001</v>
      </c>
      <c r="G308" s="38" t="s">
        <v>558</v>
      </c>
      <c r="H308" s="38" t="s">
        <v>131</v>
      </c>
      <c r="I308" s="38" t="s">
        <v>559</v>
      </c>
      <c r="J308" s="41" t="s">
        <v>133</v>
      </c>
    </row>
    <row r="309" spans="1:10">
      <c r="A309" s="38" t="s">
        <v>105</v>
      </c>
      <c r="B309" s="38">
        <v>226</v>
      </c>
      <c r="C309" s="38">
        <v>2</v>
      </c>
      <c r="D309" s="38">
        <v>28</v>
      </c>
      <c r="E309" s="38">
        <v>15</v>
      </c>
      <c r="F309" s="38">
        <v>1.1000000000000001</v>
      </c>
      <c r="G309" s="38" t="s">
        <v>558</v>
      </c>
      <c r="H309" s="38" t="s">
        <v>131</v>
      </c>
      <c r="I309" s="38" t="s">
        <v>559</v>
      </c>
      <c r="J309" s="41" t="s">
        <v>133</v>
      </c>
    </row>
    <row r="310" spans="1:10">
      <c r="A310" s="38" t="s">
        <v>105</v>
      </c>
      <c r="B310" s="38">
        <v>227</v>
      </c>
      <c r="C310" s="38">
        <v>1</v>
      </c>
      <c r="D310" s="38">
        <v>13</v>
      </c>
      <c r="E310" s="38">
        <v>16</v>
      </c>
      <c r="F310" s="38">
        <v>1.1000000000000001</v>
      </c>
      <c r="G310" s="38" t="s">
        <v>560</v>
      </c>
      <c r="H310" s="38" t="s">
        <v>131</v>
      </c>
      <c r="I310" s="38" t="s">
        <v>561</v>
      </c>
      <c r="J310" s="41" t="s">
        <v>133</v>
      </c>
    </row>
    <row r="311" spans="1:10">
      <c r="A311" s="38" t="s">
        <v>105</v>
      </c>
      <c r="B311" s="38">
        <v>227</v>
      </c>
      <c r="C311" s="38">
        <v>2</v>
      </c>
      <c r="D311" s="38">
        <v>25</v>
      </c>
      <c r="E311" s="38">
        <v>9</v>
      </c>
      <c r="F311" s="38">
        <v>1.1000000000000001</v>
      </c>
      <c r="G311" s="38" t="s">
        <v>560</v>
      </c>
      <c r="H311" s="38" t="s">
        <v>131</v>
      </c>
      <c r="I311" s="38" t="s">
        <v>561</v>
      </c>
      <c r="J311" s="41" t="s">
        <v>133</v>
      </c>
    </row>
    <row r="312" spans="1:10">
      <c r="A312" s="38" t="s">
        <v>105</v>
      </c>
      <c r="B312" s="38">
        <v>228</v>
      </c>
      <c r="C312" s="38">
        <v>1</v>
      </c>
      <c r="D312" s="38">
        <v>13</v>
      </c>
      <c r="E312" s="38">
        <v>13</v>
      </c>
      <c r="F312" s="38">
        <v>1.1000000000000001</v>
      </c>
      <c r="G312" s="38" t="s">
        <v>562</v>
      </c>
      <c r="H312" s="38" t="s">
        <v>131</v>
      </c>
      <c r="I312" s="38" t="s">
        <v>563</v>
      </c>
      <c r="J312" s="41" t="s">
        <v>133</v>
      </c>
    </row>
    <row r="313" spans="1:10">
      <c r="A313" s="38" t="s">
        <v>105</v>
      </c>
      <c r="B313" s="38">
        <v>228</v>
      </c>
      <c r="C313" s="38">
        <v>2</v>
      </c>
      <c r="D313" s="38">
        <v>19</v>
      </c>
      <c r="E313" s="38">
        <v>6</v>
      </c>
      <c r="F313" s="38">
        <v>1.1000000000000001</v>
      </c>
      <c r="G313" s="38" t="s">
        <v>562</v>
      </c>
      <c r="H313" s="38" t="s">
        <v>131</v>
      </c>
      <c r="I313" s="38" t="s">
        <v>563</v>
      </c>
      <c r="J313" s="41" t="s">
        <v>133</v>
      </c>
    </row>
    <row r="314" spans="1:10">
      <c r="A314" s="38" t="s">
        <v>105</v>
      </c>
      <c r="B314" s="38">
        <v>229</v>
      </c>
      <c r="C314" s="38">
        <v>1</v>
      </c>
      <c r="D314" s="38">
        <v>13</v>
      </c>
      <c r="E314" s="38">
        <v>14</v>
      </c>
      <c r="F314" s="38">
        <v>1.1000000000000001</v>
      </c>
      <c r="G314" s="38" t="s">
        <v>564</v>
      </c>
      <c r="H314" s="38" t="s">
        <v>131</v>
      </c>
      <c r="I314" s="38" t="s">
        <v>565</v>
      </c>
      <c r="J314" s="41" t="s">
        <v>133</v>
      </c>
    </row>
    <row r="315" spans="1:10">
      <c r="A315" s="38" t="s">
        <v>105</v>
      </c>
      <c r="B315" s="38">
        <v>229</v>
      </c>
      <c r="C315" s="38">
        <v>2</v>
      </c>
      <c r="D315" s="38">
        <v>33</v>
      </c>
      <c r="E315" s="38">
        <v>5</v>
      </c>
      <c r="F315" s="38">
        <v>1.1000000000000001</v>
      </c>
      <c r="G315" s="38" t="s">
        <v>564</v>
      </c>
      <c r="H315" s="38" t="s">
        <v>131</v>
      </c>
      <c r="I315" s="38" t="s">
        <v>565</v>
      </c>
      <c r="J315" s="41" t="s">
        <v>133</v>
      </c>
    </row>
    <row r="316" spans="1:10">
      <c r="A316" s="38" t="s">
        <v>105</v>
      </c>
      <c r="B316" s="38">
        <v>230</v>
      </c>
      <c r="C316" s="38">
        <v>1</v>
      </c>
      <c r="D316" s="38">
        <v>13</v>
      </c>
      <c r="E316" s="38">
        <v>2</v>
      </c>
      <c r="F316" s="38">
        <v>1.1000000000000001</v>
      </c>
      <c r="G316" s="38" t="s">
        <v>566</v>
      </c>
      <c r="H316" s="38" t="s">
        <v>131</v>
      </c>
      <c r="I316" s="38" t="s">
        <v>567</v>
      </c>
      <c r="J316" s="41" t="s">
        <v>133</v>
      </c>
    </row>
    <row r="317" spans="1:10">
      <c r="A317" s="38" t="s">
        <v>105</v>
      </c>
      <c r="B317" s="38">
        <v>230</v>
      </c>
      <c r="C317" s="38">
        <v>2</v>
      </c>
      <c r="D317" s="38">
        <v>31</v>
      </c>
      <c r="E317" s="38">
        <v>16</v>
      </c>
      <c r="F317" s="38">
        <v>1.1000000000000001</v>
      </c>
      <c r="G317" s="38" t="s">
        <v>566</v>
      </c>
      <c r="H317" s="38" t="s">
        <v>131</v>
      </c>
      <c r="I317" s="38" t="s">
        <v>567</v>
      </c>
      <c r="J317" s="41" t="s">
        <v>133</v>
      </c>
    </row>
    <row r="318" spans="1:10">
      <c r="A318" s="38" t="s">
        <v>105</v>
      </c>
      <c r="B318" s="38">
        <v>231</v>
      </c>
      <c r="C318" s="38">
        <v>1</v>
      </c>
      <c r="D318" s="38">
        <v>13</v>
      </c>
      <c r="E318" s="38">
        <v>10</v>
      </c>
      <c r="F318" s="38">
        <v>1.1000000000000001</v>
      </c>
      <c r="G318" s="38" t="s">
        <v>568</v>
      </c>
      <c r="H318" s="38" t="s">
        <v>131</v>
      </c>
      <c r="I318" s="38" t="s">
        <v>569</v>
      </c>
      <c r="J318" s="41" t="s">
        <v>133</v>
      </c>
    </row>
    <row r="319" spans="1:10">
      <c r="A319" s="38" t="s">
        <v>105</v>
      </c>
      <c r="B319" s="38">
        <v>231</v>
      </c>
      <c r="C319" s="38">
        <v>2</v>
      </c>
      <c r="D319" s="38">
        <v>32</v>
      </c>
      <c r="E319" s="38">
        <v>16</v>
      </c>
      <c r="F319" s="38">
        <v>1.1000000000000001</v>
      </c>
      <c r="G319" s="38" t="s">
        <v>568</v>
      </c>
      <c r="H319" s="38" t="s">
        <v>131</v>
      </c>
      <c r="I319" s="38" t="s">
        <v>569</v>
      </c>
      <c r="J319" s="41" t="s">
        <v>133</v>
      </c>
    </row>
    <row r="320" spans="1:10">
      <c r="A320" s="38" t="s">
        <v>105</v>
      </c>
      <c r="B320" s="38">
        <v>232</v>
      </c>
      <c r="C320" s="38">
        <v>1</v>
      </c>
      <c r="D320" s="38">
        <v>13</v>
      </c>
      <c r="E320" s="38">
        <v>7</v>
      </c>
      <c r="F320" s="38">
        <v>1.1000000000000001</v>
      </c>
      <c r="G320" s="38" t="s">
        <v>570</v>
      </c>
      <c r="H320" s="38" t="s">
        <v>131</v>
      </c>
      <c r="I320" s="38" t="s">
        <v>571</v>
      </c>
      <c r="J320" s="41" t="s">
        <v>133</v>
      </c>
    </row>
    <row r="321" spans="1:10">
      <c r="A321" s="38" t="s">
        <v>105</v>
      </c>
      <c r="B321" s="38">
        <v>232</v>
      </c>
      <c r="C321" s="38">
        <v>2</v>
      </c>
      <c r="D321" s="38">
        <v>30</v>
      </c>
      <c r="E321" s="38">
        <v>9</v>
      </c>
      <c r="F321" s="38">
        <v>1.1000000000000001</v>
      </c>
      <c r="G321" s="38" t="s">
        <v>570</v>
      </c>
      <c r="H321" s="38" t="s">
        <v>131</v>
      </c>
      <c r="I321" s="38" t="s">
        <v>571</v>
      </c>
      <c r="J321" s="41" t="s">
        <v>133</v>
      </c>
    </row>
    <row r="322" spans="1:10">
      <c r="A322" s="38" t="s">
        <v>105</v>
      </c>
      <c r="B322" s="38">
        <v>233</v>
      </c>
      <c r="C322" s="38">
        <v>1</v>
      </c>
      <c r="D322" s="38">
        <v>13</v>
      </c>
      <c r="E322" s="38">
        <v>5</v>
      </c>
      <c r="F322" s="38">
        <v>1.1000000000000001</v>
      </c>
      <c r="G322" s="38" t="s">
        <v>572</v>
      </c>
      <c r="H322" s="38" t="s">
        <v>131</v>
      </c>
      <c r="I322" s="38" t="s">
        <v>573</v>
      </c>
      <c r="J322" s="41" t="s">
        <v>133</v>
      </c>
    </row>
    <row r="323" spans="1:10">
      <c r="A323" s="38" t="s">
        <v>105</v>
      </c>
      <c r="B323" s="38">
        <v>233</v>
      </c>
      <c r="C323" s="38">
        <v>2</v>
      </c>
      <c r="D323" s="38">
        <v>24</v>
      </c>
      <c r="E323" s="38">
        <v>6</v>
      </c>
      <c r="F323" s="38">
        <v>1.1000000000000001</v>
      </c>
      <c r="G323" s="38" t="s">
        <v>572</v>
      </c>
      <c r="H323" s="38" t="s">
        <v>131</v>
      </c>
      <c r="I323" s="38" t="s">
        <v>573</v>
      </c>
      <c r="J323" s="41" t="s">
        <v>133</v>
      </c>
    </row>
    <row r="324" spans="1:10">
      <c r="A324" s="38" t="s">
        <v>105</v>
      </c>
      <c r="B324" s="38">
        <v>234</v>
      </c>
      <c r="C324" s="38">
        <v>1</v>
      </c>
      <c r="D324" s="38">
        <v>13</v>
      </c>
      <c r="E324" s="38">
        <v>9</v>
      </c>
      <c r="F324" s="38">
        <v>1.1000000000000001</v>
      </c>
      <c r="G324" s="38" t="s">
        <v>574</v>
      </c>
      <c r="H324" s="38" t="s">
        <v>131</v>
      </c>
      <c r="I324" s="38" t="s">
        <v>575</v>
      </c>
      <c r="J324" s="41" t="s">
        <v>133</v>
      </c>
    </row>
    <row r="325" spans="1:10">
      <c r="A325" s="38" t="s">
        <v>105</v>
      </c>
      <c r="B325" s="38">
        <v>234</v>
      </c>
      <c r="C325" s="38">
        <v>2</v>
      </c>
      <c r="D325" s="38">
        <v>36</v>
      </c>
      <c r="E325" s="38">
        <v>17</v>
      </c>
      <c r="F325" s="38">
        <v>1.1000000000000001</v>
      </c>
      <c r="G325" s="38" t="s">
        <v>574</v>
      </c>
      <c r="H325" s="38" t="s">
        <v>131</v>
      </c>
      <c r="I325" s="38" t="s">
        <v>575</v>
      </c>
      <c r="J325" s="41" t="s">
        <v>133</v>
      </c>
    </row>
    <row r="326" spans="1:10">
      <c r="A326" s="38" t="s">
        <v>105</v>
      </c>
      <c r="B326" s="38">
        <v>235</v>
      </c>
      <c r="C326" s="38">
        <v>1</v>
      </c>
      <c r="D326" s="38">
        <v>14</v>
      </c>
      <c r="E326" s="38">
        <v>1</v>
      </c>
      <c r="F326" s="38">
        <v>1.1000000000000001</v>
      </c>
      <c r="G326" s="38" t="s">
        <v>576</v>
      </c>
      <c r="H326" s="38" t="s">
        <v>131</v>
      </c>
      <c r="I326" s="38" t="s">
        <v>577</v>
      </c>
      <c r="J326" s="41" t="s">
        <v>133</v>
      </c>
    </row>
    <row r="327" spans="1:10">
      <c r="A327" s="38" t="s">
        <v>105</v>
      </c>
      <c r="B327" s="38">
        <v>235</v>
      </c>
      <c r="C327" s="38">
        <v>2</v>
      </c>
      <c r="D327" s="38">
        <v>21</v>
      </c>
      <c r="E327" s="38">
        <v>18</v>
      </c>
      <c r="F327" s="38">
        <v>1.1000000000000001</v>
      </c>
      <c r="G327" s="38" t="s">
        <v>576</v>
      </c>
      <c r="H327" s="38" t="s">
        <v>131</v>
      </c>
      <c r="I327" s="38" t="s">
        <v>577</v>
      </c>
      <c r="J327" s="41" t="s">
        <v>133</v>
      </c>
    </row>
    <row r="328" spans="1:10">
      <c r="A328" s="38" t="s">
        <v>105</v>
      </c>
      <c r="B328" s="38">
        <v>236</v>
      </c>
      <c r="C328" s="38">
        <v>1</v>
      </c>
      <c r="D328" s="38">
        <v>14</v>
      </c>
      <c r="E328" s="38">
        <v>14</v>
      </c>
      <c r="F328" s="38">
        <v>1.1000000000000001</v>
      </c>
      <c r="G328" s="38" t="s">
        <v>578</v>
      </c>
      <c r="H328" s="38" t="s">
        <v>131</v>
      </c>
      <c r="I328" s="38" t="s">
        <v>579</v>
      </c>
      <c r="J328" s="41" t="s">
        <v>133</v>
      </c>
    </row>
    <row r="329" spans="1:10">
      <c r="A329" s="38" t="s">
        <v>105</v>
      </c>
      <c r="B329" s="38">
        <v>236</v>
      </c>
      <c r="C329" s="38">
        <v>2</v>
      </c>
      <c r="D329" s="38">
        <v>28</v>
      </c>
      <c r="E329" s="38">
        <v>1</v>
      </c>
      <c r="F329" s="38">
        <v>1.1000000000000001</v>
      </c>
      <c r="G329" s="38" t="s">
        <v>578</v>
      </c>
      <c r="H329" s="38" t="s">
        <v>131</v>
      </c>
      <c r="I329" s="38" t="s">
        <v>579</v>
      </c>
      <c r="J329" s="41" t="s">
        <v>133</v>
      </c>
    </row>
    <row r="330" spans="1:10">
      <c r="A330" s="38" t="s">
        <v>105</v>
      </c>
      <c r="B330" s="38">
        <v>237</v>
      </c>
      <c r="C330" s="38">
        <v>1</v>
      </c>
      <c r="D330" s="38">
        <v>14</v>
      </c>
      <c r="E330" s="38">
        <v>17</v>
      </c>
      <c r="F330" s="38">
        <v>1.1000000000000001</v>
      </c>
      <c r="G330" s="38" t="s">
        <v>580</v>
      </c>
      <c r="H330" s="38" t="s">
        <v>131</v>
      </c>
      <c r="I330" s="38" t="s">
        <v>581</v>
      </c>
      <c r="J330" s="41" t="s">
        <v>133</v>
      </c>
    </row>
    <row r="331" spans="1:10">
      <c r="A331" s="38" t="s">
        <v>105</v>
      </c>
      <c r="B331" s="38">
        <v>237</v>
      </c>
      <c r="C331" s="38">
        <v>2</v>
      </c>
      <c r="D331" s="38">
        <v>25</v>
      </c>
      <c r="E331" s="38">
        <v>15</v>
      </c>
      <c r="F331" s="38">
        <v>1.1000000000000001</v>
      </c>
      <c r="G331" s="38" t="s">
        <v>580</v>
      </c>
      <c r="H331" s="38" t="s">
        <v>131</v>
      </c>
      <c r="I331" s="38" t="s">
        <v>581</v>
      </c>
      <c r="J331" s="41" t="s">
        <v>133</v>
      </c>
    </row>
    <row r="332" spans="1:10">
      <c r="A332" s="38" t="s">
        <v>105</v>
      </c>
      <c r="B332" s="38">
        <v>238</v>
      </c>
      <c r="C332" s="38">
        <v>1</v>
      </c>
      <c r="D332" s="38">
        <v>14</v>
      </c>
      <c r="E332" s="38">
        <v>10</v>
      </c>
      <c r="F332" s="38">
        <v>1.1000000000000001</v>
      </c>
      <c r="G332" s="38" t="s">
        <v>582</v>
      </c>
      <c r="H332" s="38" t="s">
        <v>131</v>
      </c>
      <c r="I332" s="38" t="s">
        <v>583</v>
      </c>
      <c r="J332" s="41" t="s">
        <v>133</v>
      </c>
    </row>
    <row r="333" spans="1:10">
      <c r="A333" s="38" t="s">
        <v>105</v>
      </c>
      <c r="B333" s="38">
        <v>238</v>
      </c>
      <c r="C333" s="38">
        <v>2</v>
      </c>
      <c r="D333" s="38">
        <v>20</v>
      </c>
      <c r="E333" s="38">
        <v>2</v>
      </c>
      <c r="F333" s="38">
        <v>1.1000000000000001</v>
      </c>
      <c r="G333" s="38" t="s">
        <v>582</v>
      </c>
      <c r="H333" s="38" t="s">
        <v>131</v>
      </c>
      <c r="I333" s="38" t="s">
        <v>583</v>
      </c>
      <c r="J333" s="41" t="s">
        <v>133</v>
      </c>
    </row>
    <row r="334" spans="1:10">
      <c r="A334" s="38" t="s">
        <v>105</v>
      </c>
      <c r="B334" s="38">
        <v>239</v>
      </c>
      <c r="C334" s="38">
        <v>1</v>
      </c>
      <c r="D334" s="38">
        <v>14</v>
      </c>
      <c r="E334" s="38">
        <v>18</v>
      </c>
      <c r="F334" s="38">
        <v>1.1000000000000001</v>
      </c>
      <c r="G334" s="38" t="s">
        <v>584</v>
      </c>
      <c r="H334" s="38" t="s">
        <v>131</v>
      </c>
      <c r="I334" s="38" t="s">
        <v>585</v>
      </c>
      <c r="J334" s="41" t="s">
        <v>133</v>
      </c>
    </row>
    <row r="335" spans="1:10">
      <c r="A335" s="38" t="s">
        <v>105</v>
      </c>
      <c r="B335" s="38">
        <v>239</v>
      </c>
      <c r="C335" s="38">
        <v>2</v>
      </c>
      <c r="D335" s="38">
        <v>35</v>
      </c>
      <c r="E335" s="38">
        <v>10</v>
      </c>
      <c r="F335" s="38">
        <v>1.1000000000000001</v>
      </c>
      <c r="G335" s="38" t="s">
        <v>584</v>
      </c>
      <c r="H335" s="38" t="s">
        <v>131</v>
      </c>
      <c r="I335" s="38" t="s">
        <v>585</v>
      </c>
      <c r="J335" s="41" t="s">
        <v>133</v>
      </c>
    </row>
    <row r="336" spans="1:10">
      <c r="A336" s="38" t="s">
        <v>105</v>
      </c>
      <c r="B336" s="38">
        <v>240</v>
      </c>
      <c r="C336" s="38">
        <v>1</v>
      </c>
      <c r="D336" s="38">
        <v>14</v>
      </c>
      <c r="E336" s="38">
        <v>4</v>
      </c>
      <c r="F336" s="38">
        <v>1.1000000000000001</v>
      </c>
      <c r="G336" s="38" t="s">
        <v>586</v>
      </c>
      <c r="H336" s="38" t="s">
        <v>131</v>
      </c>
      <c r="I336" s="38" t="s">
        <v>587</v>
      </c>
      <c r="J336" s="41" t="s">
        <v>133</v>
      </c>
    </row>
    <row r="337" spans="1:10">
      <c r="A337" s="38" t="s">
        <v>105</v>
      </c>
      <c r="B337" s="38">
        <v>240</v>
      </c>
      <c r="C337" s="38">
        <v>2</v>
      </c>
      <c r="D337" s="38">
        <v>26</v>
      </c>
      <c r="E337" s="38">
        <v>5</v>
      </c>
      <c r="F337" s="38">
        <v>1.1000000000000001</v>
      </c>
      <c r="G337" s="38" t="s">
        <v>586</v>
      </c>
      <c r="H337" s="38" t="s">
        <v>131</v>
      </c>
      <c r="I337" s="38" t="s">
        <v>587</v>
      </c>
      <c r="J337" s="41" t="s">
        <v>133</v>
      </c>
    </row>
    <row r="338" spans="1:10">
      <c r="A338" s="38" t="s">
        <v>105</v>
      </c>
      <c r="B338" s="38">
        <v>241</v>
      </c>
      <c r="C338" s="38">
        <v>1</v>
      </c>
      <c r="D338" s="38">
        <v>14</v>
      </c>
      <c r="E338" s="38">
        <v>11</v>
      </c>
      <c r="F338" s="38">
        <v>1.1000000000000001</v>
      </c>
      <c r="G338" s="38" t="s">
        <v>588</v>
      </c>
      <c r="H338" s="38" t="s">
        <v>131</v>
      </c>
      <c r="I338" s="38" t="s">
        <v>589</v>
      </c>
      <c r="J338" s="41" t="s">
        <v>133</v>
      </c>
    </row>
    <row r="339" spans="1:10">
      <c r="A339" s="38" t="s">
        <v>105</v>
      </c>
      <c r="B339" s="38">
        <v>241</v>
      </c>
      <c r="C339" s="38">
        <v>2</v>
      </c>
      <c r="D339" s="38">
        <v>31</v>
      </c>
      <c r="E339" s="38">
        <v>17</v>
      </c>
      <c r="F339" s="38">
        <v>1.1000000000000001</v>
      </c>
      <c r="G339" s="38" t="s">
        <v>588</v>
      </c>
      <c r="H339" s="38" t="s">
        <v>131</v>
      </c>
      <c r="I339" s="38" t="s">
        <v>589</v>
      </c>
      <c r="J339" s="41" t="s">
        <v>133</v>
      </c>
    </row>
    <row r="340" spans="1:10">
      <c r="A340" s="38" t="s">
        <v>105</v>
      </c>
      <c r="B340" s="38">
        <v>242</v>
      </c>
      <c r="C340" s="38">
        <v>1</v>
      </c>
      <c r="D340" s="38">
        <v>14</v>
      </c>
      <c r="E340" s="38">
        <v>13</v>
      </c>
      <c r="F340" s="38">
        <v>1.1000000000000001</v>
      </c>
      <c r="G340" s="38" t="s">
        <v>590</v>
      </c>
      <c r="H340" s="38" t="s">
        <v>131</v>
      </c>
      <c r="I340" s="38" t="s">
        <v>591</v>
      </c>
      <c r="J340" s="41" t="s">
        <v>133</v>
      </c>
    </row>
    <row r="341" spans="1:10">
      <c r="A341" s="38" t="s">
        <v>105</v>
      </c>
      <c r="B341" s="38">
        <v>242</v>
      </c>
      <c r="C341" s="38">
        <v>2</v>
      </c>
      <c r="D341" s="38">
        <v>22</v>
      </c>
      <c r="E341">
        <v>2</v>
      </c>
      <c r="F341" s="38">
        <v>1.1000000000000001</v>
      </c>
      <c r="G341" s="38" t="s">
        <v>590</v>
      </c>
      <c r="H341" s="38" t="s">
        <v>131</v>
      </c>
      <c r="I341" s="38" t="s">
        <v>591</v>
      </c>
      <c r="J341" s="41" t="s">
        <v>133</v>
      </c>
    </row>
    <row r="342" spans="1:10">
      <c r="A342" s="38" t="s">
        <v>105</v>
      </c>
      <c r="B342" s="38">
        <v>243</v>
      </c>
      <c r="C342" s="38">
        <v>1</v>
      </c>
      <c r="D342" s="38">
        <v>14</v>
      </c>
      <c r="E342" s="38">
        <v>3</v>
      </c>
      <c r="F342" s="38">
        <v>1.1000000000000001</v>
      </c>
      <c r="G342" s="38" t="s">
        <v>592</v>
      </c>
      <c r="H342" s="38" t="s">
        <v>131</v>
      </c>
      <c r="I342" s="38" t="s">
        <v>593</v>
      </c>
      <c r="J342" s="41" t="s">
        <v>133</v>
      </c>
    </row>
    <row r="343" spans="1:10">
      <c r="A343" s="38" t="s">
        <v>105</v>
      </c>
      <c r="B343" s="38">
        <v>243</v>
      </c>
      <c r="C343" s="38">
        <v>2</v>
      </c>
      <c r="D343" s="38">
        <v>33</v>
      </c>
      <c r="E343" s="38">
        <v>4</v>
      </c>
      <c r="F343" s="38">
        <v>1.1000000000000001</v>
      </c>
      <c r="G343" s="38" t="s">
        <v>592</v>
      </c>
      <c r="H343" s="38" t="s">
        <v>131</v>
      </c>
      <c r="I343" s="38" t="s">
        <v>593</v>
      </c>
      <c r="J343" s="41" t="s">
        <v>133</v>
      </c>
    </row>
    <row r="344" spans="1:10">
      <c r="A344" s="38" t="s">
        <v>105</v>
      </c>
      <c r="B344" s="38">
        <v>244</v>
      </c>
      <c r="C344" s="38">
        <v>1</v>
      </c>
      <c r="D344" s="38">
        <v>14</v>
      </c>
      <c r="E344" s="38">
        <v>12</v>
      </c>
      <c r="F344" s="38">
        <v>1.1000000000000001</v>
      </c>
      <c r="G344" s="38" t="s">
        <v>594</v>
      </c>
      <c r="H344" s="38" t="s">
        <v>131</v>
      </c>
      <c r="I344" s="38" t="s">
        <v>595</v>
      </c>
      <c r="J344" s="41" t="s">
        <v>133</v>
      </c>
    </row>
    <row r="345" spans="1:10">
      <c r="A345" s="38" t="s">
        <v>105</v>
      </c>
      <c r="B345" s="38">
        <v>244</v>
      </c>
      <c r="C345" s="38">
        <v>2</v>
      </c>
      <c r="D345" s="38">
        <v>36</v>
      </c>
      <c r="E345" s="38">
        <v>9</v>
      </c>
      <c r="F345" s="38">
        <v>1.1000000000000001</v>
      </c>
      <c r="G345" s="38" t="s">
        <v>594</v>
      </c>
      <c r="H345" s="38" t="s">
        <v>131</v>
      </c>
      <c r="I345" s="38" t="s">
        <v>595</v>
      </c>
      <c r="J345" s="41" t="s">
        <v>133</v>
      </c>
    </row>
    <row r="346" spans="1:10">
      <c r="A346" s="38" t="s">
        <v>105</v>
      </c>
      <c r="B346" s="38">
        <v>245</v>
      </c>
      <c r="C346" s="38">
        <v>1</v>
      </c>
      <c r="D346" s="38">
        <v>14</v>
      </c>
      <c r="E346" s="38">
        <v>15</v>
      </c>
      <c r="F346" s="38">
        <v>1.1000000000000001</v>
      </c>
      <c r="G346" s="38" t="s">
        <v>596</v>
      </c>
      <c r="H346" s="38" t="s">
        <v>131</v>
      </c>
      <c r="I346" s="38" t="s">
        <v>597</v>
      </c>
      <c r="J346" s="41" t="s">
        <v>133</v>
      </c>
    </row>
    <row r="347" spans="1:10">
      <c r="A347" s="38" t="s">
        <v>105</v>
      </c>
      <c r="B347" s="38">
        <v>245</v>
      </c>
      <c r="C347" s="38">
        <v>2</v>
      </c>
      <c r="D347" s="38">
        <v>30</v>
      </c>
      <c r="E347" s="38">
        <v>14</v>
      </c>
      <c r="F347" s="38">
        <v>1.1000000000000001</v>
      </c>
      <c r="G347" s="38" t="s">
        <v>596</v>
      </c>
      <c r="H347" s="38" t="s">
        <v>131</v>
      </c>
      <c r="I347" s="38" t="s">
        <v>597</v>
      </c>
      <c r="J347" s="41" t="s">
        <v>133</v>
      </c>
    </row>
    <row r="348" spans="1:10">
      <c r="A348" s="38" t="s">
        <v>105</v>
      </c>
      <c r="B348" s="38">
        <v>246</v>
      </c>
      <c r="C348" s="38">
        <v>1</v>
      </c>
      <c r="D348" s="38">
        <v>14</v>
      </c>
      <c r="E348" s="38">
        <v>5</v>
      </c>
      <c r="F348" s="38">
        <v>1.1000000000000001</v>
      </c>
      <c r="G348" s="38" t="s">
        <v>598</v>
      </c>
      <c r="H348" s="38" t="s">
        <v>131</v>
      </c>
      <c r="I348" s="38" t="s">
        <v>599</v>
      </c>
      <c r="J348" s="41" t="s">
        <v>133</v>
      </c>
    </row>
    <row r="349" spans="1:10">
      <c r="A349" s="38" t="s">
        <v>105</v>
      </c>
      <c r="B349" s="38">
        <v>246</v>
      </c>
      <c r="C349" s="38">
        <v>2</v>
      </c>
      <c r="D349" s="38">
        <v>19</v>
      </c>
      <c r="E349" s="38">
        <v>1</v>
      </c>
      <c r="F349" s="38">
        <v>1.1000000000000001</v>
      </c>
      <c r="G349" s="38" t="s">
        <v>598</v>
      </c>
      <c r="H349" s="38" t="s">
        <v>131</v>
      </c>
      <c r="I349" s="38" t="s">
        <v>599</v>
      </c>
      <c r="J349" s="41" t="s">
        <v>133</v>
      </c>
    </row>
    <row r="350" spans="1:10">
      <c r="A350" s="38" t="s">
        <v>105</v>
      </c>
      <c r="B350" s="38">
        <v>247</v>
      </c>
      <c r="C350" s="38">
        <v>1</v>
      </c>
      <c r="D350" s="38">
        <v>14</v>
      </c>
      <c r="E350" s="38">
        <v>7</v>
      </c>
      <c r="F350" s="38">
        <v>1.1000000000000001</v>
      </c>
      <c r="G350" s="38" t="s">
        <v>600</v>
      </c>
      <c r="H350" s="38" t="s">
        <v>131</v>
      </c>
      <c r="I350" s="38" t="s">
        <v>601</v>
      </c>
      <c r="J350" s="41" t="s">
        <v>133</v>
      </c>
    </row>
    <row r="351" spans="1:10">
      <c r="A351" s="38" t="s">
        <v>105</v>
      </c>
      <c r="B351" s="38">
        <v>247</v>
      </c>
      <c r="C351" s="38">
        <v>2</v>
      </c>
      <c r="D351" s="38">
        <v>23</v>
      </c>
      <c r="E351" s="38">
        <v>9</v>
      </c>
      <c r="F351" s="38">
        <v>1.1000000000000001</v>
      </c>
      <c r="G351" s="38" t="s">
        <v>600</v>
      </c>
      <c r="H351" s="38" t="s">
        <v>131</v>
      </c>
      <c r="I351" s="38" t="s">
        <v>601</v>
      </c>
      <c r="J351" s="41" t="s">
        <v>133</v>
      </c>
    </row>
    <row r="352" spans="1:10">
      <c r="A352" s="38" t="s">
        <v>105</v>
      </c>
      <c r="B352" s="38">
        <v>248</v>
      </c>
      <c r="C352" s="38">
        <v>1</v>
      </c>
      <c r="D352" s="38">
        <v>14</v>
      </c>
      <c r="E352" s="38">
        <v>9</v>
      </c>
      <c r="F352" s="38">
        <v>1.1000000000000001</v>
      </c>
      <c r="G352" s="38" t="s">
        <v>602</v>
      </c>
      <c r="H352" s="38" t="s">
        <v>131</v>
      </c>
      <c r="I352" s="38" t="s">
        <v>603</v>
      </c>
      <c r="J352" s="41" t="s">
        <v>133</v>
      </c>
    </row>
    <row r="353" spans="1:10">
      <c r="A353" s="38" t="s">
        <v>105</v>
      </c>
      <c r="B353" s="38">
        <v>248</v>
      </c>
      <c r="C353" s="38">
        <v>2</v>
      </c>
      <c r="D353" s="38">
        <v>29</v>
      </c>
      <c r="E353" s="38">
        <v>10</v>
      </c>
      <c r="F353" s="38">
        <v>1.1000000000000001</v>
      </c>
      <c r="G353" s="38" t="s">
        <v>602</v>
      </c>
      <c r="H353" s="38" t="s">
        <v>131</v>
      </c>
      <c r="I353" s="38" t="s">
        <v>603</v>
      </c>
      <c r="J353" s="41" t="s">
        <v>133</v>
      </c>
    </row>
    <row r="354" spans="1:10">
      <c r="A354" s="38" t="s">
        <v>105</v>
      </c>
      <c r="B354" s="38">
        <v>249</v>
      </c>
      <c r="C354" s="38">
        <v>1</v>
      </c>
      <c r="D354" s="38">
        <v>14</v>
      </c>
      <c r="E354" s="38">
        <v>2</v>
      </c>
      <c r="F354" s="38">
        <v>1.1000000000000001</v>
      </c>
      <c r="G354" s="38" t="s">
        <v>604</v>
      </c>
      <c r="H354" s="38" t="s">
        <v>131</v>
      </c>
      <c r="I354" s="38" t="s">
        <v>605</v>
      </c>
      <c r="J354" s="41" t="s">
        <v>133</v>
      </c>
    </row>
    <row r="355" spans="1:10">
      <c r="A355" s="38" t="s">
        <v>105</v>
      </c>
      <c r="B355" s="38">
        <v>249</v>
      </c>
      <c r="C355" s="38">
        <v>2</v>
      </c>
      <c r="D355" s="38">
        <v>32</v>
      </c>
      <c r="E355" s="38">
        <v>1</v>
      </c>
      <c r="F355" s="38">
        <v>1.1000000000000001</v>
      </c>
      <c r="G355" s="38" t="s">
        <v>604</v>
      </c>
      <c r="H355" s="38" t="s">
        <v>131</v>
      </c>
      <c r="I355" s="38" t="s">
        <v>605</v>
      </c>
      <c r="J355" s="41" t="s">
        <v>133</v>
      </c>
    </row>
    <row r="356" spans="1:10">
      <c r="A356" s="38" t="s">
        <v>105</v>
      </c>
      <c r="B356" s="38">
        <v>250</v>
      </c>
      <c r="C356" s="38">
        <v>1</v>
      </c>
      <c r="D356" s="38">
        <v>14</v>
      </c>
      <c r="E356" s="38">
        <v>8</v>
      </c>
      <c r="F356" s="38">
        <v>1.1000000000000001</v>
      </c>
      <c r="G356" s="38" t="s">
        <v>606</v>
      </c>
      <c r="H356" s="38" t="s">
        <v>131</v>
      </c>
      <c r="I356" s="38" t="s">
        <v>607</v>
      </c>
      <c r="J356" s="41" t="s">
        <v>133</v>
      </c>
    </row>
    <row r="357" spans="1:10">
      <c r="A357" s="38" t="s">
        <v>105</v>
      </c>
      <c r="B357" s="38">
        <v>250</v>
      </c>
      <c r="C357" s="38">
        <v>2</v>
      </c>
      <c r="D357" s="38">
        <v>34</v>
      </c>
      <c r="E357" s="38">
        <v>15</v>
      </c>
      <c r="F357" s="38">
        <v>1.1000000000000001</v>
      </c>
      <c r="G357" s="38" t="s">
        <v>606</v>
      </c>
      <c r="H357" s="38" t="s">
        <v>131</v>
      </c>
      <c r="I357" s="38" t="s">
        <v>607</v>
      </c>
      <c r="J357" s="41" t="s">
        <v>133</v>
      </c>
    </row>
    <row r="358" spans="1:10">
      <c r="A358" s="38" t="s">
        <v>105</v>
      </c>
      <c r="B358" s="38">
        <v>251</v>
      </c>
      <c r="C358" s="38">
        <v>1</v>
      </c>
      <c r="D358" s="38">
        <v>14</v>
      </c>
      <c r="E358" s="38">
        <v>6</v>
      </c>
      <c r="F358" s="38">
        <v>1.1000000000000001</v>
      </c>
      <c r="G358" s="38" t="s">
        <v>608</v>
      </c>
      <c r="H358" s="38" t="s">
        <v>131</v>
      </c>
      <c r="I358" s="38" t="s">
        <v>609</v>
      </c>
      <c r="J358" s="41" t="s">
        <v>133</v>
      </c>
    </row>
    <row r="359" spans="1:10">
      <c r="A359" s="38" t="s">
        <v>105</v>
      </c>
      <c r="B359" s="38">
        <v>251</v>
      </c>
      <c r="C359" s="38">
        <v>2</v>
      </c>
      <c r="D359" s="38">
        <v>27</v>
      </c>
      <c r="E359" s="38">
        <v>5</v>
      </c>
      <c r="F359" s="38">
        <v>1.1000000000000001</v>
      </c>
      <c r="G359" s="38" t="s">
        <v>608</v>
      </c>
      <c r="H359" s="38" t="s">
        <v>131</v>
      </c>
      <c r="I359" s="38" t="s">
        <v>609</v>
      </c>
      <c r="J359" s="41" t="s">
        <v>133</v>
      </c>
    </row>
    <row r="360" spans="1:10">
      <c r="A360" s="38" t="s">
        <v>105</v>
      </c>
      <c r="B360" s="38">
        <v>252</v>
      </c>
      <c r="C360" s="38">
        <v>1</v>
      </c>
      <c r="D360" s="38">
        <v>14</v>
      </c>
      <c r="E360" s="38">
        <v>16</v>
      </c>
      <c r="F360" s="38">
        <v>1.1000000000000001</v>
      </c>
      <c r="G360" s="38" t="s">
        <v>610</v>
      </c>
      <c r="H360" s="38" t="s">
        <v>131</v>
      </c>
      <c r="I360" s="38" t="s">
        <v>611</v>
      </c>
      <c r="J360" s="41" t="s">
        <v>133</v>
      </c>
    </row>
    <row r="361" spans="1:10">
      <c r="A361" s="38" t="s">
        <v>105</v>
      </c>
      <c r="B361" s="38">
        <v>252</v>
      </c>
      <c r="C361" s="38">
        <v>2</v>
      </c>
      <c r="D361" s="38">
        <v>34</v>
      </c>
      <c r="E361" s="38">
        <v>8</v>
      </c>
      <c r="F361" s="38">
        <v>1.1000000000000001</v>
      </c>
      <c r="G361" s="38" t="s">
        <v>610</v>
      </c>
      <c r="H361" s="38" t="s">
        <v>131</v>
      </c>
      <c r="I361" s="38" t="s">
        <v>611</v>
      </c>
      <c r="J361" s="41" t="s">
        <v>133</v>
      </c>
    </row>
    <row r="362" spans="1:10">
      <c r="A362" s="38" t="s">
        <v>105</v>
      </c>
      <c r="B362" s="38">
        <v>253</v>
      </c>
      <c r="C362" s="38">
        <v>1</v>
      </c>
      <c r="D362" s="38">
        <v>15</v>
      </c>
      <c r="E362" s="38">
        <v>15</v>
      </c>
      <c r="F362" s="38">
        <v>1.1000000000000001</v>
      </c>
      <c r="G362" s="38" t="s">
        <v>612</v>
      </c>
      <c r="H362" s="38" t="s">
        <v>131</v>
      </c>
      <c r="I362" s="38" t="s">
        <v>613</v>
      </c>
      <c r="J362" s="41" t="s">
        <v>133</v>
      </c>
    </row>
    <row r="363" spans="1:10">
      <c r="A363" s="38" t="s">
        <v>105</v>
      </c>
      <c r="B363" s="38">
        <v>253</v>
      </c>
      <c r="C363" s="38">
        <v>2</v>
      </c>
      <c r="D363" s="38">
        <v>20</v>
      </c>
      <c r="E363" s="38">
        <v>14</v>
      </c>
      <c r="F363" s="38">
        <v>1.1000000000000001</v>
      </c>
      <c r="G363" s="38" t="s">
        <v>612</v>
      </c>
      <c r="H363" s="38" t="s">
        <v>131</v>
      </c>
      <c r="I363" s="38" t="s">
        <v>613</v>
      </c>
      <c r="J363" s="41" t="s">
        <v>133</v>
      </c>
    </row>
    <row r="364" spans="1:10">
      <c r="A364" s="38" t="s">
        <v>105</v>
      </c>
      <c r="B364" s="38">
        <v>254</v>
      </c>
      <c r="C364" s="38">
        <v>1</v>
      </c>
      <c r="D364" s="38">
        <v>15</v>
      </c>
      <c r="E364" s="38">
        <v>16</v>
      </c>
      <c r="F364" s="38">
        <v>1.1000000000000001</v>
      </c>
      <c r="G364" s="38" t="s">
        <v>614</v>
      </c>
      <c r="H364" s="38" t="s">
        <v>131</v>
      </c>
      <c r="I364" s="38" t="s">
        <v>615</v>
      </c>
      <c r="J364" s="41" t="s">
        <v>133</v>
      </c>
    </row>
    <row r="365" spans="1:10">
      <c r="A365" s="38" t="s">
        <v>105</v>
      </c>
      <c r="B365" s="38">
        <v>254</v>
      </c>
      <c r="C365" s="38">
        <v>2</v>
      </c>
      <c r="D365" s="38">
        <v>19</v>
      </c>
      <c r="E365" s="38">
        <v>11</v>
      </c>
      <c r="F365" s="38">
        <v>1.1000000000000001</v>
      </c>
      <c r="G365" s="38" t="s">
        <v>614</v>
      </c>
      <c r="H365" s="38" t="s">
        <v>131</v>
      </c>
      <c r="I365" s="38" t="s">
        <v>615</v>
      </c>
      <c r="J365" s="41" t="s">
        <v>133</v>
      </c>
    </row>
    <row r="366" spans="1:10">
      <c r="A366" s="38" t="s">
        <v>105</v>
      </c>
      <c r="B366" s="38">
        <v>255</v>
      </c>
      <c r="C366" s="38">
        <v>1</v>
      </c>
      <c r="D366" s="38">
        <v>15</v>
      </c>
      <c r="E366" s="38">
        <v>10</v>
      </c>
      <c r="F366" s="38">
        <v>1.1000000000000001</v>
      </c>
      <c r="G366" s="38" t="s">
        <v>616</v>
      </c>
      <c r="H366" s="38" t="s">
        <v>131</v>
      </c>
      <c r="I366" s="38" t="s">
        <v>617</v>
      </c>
      <c r="J366" s="41" t="s">
        <v>133</v>
      </c>
    </row>
    <row r="367" spans="1:10">
      <c r="A367" s="38" t="s">
        <v>105</v>
      </c>
      <c r="B367" s="38">
        <v>255</v>
      </c>
      <c r="C367" s="38">
        <v>2</v>
      </c>
      <c r="D367" s="38">
        <v>33</v>
      </c>
      <c r="E367" s="38">
        <v>18</v>
      </c>
      <c r="F367" s="38">
        <v>1.1000000000000001</v>
      </c>
      <c r="G367" s="38" t="s">
        <v>616</v>
      </c>
      <c r="H367" s="38" t="s">
        <v>131</v>
      </c>
      <c r="I367" s="38" t="s">
        <v>617</v>
      </c>
      <c r="J367" s="41" t="s">
        <v>133</v>
      </c>
    </row>
    <row r="368" spans="1:10">
      <c r="A368" s="38" t="s">
        <v>105</v>
      </c>
      <c r="B368" s="38">
        <v>256</v>
      </c>
      <c r="C368" s="38">
        <v>1</v>
      </c>
      <c r="D368" s="38">
        <v>15</v>
      </c>
      <c r="E368" s="38">
        <v>6</v>
      </c>
      <c r="F368" s="38">
        <v>1.1000000000000001</v>
      </c>
      <c r="G368" s="38" t="s">
        <v>618</v>
      </c>
      <c r="H368" s="38" t="s">
        <v>131</v>
      </c>
      <c r="I368" s="38" t="s">
        <v>619</v>
      </c>
      <c r="J368" s="41" t="s">
        <v>133</v>
      </c>
    </row>
    <row r="369" spans="1:10">
      <c r="A369" s="38" t="s">
        <v>105</v>
      </c>
      <c r="B369" s="38">
        <v>256</v>
      </c>
      <c r="C369" s="38">
        <v>2</v>
      </c>
      <c r="D369" s="38">
        <v>23</v>
      </c>
      <c r="E369" s="38">
        <v>11</v>
      </c>
      <c r="F369" s="38">
        <v>1.1000000000000001</v>
      </c>
      <c r="G369" s="38" t="s">
        <v>618</v>
      </c>
      <c r="H369" s="38" t="s">
        <v>131</v>
      </c>
      <c r="I369" s="38" t="s">
        <v>619</v>
      </c>
      <c r="J369" s="41" t="s">
        <v>133</v>
      </c>
    </row>
    <row r="370" spans="1:10">
      <c r="A370" s="38" t="s">
        <v>105</v>
      </c>
      <c r="B370" s="38">
        <v>257</v>
      </c>
      <c r="C370" s="38">
        <v>1</v>
      </c>
      <c r="D370" s="38">
        <v>15</v>
      </c>
      <c r="E370" s="38">
        <v>11</v>
      </c>
      <c r="F370" s="38">
        <v>1.1000000000000001</v>
      </c>
      <c r="G370" s="38" t="s">
        <v>620</v>
      </c>
      <c r="H370" s="38" t="s">
        <v>131</v>
      </c>
      <c r="I370" s="38" t="s">
        <v>621</v>
      </c>
      <c r="J370" s="41" t="s">
        <v>133</v>
      </c>
    </row>
    <row r="371" spans="1:10">
      <c r="A371" s="38" t="s">
        <v>105</v>
      </c>
      <c r="B371" s="38">
        <v>257</v>
      </c>
      <c r="C371" s="38">
        <v>2</v>
      </c>
      <c r="D371" s="38">
        <v>21</v>
      </c>
      <c r="E371" s="38">
        <v>2</v>
      </c>
      <c r="F371" s="38">
        <v>1.1000000000000001</v>
      </c>
      <c r="G371" s="38" t="s">
        <v>620</v>
      </c>
      <c r="H371" s="38" t="s">
        <v>131</v>
      </c>
      <c r="I371" s="38" t="s">
        <v>621</v>
      </c>
      <c r="J371" s="41" t="s">
        <v>133</v>
      </c>
    </row>
    <row r="372" spans="1:10">
      <c r="A372" s="38" t="s">
        <v>105</v>
      </c>
      <c r="B372" s="38">
        <v>258</v>
      </c>
      <c r="C372" s="38">
        <v>1</v>
      </c>
      <c r="D372" s="38">
        <v>15</v>
      </c>
      <c r="E372" s="38">
        <v>18</v>
      </c>
      <c r="F372" s="38">
        <v>1.1000000000000001</v>
      </c>
      <c r="G372" s="38" t="s">
        <v>622</v>
      </c>
      <c r="H372" s="38" t="s">
        <v>131</v>
      </c>
      <c r="I372" s="38" t="s">
        <v>623</v>
      </c>
      <c r="J372" s="41" t="s">
        <v>133</v>
      </c>
    </row>
    <row r="373" spans="1:10">
      <c r="A373" s="38" t="s">
        <v>105</v>
      </c>
      <c r="B373" s="38">
        <v>258</v>
      </c>
      <c r="C373" s="38">
        <v>2</v>
      </c>
      <c r="D373" s="38">
        <v>26</v>
      </c>
      <c r="E373" s="38">
        <v>14</v>
      </c>
      <c r="F373" s="38">
        <v>1.1000000000000001</v>
      </c>
      <c r="G373" s="38" t="s">
        <v>622</v>
      </c>
      <c r="H373" s="38" t="s">
        <v>131</v>
      </c>
      <c r="I373" s="38" t="s">
        <v>623</v>
      </c>
      <c r="J373" s="41" t="s">
        <v>133</v>
      </c>
    </row>
    <row r="374" spans="1:10">
      <c r="A374" s="38" t="s">
        <v>105</v>
      </c>
      <c r="B374" s="38">
        <v>259</v>
      </c>
      <c r="C374" s="38">
        <v>1</v>
      </c>
      <c r="D374" s="38">
        <v>15</v>
      </c>
      <c r="E374" s="38">
        <v>13</v>
      </c>
      <c r="F374" s="38">
        <v>1.1000000000000001</v>
      </c>
      <c r="G374" s="38" t="s">
        <v>624</v>
      </c>
      <c r="H374" s="38" t="s">
        <v>131</v>
      </c>
      <c r="I374" s="38" t="s">
        <v>625</v>
      </c>
      <c r="J374" s="41" t="s">
        <v>133</v>
      </c>
    </row>
    <row r="375" spans="1:10">
      <c r="A375" s="38" t="s">
        <v>105</v>
      </c>
      <c r="B375" s="38">
        <v>259</v>
      </c>
      <c r="C375" s="38">
        <v>2</v>
      </c>
      <c r="D375" s="38">
        <v>27</v>
      </c>
      <c r="E375" s="38">
        <v>6</v>
      </c>
      <c r="F375" s="38">
        <v>1.1000000000000001</v>
      </c>
      <c r="G375" s="38" t="s">
        <v>624</v>
      </c>
      <c r="H375" s="38" t="s">
        <v>131</v>
      </c>
      <c r="I375" s="38" t="s">
        <v>625</v>
      </c>
      <c r="J375" s="41" t="s">
        <v>133</v>
      </c>
    </row>
    <row r="376" spans="1:10">
      <c r="A376" s="38" t="s">
        <v>105</v>
      </c>
      <c r="B376" s="38">
        <v>260</v>
      </c>
      <c r="C376" s="38">
        <v>1</v>
      </c>
      <c r="D376" s="38">
        <v>15</v>
      </c>
      <c r="E376" s="38">
        <v>8</v>
      </c>
      <c r="F376" s="38">
        <v>1.1000000000000001</v>
      </c>
      <c r="G376" s="38" t="s">
        <v>626</v>
      </c>
      <c r="H376" s="38" t="s">
        <v>131</v>
      </c>
      <c r="I376" s="38" t="s">
        <v>627</v>
      </c>
      <c r="J376" s="41" t="s">
        <v>133</v>
      </c>
    </row>
    <row r="377" spans="1:10">
      <c r="A377" s="38" t="s">
        <v>105</v>
      </c>
      <c r="B377" s="38">
        <v>260</v>
      </c>
      <c r="C377" s="38">
        <v>2</v>
      </c>
      <c r="D377" s="38">
        <v>36</v>
      </c>
      <c r="E377" s="38">
        <v>6</v>
      </c>
      <c r="F377" s="38">
        <v>1.1000000000000001</v>
      </c>
      <c r="G377" s="38" t="s">
        <v>626</v>
      </c>
      <c r="H377" s="38" t="s">
        <v>131</v>
      </c>
      <c r="I377" s="38" t="s">
        <v>627</v>
      </c>
      <c r="J377" s="41" t="s">
        <v>133</v>
      </c>
    </row>
    <row r="378" spans="1:10">
      <c r="A378" s="38" t="s">
        <v>105</v>
      </c>
      <c r="B378" s="38">
        <v>261</v>
      </c>
      <c r="C378" s="38">
        <v>1</v>
      </c>
      <c r="D378" s="38">
        <v>15</v>
      </c>
      <c r="E378" s="38">
        <v>7</v>
      </c>
      <c r="F378" s="38">
        <v>1.1000000000000001</v>
      </c>
      <c r="G378" s="38" t="s">
        <v>628</v>
      </c>
      <c r="H378" s="38" t="s">
        <v>131</v>
      </c>
      <c r="I378" s="38" t="s">
        <v>629</v>
      </c>
      <c r="J378" s="41" t="s">
        <v>133</v>
      </c>
    </row>
    <row r="379" spans="1:10">
      <c r="A379" s="38" t="s">
        <v>105</v>
      </c>
      <c r="B379" s="38">
        <v>261</v>
      </c>
      <c r="C379" s="38">
        <v>2</v>
      </c>
      <c r="D379" s="38">
        <v>29</v>
      </c>
      <c r="E379" s="38">
        <v>3</v>
      </c>
      <c r="F379" s="38">
        <v>1.1000000000000001</v>
      </c>
      <c r="G379" s="38" t="s">
        <v>628</v>
      </c>
      <c r="H379" s="38" t="s">
        <v>131</v>
      </c>
      <c r="I379" s="38" t="s">
        <v>629</v>
      </c>
      <c r="J379" s="41" t="s">
        <v>133</v>
      </c>
    </row>
    <row r="380" spans="1:10">
      <c r="A380" s="38" t="s">
        <v>105</v>
      </c>
      <c r="B380" s="38">
        <v>262</v>
      </c>
      <c r="C380" s="38">
        <v>1</v>
      </c>
      <c r="D380" s="38">
        <v>15</v>
      </c>
      <c r="E380" s="38">
        <v>1</v>
      </c>
      <c r="F380" s="38">
        <v>1.1000000000000001</v>
      </c>
      <c r="G380" s="38" t="s">
        <v>630</v>
      </c>
      <c r="H380" s="38" t="s">
        <v>131</v>
      </c>
      <c r="I380" s="38" t="s">
        <v>631</v>
      </c>
      <c r="J380" s="41" t="s">
        <v>133</v>
      </c>
    </row>
    <row r="381" spans="1:10">
      <c r="A381" s="38" t="s">
        <v>105</v>
      </c>
      <c r="B381" s="38">
        <v>262</v>
      </c>
      <c r="C381" s="38">
        <v>2</v>
      </c>
      <c r="D381" s="38">
        <v>24</v>
      </c>
      <c r="E381" s="38">
        <v>17</v>
      </c>
      <c r="F381" s="38">
        <v>1.1000000000000001</v>
      </c>
      <c r="G381" s="38" t="s">
        <v>630</v>
      </c>
      <c r="H381" s="38" t="s">
        <v>131</v>
      </c>
      <c r="I381" s="38" t="s">
        <v>631</v>
      </c>
      <c r="J381" s="41" t="s">
        <v>133</v>
      </c>
    </row>
    <row r="382" spans="1:10">
      <c r="A382" s="38" t="s">
        <v>105</v>
      </c>
      <c r="B382" s="38">
        <v>263</v>
      </c>
      <c r="C382" s="38">
        <v>1</v>
      </c>
      <c r="D382" s="38">
        <v>15</v>
      </c>
      <c r="E382" s="38">
        <v>4</v>
      </c>
      <c r="F382" s="38">
        <v>1.1000000000000001</v>
      </c>
      <c r="G382" s="38" t="s">
        <v>632</v>
      </c>
      <c r="H382" s="38" t="s">
        <v>131</v>
      </c>
      <c r="I382" s="38" t="s">
        <v>633</v>
      </c>
      <c r="J382" s="41" t="s">
        <v>133</v>
      </c>
    </row>
    <row r="383" spans="1:10">
      <c r="A383" s="38" t="s">
        <v>105</v>
      </c>
      <c r="B383" s="38">
        <v>263</v>
      </c>
      <c r="C383" s="38">
        <v>2</v>
      </c>
      <c r="D383" s="38">
        <v>32</v>
      </c>
      <c r="E383" s="38">
        <v>3</v>
      </c>
      <c r="F383" s="38">
        <v>1.1000000000000001</v>
      </c>
      <c r="G383" s="38" t="s">
        <v>632</v>
      </c>
      <c r="H383" s="38" t="s">
        <v>131</v>
      </c>
      <c r="I383" s="38" t="s">
        <v>633</v>
      </c>
      <c r="J383" s="41" t="s">
        <v>133</v>
      </c>
    </row>
    <row r="384" spans="1:10">
      <c r="A384" s="38" t="s">
        <v>105</v>
      </c>
      <c r="B384" s="38">
        <v>264</v>
      </c>
      <c r="C384" s="38">
        <v>1</v>
      </c>
      <c r="D384" s="38">
        <v>15</v>
      </c>
      <c r="E384" s="38">
        <v>17</v>
      </c>
      <c r="F384" s="38">
        <v>1.1000000000000001</v>
      </c>
      <c r="G384" s="38" t="s">
        <v>634</v>
      </c>
      <c r="H384" s="38" t="s">
        <v>131</v>
      </c>
      <c r="I384" s="38" t="s">
        <v>635</v>
      </c>
      <c r="J384" s="41" t="s">
        <v>133</v>
      </c>
    </row>
    <row r="385" spans="1:10">
      <c r="A385" s="38" t="s">
        <v>105</v>
      </c>
      <c r="B385" s="38">
        <v>264</v>
      </c>
      <c r="C385" s="38">
        <v>2</v>
      </c>
      <c r="D385" s="38">
        <v>28</v>
      </c>
      <c r="E385" s="38">
        <v>5</v>
      </c>
      <c r="F385" s="38">
        <v>1.1000000000000001</v>
      </c>
      <c r="G385" s="38" t="s">
        <v>634</v>
      </c>
      <c r="H385" s="38" t="s">
        <v>131</v>
      </c>
      <c r="I385" s="38" t="s">
        <v>635</v>
      </c>
      <c r="J385" s="41" t="s">
        <v>133</v>
      </c>
    </row>
    <row r="386" spans="1:10">
      <c r="A386" s="38" t="s">
        <v>105</v>
      </c>
      <c r="B386" s="38">
        <v>265</v>
      </c>
      <c r="C386" s="38">
        <v>1</v>
      </c>
      <c r="D386" s="38">
        <v>15</v>
      </c>
      <c r="E386" s="38">
        <v>5</v>
      </c>
      <c r="F386" s="38">
        <v>1.1000000000000001</v>
      </c>
      <c r="G386" s="38" t="s">
        <v>636</v>
      </c>
      <c r="H386" s="38" t="s">
        <v>131</v>
      </c>
      <c r="I386" s="38" t="s">
        <v>637</v>
      </c>
      <c r="J386" s="41" t="s">
        <v>133</v>
      </c>
    </row>
    <row r="387" spans="1:10">
      <c r="A387" s="38" t="s">
        <v>105</v>
      </c>
      <c r="B387" s="38">
        <v>265</v>
      </c>
      <c r="C387" s="38">
        <v>2</v>
      </c>
      <c r="D387" s="38">
        <v>31</v>
      </c>
      <c r="E387" s="38">
        <v>6</v>
      </c>
      <c r="F387" s="38">
        <v>1.1000000000000001</v>
      </c>
      <c r="G387" s="38" t="s">
        <v>636</v>
      </c>
      <c r="H387" s="38" t="s">
        <v>131</v>
      </c>
      <c r="I387" s="38" t="s">
        <v>637</v>
      </c>
      <c r="J387" s="41" t="s">
        <v>133</v>
      </c>
    </row>
    <row r="388" spans="1:10">
      <c r="A388" s="38" t="s">
        <v>105</v>
      </c>
      <c r="B388" s="38">
        <v>266</v>
      </c>
      <c r="C388" s="38">
        <v>1</v>
      </c>
      <c r="D388" s="38">
        <v>15</v>
      </c>
      <c r="E388" s="38">
        <v>2</v>
      </c>
      <c r="F388" s="38">
        <v>1.1000000000000001</v>
      </c>
      <c r="G388" s="38" t="s">
        <v>638</v>
      </c>
      <c r="H388" s="38" t="s">
        <v>131</v>
      </c>
      <c r="I388" s="38" t="s">
        <v>639</v>
      </c>
      <c r="J388" s="41" t="s">
        <v>133</v>
      </c>
    </row>
    <row r="389" spans="1:10">
      <c r="A389" s="38" t="s">
        <v>105</v>
      </c>
      <c r="B389" s="38">
        <v>266</v>
      </c>
      <c r="C389" s="38">
        <v>2</v>
      </c>
      <c r="D389" s="38">
        <v>34</v>
      </c>
      <c r="E389" s="38">
        <v>2</v>
      </c>
      <c r="F389" s="38">
        <v>1.1000000000000001</v>
      </c>
      <c r="G389" s="38" t="s">
        <v>638</v>
      </c>
      <c r="H389" s="38" t="s">
        <v>131</v>
      </c>
      <c r="I389" s="38" t="s">
        <v>639</v>
      </c>
      <c r="J389" s="41" t="s">
        <v>133</v>
      </c>
    </row>
    <row r="390" spans="1:10">
      <c r="A390" s="38" t="s">
        <v>105</v>
      </c>
      <c r="B390" s="38">
        <v>267</v>
      </c>
      <c r="C390" s="38">
        <v>1</v>
      </c>
      <c r="D390" s="38">
        <v>15</v>
      </c>
      <c r="E390" s="38">
        <v>14</v>
      </c>
      <c r="F390" s="38">
        <v>1.1000000000000001</v>
      </c>
      <c r="G390" s="38" t="s">
        <v>640</v>
      </c>
      <c r="H390" s="38" t="s">
        <v>131</v>
      </c>
      <c r="I390" s="38" t="s">
        <v>641</v>
      </c>
      <c r="J390" s="41" t="s">
        <v>133</v>
      </c>
    </row>
    <row r="391" spans="1:10">
      <c r="A391" s="38" t="s">
        <v>105</v>
      </c>
      <c r="B391" s="38">
        <v>267</v>
      </c>
      <c r="C391" s="38">
        <v>2</v>
      </c>
      <c r="D391" s="38">
        <v>30</v>
      </c>
      <c r="E391" s="38">
        <v>7</v>
      </c>
      <c r="F391" s="38">
        <v>1.1000000000000001</v>
      </c>
      <c r="G391" s="38" t="s">
        <v>640</v>
      </c>
      <c r="H391" s="38" t="s">
        <v>131</v>
      </c>
      <c r="I391" s="38" t="s">
        <v>641</v>
      </c>
      <c r="J391" s="41" t="s">
        <v>133</v>
      </c>
    </row>
    <row r="392" spans="1:10">
      <c r="A392" s="38" t="s">
        <v>105</v>
      </c>
      <c r="B392" s="38">
        <v>268</v>
      </c>
      <c r="C392" s="38">
        <v>1</v>
      </c>
      <c r="D392" s="38">
        <v>15</v>
      </c>
      <c r="E392" s="38">
        <v>3</v>
      </c>
      <c r="F392" s="38">
        <v>1.1000000000000001</v>
      </c>
      <c r="G392" s="38" t="s">
        <v>642</v>
      </c>
      <c r="H392" s="38" t="s">
        <v>131</v>
      </c>
      <c r="I392" s="38" t="s">
        <v>643</v>
      </c>
      <c r="J392" s="41" t="s">
        <v>133</v>
      </c>
    </row>
    <row r="393" spans="1:10">
      <c r="A393" s="38" t="s">
        <v>105</v>
      </c>
      <c r="B393" s="38">
        <v>268</v>
      </c>
      <c r="C393" s="38">
        <v>2</v>
      </c>
      <c r="D393" s="38">
        <v>22</v>
      </c>
      <c r="E393">
        <v>7</v>
      </c>
      <c r="F393" s="38">
        <v>1.1000000000000001</v>
      </c>
      <c r="G393" s="38" t="s">
        <v>642</v>
      </c>
      <c r="H393" s="38" t="s">
        <v>131</v>
      </c>
      <c r="I393" s="38" t="s">
        <v>643</v>
      </c>
      <c r="J393" s="41" t="s">
        <v>133</v>
      </c>
    </row>
    <row r="394" spans="1:10">
      <c r="A394" s="38" t="s">
        <v>105</v>
      </c>
      <c r="B394" s="38">
        <v>269</v>
      </c>
      <c r="C394" s="38">
        <v>1</v>
      </c>
      <c r="D394" s="38">
        <v>15</v>
      </c>
      <c r="E394" s="38">
        <v>9</v>
      </c>
      <c r="F394" s="38">
        <v>1.1000000000000001</v>
      </c>
      <c r="G394" s="38" t="s">
        <v>644</v>
      </c>
      <c r="H394" s="38" t="s">
        <v>131</v>
      </c>
      <c r="I394" s="38" t="s">
        <v>645</v>
      </c>
      <c r="J394" s="41" t="s">
        <v>133</v>
      </c>
    </row>
    <row r="395" spans="1:10">
      <c r="A395" s="38" t="s">
        <v>105</v>
      </c>
      <c r="B395" s="38">
        <v>269</v>
      </c>
      <c r="C395" s="38">
        <v>2</v>
      </c>
      <c r="D395" s="38">
        <v>25</v>
      </c>
      <c r="E395" s="38">
        <v>17</v>
      </c>
      <c r="F395" s="38">
        <v>1.1000000000000001</v>
      </c>
      <c r="G395" s="38" t="s">
        <v>644</v>
      </c>
      <c r="H395" s="38" t="s">
        <v>131</v>
      </c>
      <c r="I395" s="38" t="s">
        <v>645</v>
      </c>
      <c r="J395" s="41" t="s">
        <v>133</v>
      </c>
    </row>
    <row r="396" spans="1:10">
      <c r="A396" s="38" t="s">
        <v>105</v>
      </c>
      <c r="B396" s="38">
        <v>270</v>
      </c>
      <c r="C396" s="38">
        <v>1</v>
      </c>
      <c r="D396" s="38">
        <v>15</v>
      </c>
      <c r="E396" s="38">
        <v>12</v>
      </c>
      <c r="F396" s="38">
        <v>1.1000000000000001</v>
      </c>
      <c r="G396" s="38" t="s">
        <v>646</v>
      </c>
      <c r="H396" s="38" t="s">
        <v>131</v>
      </c>
      <c r="I396" s="38" t="s">
        <v>647</v>
      </c>
      <c r="J396" s="41" t="s">
        <v>133</v>
      </c>
    </row>
    <row r="397" spans="1:10">
      <c r="A397" s="38" t="s">
        <v>105</v>
      </c>
      <c r="B397" s="38">
        <v>270</v>
      </c>
      <c r="C397" s="38">
        <v>2</v>
      </c>
      <c r="D397" s="38">
        <v>35</v>
      </c>
      <c r="E397" s="38">
        <v>16</v>
      </c>
      <c r="F397" s="38">
        <v>1.1000000000000001</v>
      </c>
      <c r="G397" s="38" t="s">
        <v>646</v>
      </c>
      <c r="H397" s="38" t="s">
        <v>131</v>
      </c>
      <c r="I397" s="38" t="s">
        <v>647</v>
      </c>
      <c r="J397" s="41" t="s">
        <v>133</v>
      </c>
    </row>
    <row r="398" spans="1:10">
      <c r="A398" s="38" t="s">
        <v>105</v>
      </c>
      <c r="B398" s="38">
        <v>271</v>
      </c>
      <c r="C398" s="38">
        <v>1</v>
      </c>
      <c r="D398" s="38">
        <v>16</v>
      </c>
      <c r="E398" s="38">
        <v>2</v>
      </c>
      <c r="F398" s="38">
        <v>1.1000000000000001</v>
      </c>
      <c r="G398" s="38" t="s">
        <v>648</v>
      </c>
      <c r="H398" s="38" t="s">
        <v>131</v>
      </c>
      <c r="I398" s="38" t="s">
        <v>649</v>
      </c>
      <c r="J398" s="41" t="s">
        <v>133</v>
      </c>
    </row>
    <row r="399" spans="1:10">
      <c r="A399" s="38" t="s">
        <v>105</v>
      </c>
      <c r="B399" s="38">
        <v>271</v>
      </c>
      <c r="C399" s="38">
        <v>2</v>
      </c>
      <c r="D399" s="38">
        <v>29</v>
      </c>
      <c r="E399" s="38">
        <v>15</v>
      </c>
      <c r="F399" s="38">
        <v>1.1000000000000001</v>
      </c>
      <c r="G399" s="38" t="s">
        <v>648</v>
      </c>
      <c r="H399" s="38" t="s">
        <v>131</v>
      </c>
      <c r="I399" s="38" t="s">
        <v>649</v>
      </c>
      <c r="J399" s="41" t="s">
        <v>133</v>
      </c>
    </row>
    <row r="400" spans="1:10">
      <c r="A400" s="38" t="s">
        <v>105</v>
      </c>
      <c r="B400" s="38">
        <v>272</v>
      </c>
      <c r="C400" s="38">
        <v>1</v>
      </c>
      <c r="D400" s="38">
        <v>16</v>
      </c>
      <c r="E400" s="38">
        <v>15</v>
      </c>
      <c r="F400" s="38">
        <v>1.1000000000000001</v>
      </c>
      <c r="G400" s="38" t="s">
        <v>650</v>
      </c>
      <c r="H400" s="38" t="s">
        <v>131</v>
      </c>
      <c r="I400" s="38" t="s">
        <v>651</v>
      </c>
      <c r="J400" s="41" t="s">
        <v>133</v>
      </c>
    </row>
    <row r="401" spans="1:10">
      <c r="A401" s="38" t="s">
        <v>105</v>
      </c>
      <c r="B401" s="38">
        <v>272</v>
      </c>
      <c r="C401" s="38">
        <v>2</v>
      </c>
      <c r="D401" s="38">
        <v>22</v>
      </c>
      <c r="E401">
        <v>9</v>
      </c>
      <c r="F401" s="38">
        <v>1.1000000000000001</v>
      </c>
      <c r="G401" s="38" t="s">
        <v>650</v>
      </c>
      <c r="H401" s="38" t="s">
        <v>131</v>
      </c>
      <c r="I401" s="38" t="s">
        <v>651</v>
      </c>
      <c r="J401" s="41" t="s">
        <v>133</v>
      </c>
    </row>
    <row r="402" spans="1:10">
      <c r="A402" s="38" t="s">
        <v>105</v>
      </c>
      <c r="B402" s="38">
        <v>273</v>
      </c>
      <c r="C402" s="38">
        <v>1</v>
      </c>
      <c r="D402" s="38">
        <v>16</v>
      </c>
      <c r="E402" s="38">
        <v>9</v>
      </c>
      <c r="F402" s="38">
        <v>1.1000000000000001</v>
      </c>
      <c r="G402" s="38" t="s">
        <v>652</v>
      </c>
      <c r="H402" s="38" t="s">
        <v>131</v>
      </c>
      <c r="I402" s="38" t="s">
        <v>653</v>
      </c>
      <c r="J402" s="41" t="s">
        <v>133</v>
      </c>
    </row>
    <row r="403" spans="1:10">
      <c r="A403" s="38" t="s">
        <v>105</v>
      </c>
      <c r="B403" s="38">
        <v>273</v>
      </c>
      <c r="C403" s="38">
        <v>2</v>
      </c>
      <c r="D403" s="38">
        <v>28</v>
      </c>
      <c r="E403" s="38">
        <v>9</v>
      </c>
      <c r="F403" s="38">
        <v>1.1000000000000001</v>
      </c>
      <c r="G403" s="38" t="s">
        <v>652</v>
      </c>
      <c r="H403" s="38" t="s">
        <v>131</v>
      </c>
      <c r="I403" s="38" t="s">
        <v>653</v>
      </c>
      <c r="J403" s="41" t="s">
        <v>133</v>
      </c>
    </row>
    <row r="404" spans="1:10">
      <c r="A404" s="38" t="s">
        <v>105</v>
      </c>
      <c r="B404" s="38">
        <v>274</v>
      </c>
      <c r="C404" s="38">
        <v>1</v>
      </c>
      <c r="D404" s="38">
        <v>16</v>
      </c>
      <c r="E404" s="38">
        <v>11</v>
      </c>
      <c r="F404" s="38">
        <v>1.1000000000000001</v>
      </c>
      <c r="G404" s="38" t="s">
        <v>654</v>
      </c>
      <c r="H404" s="38" t="s">
        <v>131</v>
      </c>
      <c r="I404" s="38" t="s">
        <v>655</v>
      </c>
      <c r="J404" s="41" t="s">
        <v>133</v>
      </c>
    </row>
    <row r="405" spans="1:10">
      <c r="A405" s="38" t="s">
        <v>105</v>
      </c>
      <c r="B405" s="38">
        <v>274</v>
      </c>
      <c r="C405" s="38">
        <v>2</v>
      </c>
      <c r="D405" s="38">
        <v>27</v>
      </c>
      <c r="E405" s="38">
        <v>7</v>
      </c>
      <c r="F405" s="38">
        <v>1.1000000000000001</v>
      </c>
      <c r="G405" s="38" t="s">
        <v>654</v>
      </c>
      <c r="H405" s="38" t="s">
        <v>131</v>
      </c>
      <c r="I405" s="38" t="s">
        <v>655</v>
      </c>
      <c r="J405" s="41" t="s">
        <v>133</v>
      </c>
    </row>
    <row r="406" spans="1:10">
      <c r="A406" s="38" t="s">
        <v>105</v>
      </c>
      <c r="B406" s="38">
        <v>275</v>
      </c>
      <c r="C406" s="38">
        <v>1</v>
      </c>
      <c r="D406" s="38">
        <v>16</v>
      </c>
      <c r="E406" s="38">
        <v>4</v>
      </c>
      <c r="F406" s="38">
        <v>1.1000000000000001</v>
      </c>
      <c r="G406" s="38" t="s">
        <v>656</v>
      </c>
      <c r="H406" s="38" t="s">
        <v>131</v>
      </c>
      <c r="I406" s="38" t="s">
        <v>657</v>
      </c>
      <c r="J406" s="41" t="s">
        <v>133</v>
      </c>
    </row>
    <row r="407" spans="1:10">
      <c r="A407" s="38" t="s">
        <v>105</v>
      </c>
      <c r="B407" s="38">
        <v>275</v>
      </c>
      <c r="C407" s="38">
        <v>2</v>
      </c>
      <c r="D407" s="38">
        <v>31</v>
      </c>
      <c r="E407" s="38">
        <v>8</v>
      </c>
      <c r="F407" s="38">
        <v>1.1000000000000001</v>
      </c>
      <c r="G407" s="38" t="s">
        <v>656</v>
      </c>
      <c r="H407" s="38" t="s">
        <v>131</v>
      </c>
      <c r="I407" s="38" t="s">
        <v>657</v>
      </c>
      <c r="J407" s="41" t="s">
        <v>133</v>
      </c>
    </row>
    <row r="408" spans="1:10">
      <c r="A408" s="38" t="s">
        <v>105</v>
      </c>
      <c r="B408" s="38">
        <v>276</v>
      </c>
      <c r="C408" s="38">
        <v>1</v>
      </c>
      <c r="D408" s="38">
        <v>16</v>
      </c>
      <c r="E408" s="38">
        <v>1</v>
      </c>
      <c r="F408" s="38">
        <v>1.1000000000000001</v>
      </c>
      <c r="G408" s="38" t="s">
        <v>658</v>
      </c>
      <c r="H408" s="38" t="s">
        <v>131</v>
      </c>
      <c r="I408" s="38" t="s">
        <v>659</v>
      </c>
      <c r="J408" s="41" t="s">
        <v>133</v>
      </c>
    </row>
    <row r="409" spans="1:10">
      <c r="A409" s="38" t="s">
        <v>105</v>
      </c>
      <c r="B409" s="38">
        <v>276</v>
      </c>
      <c r="C409" s="38">
        <v>2</v>
      </c>
      <c r="D409" s="38">
        <v>20</v>
      </c>
      <c r="E409" s="38">
        <v>17</v>
      </c>
      <c r="F409" s="38">
        <v>1.1000000000000001</v>
      </c>
      <c r="G409" s="38" t="s">
        <v>658</v>
      </c>
      <c r="H409" s="38" t="s">
        <v>131</v>
      </c>
      <c r="I409" s="38" t="s">
        <v>659</v>
      </c>
      <c r="J409" s="41" t="s">
        <v>133</v>
      </c>
    </row>
    <row r="410" spans="1:10">
      <c r="A410" s="38" t="s">
        <v>105</v>
      </c>
      <c r="B410" s="38">
        <v>277</v>
      </c>
      <c r="C410" s="38">
        <v>1</v>
      </c>
      <c r="D410" s="38">
        <v>16</v>
      </c>
      <c r="E410" s="38">
        <v>10</v>
      </c>
      <c r="F410" s="38">
        <v>1.1000000000000001</v>
      </c>
      <c r="G410" s="41" t="s">
        <v>660</v>
      </c>
      <c r="H410" s="41" t="s">
        <v>131</v>
      </c>
      <c r="I410" s="41" t="s">
        <v>661</v>
      </c>
      <c r="J410" s="41" t="s">
        <v>133</v>
      </c>
    </row>
    <row r="411" spans="1:10">
      <c r="A411" s="38" t="s">
        <v>105</v>
      </c>
      <c r="B411" s="38">
        <v>277</v>
      </c>
      <c r="C411" s="38">
        <v>2</v>
      </c>
      <c r="D411" s="38">
        <v>26</v>
      </c>
      <c r="E411" s="38">
        <v>16</v>
      </c>
      <c r="F411" s="38">
        <v>1.1000000000000001</v>
      </c>
      <c r="G411" s="41" t="s">
        <v>660</v>
      </c>
      <c r="H411" s="41" t="s">
        <v>131</v>
      </c>
      <c r="I411" s="41" t="s">
        <v>661</v>
      </c>
      <c r="J411" s="41" t="s">
        <v>133</v>
      </c>
    </row>
    <row r="412" spans="1:10">
      <c r="A412" s="38" t="s">
        <v>105</v>
      </c>
      <c r="B412" s="38">
        <v>278</v>
      </c>
      <c r="C412" s="38">
        <v>1</v>
      </c>
      <c r="D412" s="38">
        <v>16</v>
      </c>
      <c r="E412" s="38">
        <v>16</v>
      </c>
      <c r="F412" s="38">
        <v>1.1000000000000001</v>
      </c>
      <c r="G412" s="41" t="s">
        <v>662</v>
      </c>
      <c r="H412" s="41" t="s">
        <v>131</v>
      </c>
      <c r="I412" s="41" t="s">
        <v>663</v>
      </c>
      <c r="J412" s="41" t="s">
        <v>133</v>
      </c>
    </row>
    <row r="413" spans="1:10">
      <c r="A413" s="38" t="s">
        <v>105</v>
      </c>
      <c r="B413" s="38">
        <v>278</v>
      </c>
      <c r="C413" s="38">
        <v>2</v>
      </c>
      <c r="D413" s="38">
        <v>25</v>
      </c>
      <c r="E413" s="38">
        <v>1</v>
      </c>
      <c r="F413" s="38">
        <v>1.1000000000000001</v>
      </c>
      <c r="G413" s="41" t="s">
        <v>662</v>
      </c>
      <c r="H413" s="41" t="s">
        <v>131</v>
      </c>
      <c r="I413" s="41" t="s">
        <v>663</v>
      </c>
      <c r="J413" s="41" t="s">
        <v>133</v>
      </c>
    </row>
    <row r="414" spans="1:10">
      <c r="A414" s="38" t="s">
        <v>105</v>
      </c>
      <c r="B414" s="38">
        <v>279</v>
      </c>
      <c r="C414" s="38">
        <v>1</v>
      </c>
      <c r="D414" s="38">
        <v>16</v>
      </c>
      <c r="E414" s="38">
        <v>5</v>
      </c>
      <c r="F414" s="38">
        <v>1.1000000000000001</v>
      </c>
      <c r="G414" s="41" t="s">
        <v>664</v>
      </c>
      <c r="H414" s="41" t="s">
        <v>131</v>
      </c>
      <c r="I414" s="41" t="s">
        <v>665</v>
      </c>
      <c r="J414" s="41" t="s">
        <v>133</v>
      </c>
    </row>
    <row r="415" spans="1:10">
      <c r="A415" s="38" t="s">
        <v>105</v>
      </c>
      <c r="B415" s="38">
        <v>279</v>
      </c>
      <c r="C415" s="38">
        <v>2</v>
      </c>
      <c r="D415" s="38">
        <v>19</v>
      </c>
      <c r="E415" s="38">
        <v>16</v>
      </c>
      <c r="F415" s="38">
        <v>1.1000000000000001</v>
      </c>
      <c r="G415" s="41" t="s">
        <v>664</v>
      </c>
      <c r="H415" s="41" t="s">
        <v>131</v>
      </c>
      <c r="I415" s="41" t="s">
        <v>665</v>
      </c>
      <c r="J415" s="41" t="s">
        <v>133</v>
      </c>
    </row>
    <row r="416" spans="1:10">
      <c r="A416" s="38" t="s">
        <v>105</v>
      </c>
      <c r="B416" s="38">
        <v>280</v>
      </c>
      <c r="C416" s="38">
        <v>1</v>
      </c>
      <c r="D416" s="38">
        <v>16</v>
      </c>
      <c r="E416" s="38">
        <v>8</v>
      </c>
      <c r="F416" s="38">
        <v>1.1000000000000001</v>
      </c>
      <c r="G416" s="41" t="s">
        <v>666</v>
      </c>
      <c r="H416" s="41" t="s">
        <v>131</v>
      </c>
      <c r="I416" s="41" t="s">
        <v>667</v>
      </c>
      <c r="J416" s="41" t="s">
        <v>133</v>
      </c>
    </row>
    <row r="417" spans="1:10">
      <c r="A417" s="38" t="s">
        <v>105</v>
      </c>
      <c r="B417" s="38">
        <v>280</v>
      </c>
      <c r="C417" s="38">
        <v>2</v>
      </c>
      <c r="D417" s="38">
        <v>23</v>
      </c>
      <c r="E417" s="38">
        <v>1</v>
      </c>
      <c r="F417" s="38">
        <v>1.1000000000000001</v>
      </c>
      <c r="G417" s="41" t="s">
        <v>666</v>
      </c>
      <c r="H417" s="41" t="s">
        <v>131</v>
      </c>
      <c r="I417" s="41" t="s">
        <v>667</v>
      </c>
      <c r="J417" s="41" t="s">
        <v>133</v>
      </c>
    </row>
    <row r="418" spans="1:10">
      <c r="A418" s="38" t="s">
        <v>105</v>
      </c>
      <c r="B418" s="38">
        <v>281</v>
      </c>
      <c r="C418" s="38">
        <v>1</v>
      </c>
      <c r="D418" s="38">
        <v>16</v>
      </c>
      <c r="E418" s="38">
        <v>13</v>
      </c>
      <c r="F418" s="38">
        <v>1.1000000000000001</v>
      </c>
      <c r="G418" s="41" t="s">
        <v>668</v>
      </c>
      <c r="H418" s="41" t="s">
        <v>131</v>
      </c>
      <c r="I418" s="41" t="s">
        <v>669</v>
      </c>
      <c r="J418" s="41" t="s">
        <v>133</v>
      </c>
    </row>
    <row r="419" spans="1:10">
      <c r="A419" s="38" t="s">
        <v>105</v>
      </c>
      <c r="B419" s="38">
        <v>281</v>
      </c>
      <c r="C419" s="38">
        <v>2</v>
      </c>
      <c r="D419" s="38">
        <v>25</v>
      </c>
      <c r="E419" s="38">
        <v>18</v>
      </c>
      <c r="F419" s="38">
        <v>1.1000000000000001</v>
      </c>
      <c r="G419" s="41" t="s">
        <v>668</v>
      </c>
      <c r="H419" s="41" t="s">
        <v>131</v>
      </c>
      <c r="I419" s="41" t="s">
        <v>669</v>
      </c>
      <c r="J419" s="41" t="s">
        <v>133</v>
      </c>
    </row>
    <row r="420" spans="1:10">
      <c r="A420" s="38" t="s">
        <v>105</v>
      </c>
      <c r="B420" s="38">
        <v>282</v>
      </c>
      <c r="C420" s="38">
        <v>1</v>
      </c>
      <c r="D420" s="38">
        <v>16</v>
      </c>
      <c r="E420" s="38">
        <v>14</v>
      </c>
      <c r="F420" s="38">
        <v>1.1000000000000001</v>
      </c>
      <c r="G420" s="41" t="s">
        <v>670</v>
      </c>
      <c r="H420" s="41" t="s">
        <v>131</v>
      </c>
      <c r="I420" s="41" t="s">
        <v>671</v>
      </c>
      <c r="J420" s="41" t="s">
        <v>133</v>
      </c>
    </row>
    <row r="421" spans="1:10">
      <c r="A421" s="38" t="s">
        <v>105</v>
      </c>
      <c r="B421" s="38">
        <v>282</v>
      </c>
      <c r="C421" s="38">
        <v>2</v>
      </c>
      <c r="D421" s="38">
        <v>24</v>
      </c>
      <c r="E421" s="38">
        <v>16</v>
      </c>
      <c r="F421" s="38">
        <v>1.1000000000000001</v>
      </c>
      <c r="G421" s="41" t="s">
        <v>670</v>
      </c>
      <c r="H421" s="41" t="s">
        <v>131</v>
      </c>
      <c r="I421" s="41" t="s">
        <v>671</v>
      </c>
      <c r="J421" s="41" t="s">
        <v>133</v>
      </c>
    </row>
    <row r="422" spans="1:10">
      <c r="A422" s="38" t="s">
        <v>105</v>
      </c>
      <c r="B422" s="38">
        <v>283</v>
      </c>
      <c r="C422" s="38">
        <v>1</v>
      </c>
      <c r="D422" s="38">
        <v>16</v>
      </c>
      <c r="E422" s="38">
        <v>7</v>
      </c>
      <c r="F422" s="38">
        <v>1.1000000000000001</v>
      </c>
      <c r="G422" s="41" t="s">
        <v>672</v>
      </c>
      <c r="H422" s="41" t="s">
        <v>131</v>
      </c>
      <c r="I422" s="41" t="s">
        <v>673</v>
      </c>
      <c r="J422" s="41" t="s">
        <v>133</v>
      </c>
    </row>
    <row r="423" spans="1:10">
      <c r="A423" s="38" t="s">
        <v>105</v>
      </c>
      <c r="B423" s="38">
        <v>283</v>
      </c>
      <c r="C423" s="38">
        <v>2</v>
      </c>
      <c r="D423" s="38">
        <v>34</v>
      </c>
      <c r="E423" s="38">
        <v>1</v>
      </c>
      <c r="F423" s="38">
        <v>1.1000000000000001</v>
      </c>
      <c r="G423" s="41" t="s">
        <v>672</v>
      </c>
      <c r="H423" s="41" t="s">
        <v>131</v>
      </c>
      <c r="I423" s="41" t="s">
        <v>673</v>
      </c>
      <c r="J423" s="41" t="s">
        <v>133</v>
      </c>
    </row>
    <row r="424" spans="1:10">
      <c r="A424" s="38" t="s">
        <v>105</v>
      </c>
      <c r="B424" s="38">
        <v>284</v>
      </c>
      <c r="C424" s="38">
        <v>1</v>
      </c>
      <c r="D424" s="38">
        <v>16</v>
      </c>
      <c r="E424" s="38">
        <v>18</v>
      </c>
      <c r="F424" s="38">
        <v>1.1000000000000001</v>
      </c>
      <c r="G424" s="41" t="s">
        <v>674</v>
      </c>
      <c r="H424" s="41" t="s">
        <v>131</v>
      </c>
      <c r="I424" s="41" t="s">
        <v>675</v>
      </c>
      <c r="J424" s="41" t="s">
        <v>133</v>
      </c>
    </row>
    <row r="425" spans="1:10">
      <c r="A425" s="38" t="s">
        <v>105</v>
      </c>
      <c r="B425" s="38">
        <v>284</v>
      </c>
      <c r="C425" s="38">
        <v>2</v>
      </c>
      <c r="D425" s="38">
        <v>21</v>
      </c>
      <c r="E425" s="38">
        <v>6</v>
      </c>
      <c r="F425" s="38">
        <v>1.1000000000000001</v>
      </c>
      <c r="G425" s="41" t="s">
        <v>674</v>
      </c>
      <c r="H425" s="41" t="s">
        <v>131</v>
      </c>
      <c r="I425" s="41" t="s">
        <v>675</v>
      </c>
      <c r="J425" s="41" t="s">
        <v>133</v>
      </c>
    </row>
    <row r="426" spans="1:10">
      <c r="A426" s="38" t="s">
        <v>105</v>
      </c>
      <c r="B426" s="38">
        <v>285</v>
      </c>
      <c r="C426" s="38">
        <v>1</v>
      </c>
      <c r="D426" s="38">
        <v>16</v>
      </c>
      <c r="E426" s="38">
        <v>12</v>
      </c>
      <c r="F426" s="38">
        <v>1.1000000000000001</v>
      </c>
      <c r="G426" s="41" t="s">
        <v>676</v>
      </c>
      <c r="H426" s="41" t="s">
        <v>131</v>
      </c>
      <c r="I426" s="41" t="s">
        <v>677</v>
      </c>
      <c r="J426" s="41" t="s">
        <v>133</v>
      </c>
    </row>
    <row r="427" spans="1:10">
      <c r="A427" s="38" t="s">
        <v>105</v>
      </c>
      <c r="B427" s="38">
        <v>285</v>
      </c>
      <c r="C427" s="38">
        <v>2</v>
      </c>
      <c r="D427" s="38">
        <v>32</v>
      </c>
      <c r="E427" s="38">
        <v>10</v>
      </c>
      <c r="F427" s="38">
        <v>1.1000000000000001</v>
      </c>
      <c r="G427" s="41" t="s">
        <v>676</v>
      </c>
      <c r="H427" s="41" t="s">
        <v>131</v>
      </c>
      <c r="I427" s="41" t="s">
        <v>677</v>
      </c>
      <c r="J427" s="41" t="s">
        <v>133</v>
      </c>
    </row>
    <row r="428" spans="1:10">
      <c r="A428" s="38" t="s">
        <v>105</v>
      </c>
      <c r="B428" s="38">
        <v>286</v>
      </c>
      <c r="C428" s="38">
        <v>1</v>
      </c>
      <c r="D428" s="38">
        <v>16</v>
      </c>
      <c r="E428" s="38">
        <v>17</v>
      </c>
      <c r="F428" s="38">
        <v>1.1000000000000001</v>
      </c>
      <c r="G428" s="41" t="s">
        <v>678</v>
      </c>
      <c r="H428" s="41" t="s">
        <v>131</v>
      </c>
      <c r="I428" s="41" t="s">
        <v>679</v>
      </c>
      <c r="J428" s="41" t="s">
        <v>133</v>
      </c>
    </row>
    <row r="429" spans="1:10">
      <c r="A429" s="38" t="s">
        <v>105</v>
      </c>
      <c r="B429" s="38">
        <v>286</v>
      </c>
      <c r="C429" s="38">
        <v>2</v>
      </c>
      <c r="D429" s="38">
        <v>35</v>
      </c>
      <c r="E429" s="38">
        <v>6</v>
      </c>
      <c r="F429" s="38">
        <v>1.1000000000000001</v>
      </c>
      <c r="G429" s="41" t="s">
        <v>678</v>
      </c>
      <c r="H429" s="41" t="s">
        <v>131</v>
      </c>
      <c r="I429" s="41" t="s">
        <v>679</v>
      </c>
      <c r="J429" s="41" t="s">
        <v>133</v>
      </c>
    </row>
    <row r="430" spans="1:10">
      <c r="A430" s="38" t="s">
        <v>105</v>
      </c>
      <c r="B430" s="38">
        <v>287</v>
      </c>
      <c r="C430" s="38">
        <v>1</v>
      </c>
      <c r="D430" s="38">
        <v>16</v>
      </c>
      <c r="E430" s="38">
        <v>6</v>
      </c>
      <c r="F430" s="38">
        <v>1.1000000000000001</v>
      </c>
      <c r="G430" s="41" t="s">
        <v>680</v>
      </c>
      <c r="H430" s="41" t="s">
        <v>131</v>
      </c>
      <c r="I430" s="41" t="s">
        <v>681</v>
      </c>
      <c r="J430" s="41" t="s">
        <v>133</v>
      </c>
    </row>
    <row r="431" spans="1:10">
      <c r="A431" s="38" t="s">
        <v>105</v>
      </c>
      <c r="B431" s="38">
        <v>287</v>
      </c>
      <c r="C431" s="38">
        <v>2</v>
      </c>
      <c r="D431" s="38">
        <v>30</v>
      </c>
      <c r="E431" s="38">
        <v>4</v>
      </c>
      <c r="F431" s="38">
        <v>1.1000000000000001</v>
      </c>
      <c r="G431" s="41" t="s">
        <v>680</v>
      </c>
      <c r="H431" s="41" t="s">
        <v>131</v>
      </c>
      <c r="I431" s="41" t="s">
        <v>681</v>
      </c>
      <c r="J431" s="41" t="s">
        <v>133</v>
      </c>
    </row>
    <row r="432" spans="1:10">
      <c r="A432" s="38" t="s">
        <v>105</v>
      </c>
      <c r="B432" s="38">
        <v>288</v>
      </c>
      <c r="C432" s="38">
        <v>1</v>
      </c>
      <c r="D432" s="38">
        <v>16</v>
      </c>
      <c r="E432" s="38">
        <v>3</v>
      </c>
      <c r="F432" s="38">
        <v>1.1000000000000001</v>
      </c>
      <c r="G432" s="41" t="s">
        <v>682</v>
      </c>
      <c r="H432" s="41" t="s">
        <v>131</v>
      </c>
      <c r="I432" s="41" t="s">
        <v>683</v>
      </c>
      <c r="J432" s="41" t="s">
        <v>133</v>
      </c>
    </row>
    <row r="433" spans="1:10">
      <c r="A433" s="38" t="s">
        <v>105</v>
      </c>
      <c r="B433" s="38">
        <v>288</v>
      </c>
      <c r="C433" s="38">
        <v>2</v>
      </c>
      <c r="D433" s="38">
        <v>33</v>
      </c>
      <c r="E433" s="38">
        <v>2</v>
      </c>
      <c r="F433" s="38">
        <v>1.1000000000000001</v>
      </c>
      <c r="G433" s="41" t="s">
        <v>682</v>
      </c>
      <c r="H433" s="41" t="s">
        <v>131</v>
      </c>
      <c r="I433" s="41" t="s">
        <v>683</v>
      </c>
      <c r="J433" s="41" t="s">
        <v>133</v>
      </c>
    </row>
    <row r="434" spans="1:10">
      <c r="A434" s="38" t="s">
        <v>105</v>
      </c>
      <c r="B434" s="38">
        <v>289</v>
      </c>
      <c r="C434" s="38">
        <v>1</v>
      </c>
      <c r="D434" s="38">
        <v>17</v>
      </c>
      <c r="E434" s="38">
        <v>13</v>
      </c>
      <c r="F434" s="38">
        <v>1.1000000000000001</v>
      </c>
      <c r="G434" s="41" t="s">
        <v>684</v>
      </c>
      <c r="H434" s="41" t="s">
        <v>131</v>
      </c>
      <c r="I434" s="41" t="s">
        <v>685</v>
      </c>
      <c r="J434" s="41" t="s">
        <v>133</v>
      </c>
    </row>
    <row r="435" spans="1:10">
      <c r="A435" s="38" t="s">
        <v>105</v>
      </c>
      <c r="B435" s="38">
        <v>289</v>
      </c>
      <c r="C435" s="38">
        <v>2</v>
      </c>
      <c r="D435" s="38">
        <v>21</v>
      </c>
      <c r="E435" s="38">
        <v>3</v>
      </c>
      <c r="F435" s="38">
        <v>1.1000000000000001</v>
      </c>
      <c r="G435" s="41" t="s">
        <v>684</v>
      </c>
      <c r="H435" s="41" t="s">
        <v>131</v>
      </c>
      <c r="I435" s="41" t="s">
        <v>685</v>
      </c>
      <c r="J435" s="41" t="s">
        <v>133</v>
      </c>
    </row>
    <row r="436" spans="1:10">
      <c r="A436" s="38" t="s">
        <v>105</v>
      </c>
      <c r="B436" s="38">
        <v>290</v>
      </c>
      <c r="C436" s="38">
        <v>1</v>
      </c>
      <c r="D436" s="38">
        <v>17</v>
      </c>
      <c r="E436" s="38">
        <v>5</v>
      </c>
      <c r="F436" s="38">
        <v>1.1000000000000001</v>
      </c>
      <c r="G436" s="41" t="s">
        <v>686</v>
      </c>
      <c r="H436" s="41" t="s">
        <v>131</v>
      </c>
      <c r="I436" s="41" t="s">
        <v>687</v>
      </c>
      <c r="J436" s="41" t="s">
        <v>133</v>
      </c>
    </row>
    <row r="437" spans="1:10">
      <c r="A437" s="38" t="s">
        <v>105</v>
      </c>
      <c r="B437" s="38">
        <v>290</v>
      </c>
      <c r="C437" s="38">
        <v>2</v>
      </c>
      <c r="D437" s="38">
        <v>33</v>
      </c>
      <c r="E437" s="38">
        <v>10</v>
      </c>
      <c r="F437" s="38">
        <v>1.1000000000000001</v>
      </c>
      <c r="G437" s="41" t="s">
        <v>686</v>
      </c>
      <c r="H437" s="41" t="s">
        <v>131</v>
      </c>
      <c r="I437" s="41" t="s">
        <v>687</v>
      </c>
      <c r="J437" s="41" t="s">
        <v>133</v>
      </c>
    </row>
    <row r="438" spans="1:10">
      <c r="A438" s="38" t="s">
        <v>105</v>
      </c>
      <c r="B438" s="38">
        <v>291</v>
      </c>
      <c r="C438" s="38">
        <v>1</v>
      </c>
      <c r="D438" s="38">
        <v>17</v>
      </c>
      <c r="E438" s="38">
        <v>16</v>
      </c>
      <c r="F438" s="38">
        <v>1.1000000000000001</v>
      </c>
      <c r="G438" s="41" t="s">
        <v>688</v>
      </c>
      <c r="H438" s="41" t="s">
        <v>131</v>
      </c>
      <c r="I438" s="41" t="s">
        <v>689</v>
      </c>
      <c r="J438" s="41" t="s">
        <v>133</v>
      </c>
    </row>
    <row r="439" spans="1:10">
      <c r="A439" s="38" t="s">
        <v>105</v>
      </c>
      <c r="B439" s="38">
        <v>291</v>
      </c>
      <c r="C439" s="38">
        <v>2</v>
      </c>
      <c r="D439" s="38">
        <v>24</v>
      </c>
      <c r="E439" s="38">
        <v>13</v>
      </c>
      <c r="F439" s="38">
        <v>1.1000000000000001</v>
      </c>
      <c r="G439" s="41" t="s">
        <v>688</v>
      </c>
      <c r="H439" s="41" t="s">
        <v>131</v>
      </c>
      <c r="I439" s="41" t="s">
        <v>689</v>
      </c>
      <c r="J439" s="41" t="s">
        <v>133</v>
      </c>
    </row>
    <row r="440" spans="1:10">
      <c r="A440" s="38" t="s">
        <v>105</v>
      </c>
      <c r="B440" s="38">
        <v>292</v>
      </c>
      <c r="C440" s="38">
        <v>1</v>
      </c>
      <c r="D440" s="38">
        <v>17</v>
      </c>
      <c r="E440" s="38">
        <v>7</v>
      </c>
      <c r="F440" s="38">
        <v>1.1000000000000001</v>
      </c>
      <c r="G440" s="41" t="s">
        <v>690</v>
      </c>
      <c r="H440" s="41" t="s">
        <v>131</v>
      </c>
      <c r="I440" s="41" t="s">
        <v>691</v>
      </c>
      <c r="J440" s="41" t="s">
        <v>133</v>
      </c>
    </row>
    <row r="441" spans="1:10">
      <c r="A441" s="38" t="s">
        <v>105</v>
      </c>
      <c r="B441" s="38">
        <v>292</v>
      </c>
      <c r="C441" s="38">
        <v>2</v>
      </c>
      <c r="D441" s="38">
        <v>29</v>
      </c>
      <c r="E441" s="38">
        <v>2</v>
      </c>
      <c r="F441" s="38">
        <v>1.1000000000000001</v>
      </c>
      <c r="G441" s="41" t="s">
        <v>690</v>
      </c>
      <c r="H441" s="41" t="s">
        <v>131</v>
      </c>
      <c r="I441" s="41" t="s">
        <v>691</v>
      </c>
      <c r="J441" s="41" t="s">
        <v>133</v>
      </c>
    </row>
    <row r="442" spans="1:10">
      <c r="A442" s="38" t="s">
        <v>105</v>
      </c>
      <c r="B442" s="38">
        <v>293</v>
      </c>
      <c r="C442" s="38">
        <v>1</v>
      </c>
      <c r="D442" s="38">
        <v>17</v>
      </c>
      <c r="E442" s="38">
        <v>4</v>
      </c>
      <c r="F442" s="38">
        <v>1.1000000000000001</v>
      </c>
      <c r="G442" s="41" t="s">
        <v>692</v>
      </c>
      <c r="H442" s="41" t="s">
        <v>131</v>
      </c>
      <c r="I442" s="41" t="s">
        <v>693</v>
      </c>
      <c r="J442" s="41" t="s">
        <v>133</v>
      </c>
    </row>
    <row r="443" spans="1:10">
      <c r="A443" s="38" t="s">
        <v>105</v>
      </c>
      <c r="B443" s="38">
        <v>293</v>
      </c>
      <c r="C443" s="38">
        <v>2</v>
      </c>
      <c r="D443" s="38">
        <v>19</v>
      </c>
      <c r="E443" s="38">
        <v>12</v>
      </c>
      <c r="F443" s="38">
        <v>1.1000000000000001</v>
      </c>
      <c r="G443" s="41" t="s">
        <v>692</v>
      </c>
      <c r="H443" s="41" t="s">
        <v>131</v>
      </c>
      <c r="I443" s="41" t="s">
        <v>693</v>
      </c>
      <c r="J443" s="41" t="s">
        <v>133</v>
      </c>
    </row>
    <row r="444" spans="1:10">
      <c r="A444" s="38" t="s">
        <v>105</v>
      </c>
      <c r="B444" s="38">
        <v>294</v>
      </c>
      <c r="C444" s="38">
        <v>1</v>
      </c>
      <c r="D444" s="38">
        <v>17</v>
      </c>
      <c r="E444" s="38">
        <v>15</v>
      </c>
      <c r="F444" s="38">
        <v>1.1000000000000001</v>
      </c>
      <c r="G444" s="41" t="s">
        <v>694</v>
      </c>
      <c r="H444" s="41" t="s">
        <v>131</v>
      </c>
      <c r="I444" s="41" t="s">
        <v>695</v>
      </c>
      <c r="J444" s="41" t="s">
        <v>133</v>
      </c>
    </row>
    <row r="445" spans="1:10">
      <c r="A445" s="38" t="s">
        <v>105</v>
      </c>
      <c r="B445" s="38">
        <v>294</v>
      </c>
      <c r="C445" s="38">
        <v>2</v>
      </c>
      <c r="D445" s="38">
        <v>23</v>
      </c>
      <c r="E445" s="38">
        <v>8</v>
      </c>
      <c r="F445" s="38">
        <v>1.1000000000000001</v>
      </c>
      <c r="G445" s="41" t="s">
        <v>694</v>
      </c>
      <c r="H445" s="41" t="s">
        <v>131</v>
      </c>
      <c r="I445" s="41" t="s">
        <v>695</v>
      </c>
      <c r="J445" s="41" t="s">
        <v>133</v>
      </c>
    </row>
    <row r="446" spans="1:10">
      <c r="A446" s="38" t="s">
        <v>105</v>
      </c>
      <c r="B446" s="38">
        <v>295</v>
      </c>
      <c r="C446" s="38">
        <v>1</v>
      </c>
      <c r="D446" s="38">
        <v>17</v>
      </c>
      <c r="E446" s="38">
        <v>1</v>
      </c>
      <c r="F446" s="38">
        <v>1.1000000000000001</v>
      </c>
      <c r="G446" s="41" t="s">
        <v>696</v>
      </c>
      <c r="H446" s="41" t="s">
        <v>131</v>
      </c>
      <c r="I446" s="41" t="s">
        <v>697</v>
      </c>
      <c r="J446" s="41" t="s">
        <v>133</v>
      </c>
    </row>
    <row r="447" spans="1:10">
      <c r="A447" s="38" t="s">
        <v>105</v>
      </c>
      <c r="B447" s="38">
        <v>295</v>
      </c>
      <c r="C447" s="38">
        <v>2</v>
      </c>
      <c r="D447" s="38">
        <v>28</v>
      </c>
      <c r="E447" s="38">
        <v>12</v>
      </c>
      <c r="F447" s="38">
        <v>1.1000000000000001</v>
      </c>
      <c r="G447" s="41" t="s">
        <v>696</v>
      </c>
      <c r="H447" s="41" t="s">
        <v>131</v>
      </c>
      <c r="I447" s="41" t="s">
        <v>697</v>
      </c>
      <c r="J447" s="41" t="s">
        <v>133</v>
      </c>
    </row>
    <row r="448" spans="1:10">
      <c r="A448" s="38" t="s">
        <v>105</v>
      </c>
      <c r="B448" s="38">
        <v>296</v>
      </c>
      <c r="C448" s="38">
        <v>1</v>
      </c>
      <c r="D448" s="38">
        <v>17</v>
      </c>
      <c r="E448" s="38">
        <v>8</v>
      </c>
      <c r="F448" s="38">
        <v>1.1000000000000001</v>
      </c>
      <c r="G448" s="41" t="s">
        <v>698</v>
      </c>
      <c r="H448" s="41" t="s">
        <v>131</v>
      </c>
      <c r="I448" s="41" t="s">
        <v>699</v>
      </c>
      <c r="J448" s="41" t="s">
        <v>133</v>
      </c>
    </row>
    <row r="449" spans="1:10">
      <c r="A449" s="38" t="s">
        <v>105</v>
      </c>
      <c r="B449" s="38">
        <v>296</v>
      </c>
      <c r="C449" s="38">
        <v>2</v>
      </c>
      <c r="D449" s="38">
        <v>32</v>
      </c>
      <c r="E449" s="38">
        <v>4</v>
      </c>
      <c r="F449" s="38">
        <v>1.1000000000000001</v>
      </c>
      <c r="G449" s="41" t="s">
        <v>698</v>
      </c>
      <c r="H449" s="41" t="s">
        <v>131</v>
      </c>
      <c r="I449" s="41" t="s">
        <v>699</v>
      </c>
      <c r="J449" s="41" t="s">
        <v>133</v>
      </c>
    </row>
    <row r="450" spans="1:10">
      <c r="A450" s="38" t="s">
        <v>105</v>
      </c>
      <c r="B450" s="38">
        <v>297</v>
      </c>
      <c r="C450" s="38">
        <v>1</v>
      </c>
      <c r="D450" s="38">
        <v>17</v>
      </c>
      <c r="E450" s="38">
        <v>3</v>
      </c>
      <c r="F450" s="38">
        <v>1.1000000000000001</v>
      </c>
      <c r="G450" s="41" t="s">
        <v>700</v>
      </c>
      <c r="H450" s="41" t="s">
        <v>131</v>
      </c>
      <c r="I450" s="41" t="s">
        <v>701</v>
      </c>
      <c r="J450" s="41" t="s">
        <v>133</v>
      </c>
    </row>
    <row r="451" spans="1:10">
      <c r="A451" s="38" t="s">
        <v>105</v>
      </c>
      <c r="B451" s="38">
        <v>297</v>
      </c>
      <c r="C451" s="38">
        <v>2</v>
      </c>
      <c r="D451" s="38">
        <v>34</v>
      </c>
      <c r="E451" s="38">
        <v>5</v>
      </c>
      <c r="F451" s="38">
        <v>1.1000000000000001</v>
      </c>
      <c r="G451" s="41" t="s">
        <v>700</v>
      </c>
      <c r="H451" s="41" t="s">
        <v>131</v>
      </c>
      <c r="I451" s="41" t="s">
        <v>701</v>
      </c>
      <c r="J451" s="41" t="s">
        <v>133</v>
      </c>
    </row>
    <row r="452" spans="1:10">
      <c r="A452" s="38" t="s">
        <v>105</v>
      </c>
      <c r="B452" s="38">
        <v>298</v>
      </c>
      <c r="C452" s="38">
        <v>1</v>
      </c>
      <c r="D452" s="38">
        <v>17</v>
      </c>
      <c r="E452" s="38">
        <v>17</v>
      </c>
      <c r="F452" s="38">
        <v>1.1000000000000001</v>
      </c>
      <c r="G452" s="41" t="s">
        <v>702</v>
      </c>
      <c r="H452" s="41" t="s">
        <v>131</v>
      </c>
      <c r="I452" s="41" t="s">
        <v>703</v>
      </c>
      <c r="J452" s="41" t="s">
        <v>133</v>
      </c>
    </row>
    <row r="453" spans="1:10">
      <c r="A453" s="38" t="s">
        <v>105</v>
      </c>
      <c r="B453" s="38">
        <v>298</v>
      </c>
      <c r="C453" s="38">
        <v>2</v>
      </c>
      <c r="D453" s="38">
        <v>31</v>
      </c>
      <c r="E453" s="38">
        <v>2</v>
      </c>
      <c r="F453" s="38">
        <v>1.1000000000000001</v>
      </c>
      <c r="G453" s="41" t="s">
        <v>702</v>
      </c>
      <c r="H453" s="41" t="s">
        <v>131</v>
      </c>
      <c r="I453" s="41" t="s">
        <v>703</v>
      </c>
      <c r="J453" s="41" t="s">
        <v>133</v>
      </c>
    </row>
    <row r="454" spans="1:10">
      <c r="A454" s="38" t="s">
        <v>105</v>
      </c>
      <c r="B454" s="38">
        <v>299</v>
      </c>
      <c r="C454" s="38">
        <v>1</v>
      </c>
      <c r="D454" s="38">
        <v>17</v>
      </c>
      <c r="E454" s="38">
        <v>6</v>
      </c>
      <c r="F454" s="38">
        <v>1.1000000000000001</v>
      </c>
      <c r="G454" s="41" t="s">
        <v>704</v>
      </c>
      <c r="H454" s="41" t="s">
        <v>131</v>
      </c>
      <c r="I454" s="41" t="s">
        <v>705</v>
      </c>
      <c r="J454" s="41" t="s">
        <v>133</v>
      </c>
    </row>
    <row r="455" spans="1:10">
      <c r="A455" s="38" t="s">
        <v>105</v>
      </c>
      <c r="B455" s="38">
        <v>299</v>
      </c>
      <c r="C455" s="38">
        <v>2</v>
      </c>
      <c r="D455" s="38">
        <v>30</v>
      </c>
      <c r="E455" s="38">
        <v>6</v>
      </c>
      <c r="F455" s="38">
        <v>1.1000000000000001</v>
      </c>
      <c r="G455" s="41" t="s">
        <v>704</v>
      </c>
      <c r="H455" s="41" t="s">
        <v>131</v>
      </c>
      <c r="I455" s="41" t="s">
        <v>705</v>
      </c>
      <c r="J455" s="41" t="s">
        <v>133</v>
      </c>
    </row>
    <row r="456" spans="1:10">
      <c r="A456" s="38" t="s">
        <v>105</v>
      </c>
      <c r="B456" s="38">
        <v>300</v>
      </c>
      <c r="C456" s="38">
        <v>1</v>
      </c>
      <c r="D456" s="38">
        <v>17</v>
      </c>
      <c r="E456" s="38">
        <v>12</v>
      </c>
      <c r="F456" s="38">
        <v>1.1000000000000001</v>
      </c>
      <c r="G456" s="41" t="s">
        <v>706</v>
      </c>
      <c r="H456" s="41" t="s">
        <v>131</v>
      </c>
      <c r="I456" s="41" t="s">
        <v>137</v>
      </c>
      <c r="J456" s="41" t="s">
        <v>133</v>
      </c>
    </row>
    <row r="457" spans="1:10">
      <c r="A457" s="38" t="s">
        <v>105</v>
      </c>
      <c r="B457" s="38">
        <v>300</v>
      </c>
      <c r="C457" s="38">
        <v>2</v>
      </c>
      <c r="D457" s="38">
        <v>26</v>
      </c>
      <c r="E457" s="38">
        <v>3</v>
      </c>
      <c r="F457" s="38">
        <v>1.1000000000000001</v>
      </c>
      <c r="G457" s="41" t="s">
        <v>706</v>
      </c>
      <c r="H457" s="41" t="s">
        <v>131</v>
      </c>
      <c r="I457" s="41" t="s">
        <v>137</v>
      </c>
      <c r="J457" s="41" t="s">
        <v>133</v>
      </c>
    </row>
    <row r="458" spans="1:10">
      <c r="A458" s="38" t="s">
        <v>105</v>
      </c>
      <c r="B458" s="38">
        <v>301</v>
      </c>
      <c r="C458" s="38">
        <v>1</v>
      </c>
      <c r="D458" s="38">
        <v>17</v>
      </c>
      <c r="E458" s="38">
        <v>10</v>
      </c>
      <c r="F458" s="38">
        <v>1.1000000000000001</v>
      </c>
      <c r="G458" s="41" t="s">
        <v>707</v>
      </c>
      <c r="H458" s="41" t="s">
        <v>131</v>
      </c>
      <c r="I458" s="41" t="s">
        <v>708</v>
      </c>
      <c r="J458" s="41" t="s">
        <v>133</v>
      </c>
    </row>
    <row r="459" spans="1:10">
      <c r="A459" s="38" t="s">
        <v>105</v>
      </c>
      <c r="B459" s="38">
        <v>301</v>
      </c>
      <c r="C459" s="38">
        <v>2</v>
      </c>
      <c r="D459" s="38">
        <v>24</v>
      </c>
      <c r="E459" s="38">
        <v>18</v>
      </c>
      <c r="F459" s="38">
        <v>1.1000000000000001</v>
      </c>
      <c r="G459" s="41" t="s">
        <v>707</v>
      </c>
      <c r="H459" s="41" t="s">
        <v>131</v>
      </c>
      <c r="I459" s="41" t="s">
        <v>708</v>
      </c>
      <c r="J459" s="41" t="s">
        <v>133</v>
      </c>
    </row>
    <row r="460" spans="1:10">
      <c r="A460" s="38" t="s">
        <v>105</v>
      </c>
      <c r="B460" s="38">
        <v>302</v>
      </c>
      <c r="C460" s="38">
        <v>1</v>
      </c>
      <c r="D460" s="38">
        <v>17</v>
      </c>
      <c r="E460" s="38">
        <v>2</v>
      </c>
      <c r="F460" s="38">
        <v>1.1000000000000001</v>
      </c>
      <c r="G460" s="41" t="s">
        <v>709</v>
      </c>
      <c r="H460" s="41" t="s">
        <v>131</v>
      </c>
      <c r="I460" s="41" t="s">
        <v>710</v>
      </c>
      <c r="J460" s="41" t="s">
        <v>133</v>
      </c>
    </row>
    <row r="461" spans="1:10">
      <c r="A461" s="38" t="s">
        <v>105</v>
      </c>
      <c r="B461" s="38">
        <v>302</v>
      </c>
      <c r="C461" s="38">
        <v>2</v>
      </c>
      <c r="D461" s="38">
        <v>27</v>
      </c>
      <c r="E461" s="38">
        <v>12</v>
      </c>
      <c r="F461" s="38">
        <v>1.1000000000000001</v>
      </c>
      <c r="G461" s="41" t="s">
        <v>709</v>
      </c>
      <c r="H461" s="41" t="s">
        <v>131</v>
      </c>
      <c r="I461" s="41" t="s">
        <v>710</v>
      </c>
      <c r="J461" s="41" t="s">
        <v>133</v>
      </c>
    </row>
    <row r="462" spans="1:10">
      <c r="A462" s="38" t="s">
        <v>105</v>
      </c>
      <c r="B462" s="38">
        <v>303</v>
      </c>
      <c r="C462" s="38">
        <v>1</v>
      </c>
      <c r="D462" s="38">
        <v>17</v>
      </c>
      <c r="E462" s="38">
        <v>14</v>
      </c>
      <c r="F462" s="38">
        <v>1.1000000000000001</v>
      </c>
      <c r="G462" s="41" t="s">
        <v>711</v>
      </c>
      <c r="H462" s="41" t="s">
        <v>131</v>
      </c>
      <c r="I462" s="41" t="s">
        <v>712</v>
      </c>
      <c r="J462" s="41" t="s">
        <v>133</v>
      </c>
    </row>
    <row r="463" spans="1:10">
      <c r="A463" s="38" t="s">
        <v>105</v>
      </c>
      <c r="B463" s="38">
        <v>303</v>
      </c>
      <c r="C463" s="38">
        <v>2</v>
      </c>
      <c r="D463" s="38">
        <v>36</v>
      </c>
      <c r="E463" s="38">
        <v>8</v>
      </c>
      <c r="F463" s="38">
        <v>1.1000000000000001</v>
      </c>
      <c r="G463" s="41" t="s">
        <v>711</v>
      </c>
      <c r="H463" s="41" t="s">
        <v>131</v>
      </c>
      <c r="I463" s="41" t="s">
        <v>712</v>
      </c>
      <c r="J463" s="41" t="s">
        <v>133</v>
      </c>
    </row>
    <row r="464" spans="1:10">
      <c r="A464" s="38" t="s">
        <v>105</v>
      </c>
      <c r="B464" s="38">
        <v>304</v>
      </c>
      <c r="C464" s="38">
        <v>1</v>
      </c>
      <c r="D464" s="38">
        <v>17</v>
      </c>
      <c r="E464" s="38">
        <v>11</v>
      </c>
      <c r="F464" s="38">
        <v>1.1000000000000001</v>
      </c>
      <c r="G464" s="41" t="s">
        <v>713</v>
      </c>
      <c r="H464" s="41" t="s">
        <v>131</v>
      </c>
      <c r="I464" s="41" t="s">
        <v>714</v>
      </c>
      <c r="J464" s="41" t="s">
        <v>133</v>
      </c>
    </row>
    <row r="465" spans="1:13">
      <c r="A465" s="38" t="s">
        <v>105</v>
      </c>
      <c r="B465" s="38">
        <v>304</v>
      </c>
      <c r="C465" s="38">
        <v>2</v>
      </c>
      <c r="D465" s="38">
        <v>20</v>
      </c>
      <c r="E465" s="38">
        <v>10</v>
      </c>
      <c r="F465" s="38">
        <v>1.1000000000000001</v>
      </c>
      <c r="G465" s="41" t="s">
        <v>713</v>
      </c>
      <c r="H465" s="41" t="s">
        <v>131</v>
      </c>
      <c r="I465" s="41" t="s">
        <v>714</v>
      </c>
      <c r="J465" s="41" t="s">
        <v>133</v>
      </c>
    </row>
    <row r="466" spans="1:13">
      <c r="A466" s="38" t="s">
        <v>105</v>
      </c>
      <c r="B466" s="38">
        <v>305</v>
      </c>
      <c r="C466" s="38">
        <v>1</v>
      </c>
      <c r="D466" s="38">
        <v>17</v>
      </c>
      <c r="E466" s="38">
        <v>18</v>
      </c>
      <c r="F466" s="38">
        <v>1.1000000000000001</v>
      </c>
      <c r="G466" s="41" t="s">
        <v>715</v>
      </c>
      <c r="H466" s="41" t="s">
        <v>131</v>
      </c>
      <c r="I466" s="41" t="s">
        <v>716</v>
      </c>
      <c r="J466" s="41" t="s">
        <v>133</v>
      </c>
    </row>
    <row r="467" spans="1:13">
      <c r="A467" s="38" t="s">
        <v>105</v>
      </c>
      <c r="B467" s="38">
        <v>305</v>
      </c>
      <c r="C467" s="38">
        <v>2</v>
      </c>
      <c r="D467" s="38">
        <v>35</v>
      </c>
      <c r="E467" s="38">
        <v>11</v>
      </c>
      <c r="F467" s="38">
        <v>1.1000000000000001</v>
      </c>
      <c r="G467" s="41" t="s">
        <v>715</v>
      </c>
      <c r="H467" s="41" t="s">
        <v>131</v>
      </c>
      <c r="I467" s="41" t="s">
        <v>716</v>
      </c>
      <c r="J467" s="41" t="s">
        <v>133</v>
      </c>
    </row>
    <row r="468" spans="1:13">
      <c r="A468" s="38" t="s">
        <v>105</v>
      </c>
      <c r="B468" s="38">
        <v>306</v>
      </c>
      <c r="C468" s="38">
        <v>1</v>
      </c>
      <c r="D468" s="38">
        <v>17</v>
      </c>
      <c r="E468" s="38">
        <v>9</v>
      </c>
      <c r="F468" s="38">
        <v>1.1000000000000001</v>
      </c>
      <c r="G468" s="41" t="s">
        <v>717</v>
      </c>
      <c r="H468" s="41" t="s">
        <v>131</v>
      </c>
      <c r="I468" s="41" t="s">
        <v>718</v>
      </c>
      <c r="J468" s="41" t="s">
        <v>133</v>
      </c>
    </row>
    <row r="469" spans="1:13">
      <c r="A469" s="38" t="s">
        <v>105</v>
      </c>
      <c r="B469" s="38">
        <v>306</v>
      </c>
      <c r="C469" s="38">
        <v>2</v>
      </c>
      <c r="D469" s="38">
        <v>22</v>
      </c>
      <c r="E469">
        <v>13</v>
      </c>
      <c r="F469" s="38">
        <v>1.1000000000000001</v>
      </c>
      <c r="G469" s="41" t="s">
        <v>717</v>
      </c>
      <c r="H469" s="41" t="s">
        <v>131</v>
      </c>
      <c r="I469" s="41" t="s">
        <v>718</v>
      </c>
      <c r="J469" s="41" t="s">
        <v>133</v>
      </c>
    </row>
    <row r="470" spans="1:13">
      <c r="A470" s="38" t="s">
        <v>105</v>
      </c>
      <c r="B470" s="38">
        <v>307</v>
      </c>
      <c r="C470" s="38">
        <v>1</v>
      </c>
      <c r="D470" s="38">
        <v>18</v>
      </c>
      <c r="E470" s="38">
        <v>1</v>
      </c>
      <c r="F470" s="38">
        <v>1.1000000000000001</v>
      </c>
      <c r="G470" s="41" t="s">
        <v>719</v>
      </c>
      <c r="H470" s="41" t="s">
        <v>131</v>
      </c>
      <c r="I470" s="41" t="s">
        <v>720</v>
      </c>
      <c r="J470" s="41" t="s">
        <v>133</v>
      </c>
    </row>
    <row r="471" spans="1:13">
      <c r="A471" s="38" t="s">
        <v>105</v>
      </c>
      <c r="B471" s="38">
        <v>307</v>
      </c>
      <c r="C471" s="38">
        <v>2</v>
      </c>
      <c r="D471" s="38">
        <v>21</v>
      </c>
      <c r="E471" s="38">
        <v>17</v>
      </c>
      <c r="F471" s="38">
        <v>1.1000000000000001</v>
      </c>
      <c r="G471" s="41" t="s">
        <v>719</v>
      </c>
      <c r="H471" s="41" t="s">
        <v>131</v>
      </c>
      <c r="I471" s="41" t="s">
        <v>720</v>
      </c>
      <c r="J471" s="41" t="s">
        <v>133</v>
      </c>
    </row>
    <row r="472" spans="1:13" ht="15.5">
      <c r="A472" s="38" t="s">
        <v>105</v>
      </c>
      <c r="B472" s="38">
        <v>308</v>
      </c>
      <c r="C472" s="38">
        <v>1</v>
      </c>
      <c r="D472" s="38">
        <v>18</v>
      </c>
      <c r="E472" s="38">
        <v>16</v>
      </c>
      <c r="F472" s="38">
        <v>1.1000000000000001</v>
      </c>
      <c r="G472" s="41" t="s">
        <v>721</v>
      </c>
      <c r="H472" s="41" t="s">
        <v>131</v>
      </c>
      <c r="I472" s="41" t="s">
        <v>722</v>
      </c>
      <c r="J472" s="41" t="s">
        <v>133</v>
      </c>
      <c r="M472" s="89"/>
    </row>
    <row r="473" spans="1:13">
      <c r="A473" s="38" t="s">
        <v>105</v>
      </c>
      <c r="B473" s="38">
        <v>308</v>
      </c>
      <c r="C473" s="38">
        <v>2</v>
      </c>
      <c r="D473" s="38">
        <v>25</v>
      </c>
      <c r="E473" s="38">
        <v>4</v>
      </c>
      <c r="F473" s="38">
        <v>1.1000000000000001</v>
      </c>
      <c r="G473" s="41" t="s">
        <v>721</v>
      </c>
      <c r="H473" s="41" t="s">
        <v>131</v>
      </c>
      <c r="I473" s="41" t="s">
        <v>722</v>
      </c>
      <c r="J473" s="41" t="s">
        <v>133</v>
      </c>
    </row>
    <row r="474" spans="1:13">
      <c r="A474" s="38" t="s">
        <v>105</v>
      </c>
      <c r="B474" s="38">
        <v>309</v>
      </c>
      <c r="C474" s="38">
        <v>1</v>
      </c>
      <c r="D474" s="38">
        <v>18</v>
      </c>
      <c r="E474" s="38">
        <v>6</v>
      </c>
      <c r="F474" s="38">
        <v>1.1000000000000001</v>
      </c>
      <c r="G474" s="41" t="s">
        <v>723</v>
      </c>
      <c r="H474" s="41" t="s">
        <v>131</v>
      </c>
      <c r="I474" s="41" t="s">
        <v>724</v>
      </c>
      <c r="J474" s="41" t="s">
        <v>133</v>
      </c>
    </row>
    <row r="475" spans="1:13">
      <c r="A475" s="38" t="s">
        <v>105</v>
      </c>
      <c r="B475" s="38">
        <v>309</v>
      </c>
      <c r="C475" s="38">
        <v>2</v>
      </c>
      <c r="D475" s="38">
        <v>20</v>
      </c>
      <c r="E475" s="38">
        <v>12</v>
      </c>
      <c r="F475" s="38">
        <v>1.1000000000000001</v>
      </c>
      <c r="G475" s="41" t="s">
        <v>723</v>
      </c>
      <c r="H475" s="41" t="s">
        <v>131</v>
      </c>
      <c r="I475" s="41" t="s">
        <v>724</v>
      </c>
      <c r="J475" s="41" t="s">
        <v>133</v>
      </c>
    </row>
    <row r="476" spans="1:13">
      <c r="A476" s="38" t="s">
        <v>105</v>
      </c>
      <c r="B476" s="38">
        <v>310</v>
      </c>
      <c r="C476" s="38">
        <v>1</v>
      </c>
      <c r="D476" s="38">
        <v>18</v>
      </c>
      <c r="E476" s="38">
        <v>10</v>
      </c>
      <c r="F476" s="38">
        <v>1.1000000000000001</v>
      </c>
      <c r="G476" s="41" t="s">
        <v>725</v>
      </c>
      <c r="H476" s="41" t="s">
        <v>131</v>
      </c>
      <c r="I476" s="41" t="s">
        <v>726</v>
      </c>
      <c r="J476" s="41" t="s">
        <v>133</v>
      </c>
    </row>
    <row r="477" spans="1:13">
      <c r="A477" s="38" t="s">
        <v>105</v>
      </c>
      <c r="B477" s="38">
        <v>310</v>
      </c>
      <c r="C477" s="38">
        <v>2</v>
      </c>
      <c r="D477" s="38">
        <v>31</v>
      </c>
      <c r="E477" s="38">
        <v>14</v>
      </c>
      <c r="F477" s="38">
        <v>1.1000000000000001</v>
      </c>
      <c r="G477" s="41" t="s">
        <v>725</v>
      </c>
      <c r="H477" s="41" t="s">
        <v>131</v>
      </c>
      <c r="I477" s="41" t="s">
        <v>726</v>
      </c>
      <c r="J477" s="41" t="s">
        <v>133</v>
      </c>
    </row>
    <row r="478" spans="1:13">
      <c r="A478" s="38" t="s">
        <v>105</v>
      </c>
      <c r="B478" s="38">
        <v>311</v>
      </c>
      <c r="C478" s="38">
        <v>1</v>
      </c>
      <c r="D478" s="38">
        <v>18</v>
      </c>
      <c r="E478" s="38">
        <v>13</v>
      </c>
      <c r="F478" s="38">
        <v>1.1000000000000001</v>
      </c>
      <c r="G478" s="41" t="s">
        <v>727</v>
      </c>
      <c r="H478" s="41" t="s">
        <v>131</v>
      </c>
      <c r="I478" s="41" t="s">
        <v>728</v>
      </c>
      <c r="J478" s="41" t="s">
        <v>133</v>
      </c>
    </row>
    <row r="479" spans="1:13">
      <c r="A479" s="38" t="s">
        <v>105</v>
      </c>
      <c r="B479" s="38">
        <v>311</v>
      </c>
      <c r="C479" s="38">
        <v>2</v>
      </c>
      <c r="D479" s="38">
        <v>23</v>
      </c>
      <c r="E479" s="38">
        <v>18</v>
      </c>
      <c r="F479" s="38">
        <v>1.1000000000000001</v>
      </c>
      <c r="G479" s="41" t="s">
        <v>727</v>
      </c>
      <c r="H479" s="41" t="s">
        <v>131</v>
      </c>
      <c r="I479" s="41" t="s">
        <v>728</v>
      </c>
      <c r="J479" s="41" t="s">
        <v>133</v>
      </c>
    </row>
    <row r="480" spans="1:13">
      <c r="A480" s="38" t="s">
        <v>105</v>
      </c>
      <c r="B480" s="38">
        <v>312</v>
      </c>
      <c r="C480" s="38">
        <v>1</v>
      </c>
      <c r="D480" s="38">
        <v>18</v>
      </c>
      <c r="E480" s="38">
        <v>14</v>
      </c>
      <c r="F480" s="38">
        <v>1.1000000000000001</v>
      </c>
      <c r="G480" s="41" t="s">
        <v>729</v>
      </c>
      <c r="H480" s="41" t="s">
        <v>131</v>
      </c>
      <c r="I480" s="41" t="s">
        <v>730</v>
      </c>
      <c r="J480" s="41" t="s">
        <v>133</v>
      </c>
    </row>
    <row r="481" spans="1:10">
      <c r="A481" s="38" t="s">
        <v>105</v>
      </c>
      <c r="B481" s="38">
        <v>312</v>
      </c>
      <c r="C481" s="38">
        <v>2</v>
      </c>
      <c r="D481" s="38">
        <v>35</v>
      </c>
      <c r="E481" s="38">
        <v>12</v>
      </c>
      <c r="F481" s="38">
        <v>1.1000000000000001</v>
      </c>
      <c r="G481" s="41" t="s">
        <v>729</v>
      </c>
      <c r="H481" s="41" t="s">
        <v>131</v>
      </c>
      <c r="I481" s="41" t="s">
        <v>730</v>
      </c>
      <c r="J481" s="41" t="s">
        <v>133</v>
      </c>
    </row>
    <row r="482" spans="1:10">
      <c r="A482" s="38" t="s">
        <v>105</v>
      </c>
      <c r="B482" s="38">
        <v>313</v>
      </c>
      <c r="C482" s="38">
        <v>1</v>
      </c>
      <c r="D482" s="38">
        <v>18</v>
      </c>
      <c r="E482" s="38">
        <v>5</v>
      </c>
      <c r="F482" s="38">
        <v>1.1000000000000001</v>
      </c>
      <c r="G482" s="41" t="s">
        <v>731</v>
      </c>
      <c r="H482" s="41" t="s">
        <v>131</v>
      </c>
      <c r="I482" s="41" t="s">
        <v>732</v>
      </c>
      <c r="J482" s="41" t="s">
        <v>133</v>
      </c>
    </row>
    <row r="483" spans="1:10">
      <c r="A483" s="38" t="s">
        <v>105</v>
      </c>
      <c r="B483" s="38">
        <v>313</v>
      </c>
      <c r="C483" s="38">
        <v>2</v>
      </c>
      <c r="D483" s="38">
        <v>24</v>
      </c>
      <c r="E483" s="38">
        <v>3</v>
      </c>
      <c r="F483" s="38">
        <v>1.1000000000000001</v>
      </c>
      <c r="G483" s="41" t="s">
        <v>731</v>
      </c>
      <c r="H483" s="41" t="s">
        <v>131</v>
      </c>
      <c r="I483" s="41" t="s">
        <v>732</v>
      </c>
      <c r="J483" s="41" t="s">
        <v>133</v>
      </c>
    </row>
    <row r="484" spans="1:10">
      <c r="A484" s="38" t="s">
        <v>105</v>
      </c>
      <c r="B484" s="38">
        <v>314</v>
      </c>
      <c r="C484" s="38">
        <v>1</v>
      </c>
      <c r="D484" s="38">
        <v>18</v>
      </c>
      <c r="E484" s="38">
        <v>11</v>
      </c>
      <c r="F484" s="38">
        <v>1.1000000000000001</v>
      </c>
      <c r="G484" s="41" t="s">
        <v>733</v>
      </c>
      <c r="H484" s="41" t="s">
        <v>131</v>
      </c>
      <c r="I484" s="41" t="s">
        <v>734</v>
      </c>
      <c r="J484" s="41" t="s">
        <v>133</v>
      </c>
    </row>
    <row r="485" spans="1:10">
      <c r="A485" s="38" t="s">
        <v>105</v>
      </c>
      <c r="B485" s="38">
        <v>314</v>
      </c>
      <c r="C485" s="38">
        <v>2</v>
      </c>
      <c r="D485" s="38">
        <v>34</v>
      </c>
      <c r="E485" s="38">
        <v>10</v>
      </c>
      <c r="F485" s="38">
        <v>1.1000000000000001</v>
      </c>
      <c r="G485" s="41" t="s">
        <v>733</v>
      </c>
      <c r="H485" s="41" t="s">
        <v>131</v>
      </c>
      <c r="I485" s="41" t="s">
        <v>734</v>
      </c>
      <c r="J485" s="41" t="s">
        <v>133</v>
      </c>
    </row>
    <row r="486" spans="1:10">
      <c r="A486" s="38" t="s">
        <v>105</v>
      </c>
      <c r="B486" s="38">
        <v>315</v>
      </c>
      <c r="C486" s="38">
        <v>1</v>
      </c>
      <c r="D486" s="38">
        <v>18</v>
      </c>
      <c r="E486" s="38">
        <v>15</v>
      </c>
      <c r="F486" s="38">
        <v>1.1000000000000001</v>
      </c>
      <c r="G486" s="41" t="s">
        <v>735</v>
      </c>
      <c r="H486" s="41" t="s">
        <v>131</v>
      </c>
      <c r="I486" s="41" t="s">
        <v>736</v>
      </c>
      <c r="J486" s="41" t="s">
        <v>133</v>
      </c>
    </row>
    <row r="487" spans="1:10">
      <c r="A487" s="38" t="s">
        <v>105</v>
      </c>
      <c r="B487" s="38">
        <v>315</v>
      </c>
      <c r="C487" s="38">
        <v>2</v>
      </c>
      <c r="D487" s="38">
        <v>30</v>
      </c>
      <c r="E487" s="38">
        <v>12</v>
      </c>
      <c r="F487" s="38">
        <v>1.1000000000000001</v>
      </c>
      <c r="G487" s="41" t="s">
        <v>735</v>
      </c>
      <c r="H487" s="41" t="s">
        <v>131</v>
      </c>
      <c r="I487" s="41" t="s">
        <v>736</v>
      </c>
      <c r="J487" s="41" t="s">
        <v>133</v>
      </c>
    </row>
    <row r="488" spans="1:10">
      <c r="A488" s="38" t="s">
        <v>105</v>
      </c>
      <c r="B488" s="38">
        <v>316</v>
      </c>
      <c r="C488" s="38">
        <v>1</v>
      </c>
      <c r="D488" s="38">
        <v>18</v>
      </c>
      <c r="E488" s="38">
        <v>12</v>
      </c>
      <c r="F488" s="38">
        <v>1.1000000000000001</v>
      </c>
      <c r="G488" s="41" t="s">
        <v>737</v>
      </c>
      <c r="H488" s="41" t="s">
        <v>131</v>
      </c>
      <c r="I488" s="41" t="s">
        <v>738</v>
      </c>
      <c r="J488" s="41" t="s">
        <v>133</v>
      </c>
    </row>
    <row r="489" spans="1:10">
      <c r="A489" s="38" t="s">
        <v>105</v>
      </c>
      <c r="B489" s="38">
        <v>316</v>
      </c>
      <c r="C489" s="38">
        <v>2</v>
      </c>
      <c r="D489" s="38">
        <v>26</v>
      </c>
      <c r="E489" s="38">
        <v>12</v>
      </c>
      <c r="F489" s="38">
        <v>1.1000000000000001</v>
      </c>
      <c r="G489" s="41" t="s">
        <v>737</v>
      </c>
      <c r="H489" s="41" t="s">
        <v>131</v>
      </c>
      <c r="I489" s="41" t="s">
        <v>738</v>
      </c>
      <c r="J489" s="41" t="s">
        <v>133</v>
      </c>
    </row>
    <row r="490" spans="1:10">
      <c r="A490" s="38" t="s">
        <v>105</v>
      </c>
      <c r="B490" s="38">
        <v>317</v>
      </c>
      <c r="C490" s="38">
        <v>1</v>
      </c>
      <c r="D490" s="38">
        <v>18</v>
      </c>
      <c r="E490" s="38">
        <v>17</v>
      </c>
      <c r="F490" s="38">
        <v>1.1000000000000001</v>
      </c>
      <c r="G490" s="41" t="s">
        <v>739</v>
      </c>
      <c r="H490" s="41" t="s">
        <v>131</v>
      </c>
      <c r="I490" s="41" t="s">
        <v>740</v>
      </c>
      <c r="J490" s="41" t="s">
        <v>133</v>
      </c>
    </row>
    <row r="491" spans="1:10">
      <c r="A491" s="38" t="s">
        <v>105</v>
      </c>
      <c r="B491" s="38">
        <v>317</v>
      </c>
      <c r="C491" s="38">
        <v>2</v>
      </c>
      <c r="D491" s="38">
        <v>28</v>
      </c>
      <c r="E491" s="38">
        <v>8</v>
      </c>
      <c r="F491" s="38">
        <v>1.1000000000000001</v>
      </c>
      <c r="G491" s="41" t="s">
        <v>739</v>
      </c>
      <c r="H491" s="41" t="s">
        <v>131</v>
      </c>
      <c r="I491" s="41" t="s">
        <v>740</v>
      </c>
      <c r="J491" s="41" t="s">
        <v>133</v>
      </c>
    </row>
    <row r="492" spans="1:10">
      <c r="A492" s="38" t="s">
        <v>105</v>
      </c>
      <c r="B492" s="38">
        <v>318</v>
      </c>
      <c r="C492" s="38">
        <v>1</v>
      </c>
      <c r="D492" s="38">
        <v>18</v>
      </c>
      <c r="E492" s="38">
        <v>4</v>
      </c>
      <c r="F492" s="38">
        <v>1.1000000000000001</v>
      </c>
      <c r="G492" s="41" t="s">
        <v>741</v>
      </c>
      <c r="H492" s="41" t="s">
        <v>131</v>
      </c>
      <c r="I492" s="41" t="s">
        <v>742</v>
      </c>
      <c r="J492" s="41" t="s">
        <v>133</v>
      </c>
    </row>
    <row r="493" spans="1:10">
      <c r="A493" s="38" t="s">
        <v>105</v>
      </c>
      <c r="B493" s="38">
        <v>318</v>
      </c>
      <c r="C493" s="38">
        <v>2</v>
      </c>
      <c r="D493" s="38">
        <v>32</v>
      </c>
      <c r="E493" s="38">
        <v>14</v>
      </c>
      <c r="F493" s="38">
        <v>1.1000000000000001</v>
      </c>
      <c r="G493" s="41" t="s">
        <v>741</v>
      </c>
      <c r="H493" s="41" t="s">
        <v>131</v>
      </c>
      <c r="I493" s="41" t="s">
        <v>742</v>
      </c>
      <c r="J493" s="41" t="s">
        <v>133</v>
      </c>
    </row>
    <row r="494" spans="1:10">
      <c r="A494" s="38" t="s">
        <v>105</v>
      </c>
      <c r="B494" s="38">
        <v>319</v>
      </c>
      <c r="C494" s="38">
        <v>1</v>
      </c>
      <c r="D494" s="38">
        <v>18</v>
      </c>
      <c r="E494" s="38">
        <v>7</v>
      </c>
      <c r="F494" s="38">
        <v>1.1000000000000001</v>
      </c>
      <c r="G494" s="41" t="s">
        <v>743</v>
      </c>
      <c r="H494" s="41" t="s">
        <v>131</v>
      </c>
      <c r="I494" s="41" t="s">
        <v>744</v>
      </c>
      <c r="J494" s="41" t="s">
        <v>133</v>
      </c>
    </row>
    <row r="495" spans="1:10">
      <c r="A495" s="38" t="s">
        <v>105</v>
      </c>
      <c r="B495" s="38">
        <v>319</v>
      </c>
      <c r="C495" s="38">
        <v>2</v>
      </c>
      <c r="D495" s="38">
        <v>27</v>
      </c>
      <c r="E495" s="38">
        <v>18</v>
      </c>
      <c r="F495" s="38">
        <v>1.1000000000000001</v>
      </c>
      <c r="G495" s="41" t="s">
        <v>743</v>
      </c>
      <c r="H495" s="41" t="s">
        <v>131</v>
      </c>
      <c r="I495" s="41" t="s">
        <v>744</v>
      </c>
      <c r="J495" s="41" t="s">
        <v>133</v>
      </c>
    </row>
    <row r="496" spans="1:10">
      <c r="A496" s="38" t="s">
        <v>105</v>
      </c>
      <c r="B496" s="38">
        <v>320</v>
      </c>
      <c r="C496" s="38">
        <v>1</v>
      </c>
      <c r="D496" s="38">
        <v>18</v>
      </c>
      <c r="E496" s="38">
        <v>18</v>
      </c>
      <c r="F496" s="38">
        <v>1.1000000000000001</v>
      </c>
      <c r="G496" s="41" t="s">
        <v>745</v>
      </c>
      <c r="H496" s="41" t="s">
        <v>131</v>
      </c>
      <c r="I496" s="41" t="s">
        <v>746</v>
      </c>
      <c r="J496" s="41" t="s">
        <v>133</v>
      </c>
    </row>
    <row r="497" spans="1:10">
      <c r="A497" s="38" t="s">
        <v>105</v>
      </c>
      <c r="B497" s="38">
        <v>320</v>
      </c>
      <c r="C497" s="38">
        <v>2</v>
      </c>
      <c r="D497" s="38">
        <v>29</v>
      </c>
      <c r="E497" s="38">
        <v>14</v>
      </c>
      <c r="F497" s="38">
        <v>1.1000000000000001</v>
      </c>
      <c r="G497" s="41" t="s">
        <v>745</v>
      </c>
      <c r="H497" s="41" t="s">
        <v>131</v>
      </c>
      <c r="I497" s="41" t="s">
        <v>746</v>
      </c>
      <c r="J497" s="41" t="s">
        <v>133</v>
      </c>
    </row>
    <row r="498" spans="1:10">
      <c r="A498" s="38" t="s">
        <v>105</v>
      </c>
      <c r="B498" s="38">
        <v>321</v>
      </c>
      <c r="C498" s="38">
        <v>1</v>
      </c>
      <c r="D498" s="38">
        <v>18</v>
      </c>
      <c r="E498" s="38">
        <v>8</v>
      </c>
      <c r="F498" s="38">
        <v>1.1000000000000001</v>
      </c>
      <c r="G498" s="41" t="s">
        <v>747</v>
      </c>
      <c r="H498" s="41" t="s">
        <v>131</v>
      </c>
      <c r="I498" s="41" t="s">
        <v>748</v>
      </c>
      <c r="J498" s="41" t="s">
        <v>133</v>
      </c>
    </row>
    <row r="499" spans="1:10">
      <c r="A499" s="38" t="s">
        <v>105</v>
      </c>
      <c r="B499" s="38">
        <v>321</v>
      </c>
      <c r="C499" s="38">
        <v>2</v>
      </c>
      <c r="D499" s="38">
        <v>22</v>
      </c>
      <c r="E499">
        <v>1</v>
      </c>
      <c r="F499" s="38">
        <v>1.1000000000000001</v>
      </c>
      <c r="G499" s="41" t="s">
        <v>747</v>
      </c>
      <c r="H499" s="41" t="s">
        <v>131</v>
      </c>
      <c r="I499" s="41" t="s">
        <v>748</v>
      </c>
      <c r="J499" s="41" t="s">
        <v>133</v>
      </c>
    </row>
    <row r="500" spans="1:10">
      <c r="A500" s="38" t="s">
        <v>105</v>
      </c>
      <c r="B500" s="38">
        <v>322</v>
      </c>
      <c r="C500" s="38">
        <v>1</v>
      </c>
      <c r="D500" s="38">
        <v>18</v>
      </c>
      <c r="E500" s="38">
        <v>2</v>
      </c>
      <c r="F500" s="38">
        <v>1.1000000000000001</v>
      </c>
      <c r="G500" s="41" t="s">
        <v>749</v>
      </c>
      <c r="H500" s="41" t="s">
        <v>131</v>
      </c>
      <c r="I500" s="41" t="s">
        <v>750</v>
      </c>
      <c r="J500" s="41" t="s">
        <v>133</v>
      </c>
    </row>
    <row r="501" spans="1:10">
      <c r="A501" s="38" t="s">
        <v>105</v>
      </c>
      <c r="B501" s="38">
        <v>322</v>
      </c>
      <c r="C501" s="38">
        <v>2</v>
      </c>
      <c r="D501" s="38">
        <v>36</v>
      </c>
      <c r="E501" s="38">
        <v>14</v>
      </c>
      <c r="F501" s="38">
        <v>1.1000000000000001</v>
      </c>
      <c r="G501" s="41" t="s">
        <v>749</v>
      </c>
      <c r="H501" s="41" t="s">
        <v>131</v>
      </c>
      <c r="I501" s="41" t="s">
        <v>750</v>
      </c>
      <c r="J501" s="41" t="s">
        <v>133</v>
      </c>
    </row>
    <row r="502" spans="1:10">
      <c r="A502" s="38" t="s">
        <v>105</v>
      </c>
      <c r="B502" s="38">
        <v>323</v>
      </c>
      <c r="C502" s="38">
        <v>1</v>
      </c>
      <c r="D502" s="38">
        <v>18</v>
      </c>
      <c r="E502" s="38">
        <v>3</v>
      </c>
      <c r="F502" s="38">
        <v>1.1000000000000001</v>
      </c>
      <c r="G502" s="41" t="s">
        <v>751</v>
      </c>
      <c r="H502" s="41" t="s">
        <v>131</v>
      </c>
      <c r="I502" s="41" t="s">
        <v>752</v>
      </c>
      <c r="J502" s="41" t="s">
        <v>133</v>
      </c>
    </row>
    <row r="503" spans="1:10">
      <c r="A503" s="38" t="s">
        <v>105</v>
      </c>
      <c r="B503" s="38">
        <v>323</v>
      </c>
      <c r="C503" s="38">
        <v>2</v>
      </c>
      <c r="D503" s="38">
        <v>19</v>
      </c>
      <c r="E503" s="38">
        <v>3</v>
      </c>
      <c r="F503" s="38">
        <v>1.1000000000000001</v>
      </c>
      <c r="G503" s="41" t="s">
        <v>751</v>
      </c>
      <c r="H503" s="41" t="s">
        <v>131</v>
      </c>
      <c r="I503" s="41" t="s">
        <v>752</v>
      </c>
      <c r="J503" s="41" t="s">
        <v>133</v>
      </c>
    </row>
    <row r="504" spans="1:10">
      <c r="A504" s="38" t="s">
        <v>105</v>
      </c>
      <c r="B504" s="38">
        <v>324</v>
      </c>
      <c r="C504" s="38">
        <v>1</v>
      </c>
      <c r="D504" s="38">
        <v>18</v>
      </c>
      <c r="E504" s="38">
        <v>9</v>
      </c>
      <c r="F504" s="38">
        <v>1.1000000000000001</v>
      </c>
      <c r="G504" s="41" t="s">
        <v>753</v>
      </c>
      <c r="H504" s="41" t="s">
        <v>131</v>
      </c>
      <c r="I504" s="41" t="s">
        <v>754</v>
      </c>
      <c r="J504" s="41" t="s">
        <v>133</v>
      </c>
    </row>
    <row r="505" spans="1:10">
      <c r="A505" s="38" t="s">
        <v>105</v>
      </c>
      <c r="B505" s="38">
        <v>324</v>
      </c>
      <c r="C505" s="38">
        <v>2</v>
      </c>
      <c r="D505" s="38">
        <v>33</v>
      </c>
      <c r="E505" s="38">
        <v>9</v>
      </c>
      <c r="F505" s="38">
        <v>1.1000000000000001</v>
      </c>
      <c r="G505" s="41" t="s">
        <v>753</v>
      </c>
      <c r="H505" s="41" t="s">
        <v>131</v>
      </c>
      <c r="I505" s="41" t="s">
        <v>754</v>
      </c>
      <c r="J505" s="41" t="s">
        <v>133</v>
      </c>
    </row>
    <row r="506" spans="1:10">
      <c r="A506" s="38" t="s">
        <v>105</v>
      </c>
      <c r="B506" s="38">
        <v>1</v>
      </c>
      <c r="C506" s="38">
        <v>1</v>
      </c>
      <c r="D506" s="38">
        <v>1</v>
      </c>
      <c r="E506" s="38">
        <v>1</v>
      </c>
      <c r="F506" s="38">
        <v>1.1000000000000001</v>
      </c>
      <c r="G506" s="38" t="s">
        <v>130</v>
      </c>
      <c r="H506" s="38" t="s">
        <v>131</v>
      </c>
      <c r="I506" s="38" t="s">
        <v>132</v>
      </c>
      <c r="J506" s="41" t="s">
        <v>133</v>
      </c>
    </row>
    <row r="507" spans="1:10">
      <c r="A507" s="38" t="s">
        <v>105</v>
      </c>
      <c r="B507" s="38">
        <v>1</v>
      </c>
      <c r="C507" s="38">
        <v>2</v>
      </c>
      <c r="D507" s="38">
        <v>23</v>
      </c>
      <c r="E507" s="38">
        <v>4</v>
      </c>
      <c r="F507" s="38">
        <v>1.1000000000000001</v>
      </c>
      <c r="G507" s="38" t="s">
        <v>130</v>
      </c>
      <c r="H507" s="38" t="s">
        <v>131</v>
      </c>
      <c r="I507" s="38" t="s">
        <v>132</v>
      </c>
      <c r="J507" s="41" t="s">
        <v>133</v>
      </c>
    </row>
    <row r="508" spans="1:10">
      <c r="A508" s="38" t="s">
        <v>105</v>
      </c>
      <c r="B508" s="38">
        <v>2</v>
      </c>
      <c r="C508" s="38">
        <v>1</v>
      </c>
      <c r="D508" s="38">
        <v>1</v>
      </c>
      <c r="E508" s="38">
        <v>9</v>
      </c>
      <c r="F508" s="38">
        <v>1.1000000000000001</v>
      </c>
      <c r="G508" s="38" t="s">
        <v>134</v>
      </c>
      <c r="H508" s="38" t="s">
        <v>131</v>
      </c>
      <c r="I508" s="38" t="s">
        <v>135</v>
      </c>
      <c r="J508" s="41" t="s">
        <v>133</v>
      </c>
    </row>
    <row r="509" spans="1:10">
      <c r="A509" s="38" t="s">
        <v>105</v>
      </c>
      <c r="B509" s="38">
        <v>2</v>
      </c>
      <c r="C509" s="38">
        <v>2</v>
      </c>
      <c r="D509" s="38">
        <v>30</v>
      </c>
      <c r="E509" s="38">
        <v>13</v>
      </c>
      <c r="F509" s="38">
        <v>1.1000000000000001</v>
      </c>
      <c r="G509" s="38" t="s">
        <v>134</v>
      </c>
      <c r="H509" s="38" t="s">
        <v>131</v>
      </c>
      <c r="I509" s="38" t="s">
        <v>135</v>
      </c>
      <c r="J509" s="41" t="s">
        <v>133</v>
      </c>
    </row>
    <row r="510" spans="1:10">
      <c r="A510" s="38" t="s">
        <v>105</v>
      </c>
      <c r="B510" s="38">
        <v>3</v>
      </c>
      <c r="C510" s="38">
        <v>1</v>
      </c>
      <c r="D510" s="38">
        <v>1</v>
      </c>
      <c r="E510" s="38">
        <v>7</v>
      </c>
      <c r="F510" s="38">
        <v>1.1000000000000001</v>
      </c>
      <c r="G510" s="38" t="s">
        <v>136</v>
      </c>
      <c r="H510" s="38" t="s">
        <v>131</v>
      </c>
      <c r="I510" s="38" t="s">
        <v>137</v>
      </c>
      <c r="J510" s="41" t="s">
        <v>133</v>
      </c>
    </row>
    <row r="511" spans="1:10">
      <c r="A511" s="38" t="s">
        <v>105</v>
      </c>
      <c r="B511" s="38">
        <v>3</v>
      </c>
      <c r="C511" s="38">
        <v>2</v>
      </c>
      <c r="D511" s="38">
        <v>24</v>
      </c>
      <c r="E511" s="38">
        <v>11</v>
      </c>
      <c r="F511" s="38">
        <v>1.1000000000000001</v>
      </c>
      <c r="G511" s="38" t="s">
        <v>136</v>
      </c>
      <c r="H511" s="38" t="s">
        <v>131</v>
      </c>
      <c r="I511" s="38" t="s">
        <v>137</v>
      </c>
      <c r="J511" s="41" t="s">
        <v>133</v>
      </c>
    </row>
    <row r="512" spans="1:10">
      <c r="A512" s="38" t="s">
        <v>105</v>
      </c>
      <c r="B512" s="38">
        <v>4</v>
      </c>
      <c r="C512" s="38">
        <v>1</v>
      </c>
      <c r="D512" s="38">
        <v>1</v>
      </c>
      <c r="E512" s="38">
        <v>5</v>
      </c>
      <c r="F512" s="38">
        <v>1.1000000000000001</v>
      </c>
      <c r="G512" s="38" t="s">
        <v>138</v>
      </c>
      <c r="H512" s="38" t="s">
        <v>131</v>
      </c>
      <c r="I512" s="38" t="s">
        <v>139</v>
      </c>
      <c r="J512" s="41" t="s">
        <v>133</v>
      </c>
    </row>
    <row r="513" spans="1:10">
      <c r="A513" s="38" t="s">
        <v>105</v>
      </c>
      <c r="B513" s="38">
        <v>4</v>
      </c>
      <c r="C513" s="38">
        <v>2</v>
      </c>
      <c r="D513" s="38">
        <v>28</v>
      </c>
      <c r="E513" s="38">
        <v>10</v>
      </c>
      <c r="F513" s="38">
        <v>1.1000000000000001</v>
      </c>
      <c r="G513" s="38" t="s">
        <v>138</v>
      </c>
      <c r="H513" s="38" t="s">
        <v>131</v>
      </c>
      <c r="I513" s="38" t="s">
        <v>139</v>
      </c>
      <c r="J513" s="41" t="s">
        <v>133</v>
      </c>
    </row>
    <row r="514" spans="1:10">
      <c r="A514" s="38" t="s">
        <v>105</v>
      </c>
      <c r="B514" s="38">
        <v>5</v>
      </c>
      <c r="C514" s="38">
        <v>1</v>
      </c>
      <c r="D514" s="38">
        <v>1</v>
      </c>
      <c r="E514" s="38">
        <v>13</v>
      </c>
      <c r="F514" s="38">
        <v>1.1000000000000001</v>
      </c>
      <c r="G514" s="38" t="s">
        <v>140</v>
      </c>
      <c r="H514" s="38" t="s">
        <v>131</v>
      </c>
      <c r="I514" s="38" t="s">
        <v>141</v>
      </c>
      <c r="J514" s="41" t="s">
        <v>133</v>
      </c>
    </row>
    <row r="515" spans="1:10">
      <c r="A515" s="38" t="s">
        <v>105</v>
      </c>
      <c r="B515" s="38">
        <v>5</v>
      </c>
      <c r="C515" s="38">
        <v>2</v>
      </c>
      <c r="D515" s="38">
        <v>26</v>
      </c>
      <c r="E515" s="38">
        <v>1</v>
      </c>
      <c r="F515" s="38">
        <v>1.1000000000000001</v>
      </c>
      <c r="G515" s="38" t="s">
        <v>140</v>
      </c>
      <c r="H515" s="38" t="s">
        <v>131</v>
      </c>
      <c r="I515" s="38" t="s">
        <v>141</v>
      </c>
      <c r="J515" s="41" t="s">
        <v>133</v>
      </c>
    </row>
    <row r="516" spans="1:10">
      <c r="A516" s="38" t="s">
        <v>105</v>
      </c>
      <c r="B516" s="38">
        <v>6</v>
      </c>
      <c r="C516" s="38">
        <v>1</v>
      </c>
      <c r="D516" s="38">
        <v>1</v>
      </c>
      <c r="E516" s="38">
        <v>15</v>
      </c>
      <c r="F516" s="38">
        <v>1.1000000000000001</v>
      </c>
      <c r="G516" s="38" t="s">
        <v>142</v>
      </c>
      <c r="H516" s="38" t="s">
        <v>131</v>
      </c>
      <c r="I516" s="38" t="s">
        <v>143</v>
      </c>
      <c r="J516" s="41" t="s">
        <v>133</v>
      </c>
    </row>
    <row r="517" spans="1:10">
      <c r="A517" s="38" t="s">
        <v>105</v>
      </c>
      <c r="B517" s="38">
        <v>6</v>
      </c>
      <c r="C517" s="38">
        <v>2</v>
      </c>
      <c r="D517" s="38">
        <v>31</v>
      </c>
      <c r="E517" s="38">
        <v>3</v>
      </c>
      <c r="F517" s="38">
        <v>1.1000000000000001</v>
      </c>
      <c r="G517" s="38" t="s">
        <v>142</v>
      </c>
      <c r="H517" s="38" t="s">
        <v>131</v>
      </c>
      <c r="I517" s="38" t="s">
        <v>143</v>
      </c>
      <c r="J517" s="41" t="s">
        <v>133</v>
      </c>
    </row>
    <row r="518" spans="1:10">
      <c r="A518" s="38" t="s">
        <v>105</v>
      </c>
      <c r="B518" s="38">
        <v>7</v>
      </c>
      <c r="C518" s="38">
        <v>1</v>
      </c>
      <c r="D518" s="38">
        <v>1</v>
      </c>
      <c r="E518" s="38">
        <v>4</v>
      </c>
      <c r="F518" s="38">
        <v>1.1000000000000001</v>
      </c>
      <c r="G518" s="38" t="s">
        <v>144</v>
      </c>
      <c r="H518" s="38" t="s">
        <v>131</v>
      </c>
      <c r="I518" s="38" t="s">
        <v>145</v>
      </c>
      <c r="J518" s="41" t="s">
        <v>133</v>
      </c>
    </row>
    <row r="519" spans="1:10">
      <c r="A519" s="38" t="s">
        <v>105</v>
      </c>
      <c r="B519" s="38">
        <v>7</v>
      </c>
      <c r="C519" s="38">
        <v>2</v>
      </c>
      <c r="D519" s="38">
        <v>35</v>
      </c>
      <c r="E519" s="38">
        <v>18</v>
      </c>
      <c r="F519" s="38">
        <v>1.1000000000000001</v>
      </c>
      <c r="G519" s="38" t="s">
        <v>144</v>
      </c>
      <c r="H519" s="38" t="s">
        <v>131</v>
      </c>
      <c r="I519" s="38" t="s">
        <v>145</v>
      </c>
      <c r="J519" s="41" t="s">
        <v>133</v>
      </c>
    </row>
    <row r="520" spans="1:10">
      <c r="A520" s="38" t="s">
        <v>105</v>
      </c>
      <c r="B520" s="38">
        <v>8</v>
      </c>
      <c r="C520" s="38">
        <v>1</v>
      </c>
      <c r="D520" s="38">
        <v>1</v>
      </c>
      <c r="E520" s="38">
        <v>12</v>
      </c>
      <c r="F520" s="38">
        <v>1.1000000000000001</v>
      </c>
      <c r="G520" s="38" t="s">
        <v>146</v>
      </c>
      <c r="H520" s="38" t="s">
        <v>131</v>
      </c>
      <c r="I520" s="38" t="s">
        <v>147</v>
      </c>
      <c r="J520" s="41" t="s">
        <v>133</v>
      </c>
    </row>
    <row r="521" spans="1:10">
      <c r="A521" s="38" t="s">
        <v>105</v>
      </c>
      <c r="B521" s="38">
        <v>8</v>
      </c>
      <c r="C521" s="38">
        <v>2</v>
      </c>
      <c r="D521" s="38">
        <v>36</v>
      </c>
      <c r="E521" s="38">
        <v>2</v>
      </c>
      <c r="F521" s="38">
        <v>1.1000000000000001</v>
      </c>
      <c r="G521" s="38" t="s">
        <v>146</v>
      </c>
      <c r="H521" s="38" t="s">
        <v>131</v>
      </c>
      <c r="I521" s="38" t="s">
        <v>147</v>
      </c>
      <c r="J521" s="41" t="s">
        <v>133</v>
      </c>
    </row>
    <row r="522" spans="1:10">
      <c r="A522" s="38" t="s">
        <v>105</v>
      </c>
      <c r="B522" s="38">
        <v>9</v>
      </c>
      <c r="C522" s="38">
        <v>1</v>
      </c>
      <c r="D522" s="38">
        <v>1</v>
      </c>
      <c r="E522" s="38">
        <v>11</v>
      </c>
      <c r="F522" s="38">
        <v>1.1000000000000001</v>
      </c>
      <c r="G522" s="38" t="s">
        <v>148</v>
      </c>
      <c r="H522" s="38" t="s">
        <v>131</v>
      </c>
      <c r="I522" s="38" t="s">
        <v>149</v>
      </c>
      <c r="J522" s="41" t="s">
        <v>133</v>
      </c>
    </row>
    <row r="523" spans="1:10">
      <c r="A523" s="38" t="s">
        <v>105</v>
      </c>
      <c r="B523" s="38">
        <v>9</v>
      </c>
      <c r="C523" s="38">
        <v>2</v>
      </c>
      <c r="D523" s="38">
        <v>27</v>
      </c>
      <c r="E523" s="38">
        <v>4</v>
      </c>
      <c r="F523" s="38">
        <v>1.1000000000000001</v>
      </c>
      <c r="G523" s="38" t="s">
        <v>148</v>
      </c>
      <c r="H523" s="38" t="s">
        <v>131</v>
      </c>
      <c r="I523" s="38" t="s">
        <v>149</v>
      </c>
      <c r="J523" s="41" t="s">
        <v>133</v>
      </c>
    </row>
    <row r="524" spans="1:10">
      <c r="A524" s="38" t="s">
        <v>105</v>
      </c>
      <c r="B524" s="38">
        <v>10</v>
      </c>
      <c r="C524" s="38">
        <v>1</v>
      </c>
      <c r="D524" s="38">
        <v>1</v>
      </c>
      <c r="E524" s="38">
        <v>14</v>
      </c>
      <c r="F524" s="38">
        <v>1.1000000000000001</v>
      </c>
      <c r="G524" s="38" t="s">
        <v>150</v>
      </c>
      <c r="H524" s="38" t="s">
        <v>131</v>
      </c>
      <c r="I524" s="38" t="s">
        <v>151</v>
      </c>
      <c r="J524" s="41" t="s">
        <v>133</v>
      </c>
    </row>
    <row r="525" spans="1:10">
      <c r="A525" s="38" t="s">
        <v>105</v>
      </c>
      <c r="B525" s="38">
        <v>10</v>
      </c>
      <c r="C525" s="38">
        <v>2</v>
      </c>
      <c r="D525" s="38">
        <v>34</v>
      </c>
      <c r="E525" s="38">
        <v>12</v>
      </c>
      <c r="F525" s="38">
        <v>1.1000000000000001</v>
      </c>
      <c r="G525" s="38" t="s">
        <v>150</v>
      </c>
      <c r="H525" s="38" t="s">
        <v>131</v>
      </c>
      <c r="I525" s="38" t="s">
        <v>151</v>
      </c>
      <c r="J525" s="41" t="s">
        <v>133</v>
      </c>
    </row>
    <row r="526" spans="1:10">
      <c r="A526" s="38" t="s">
        <v>105</v>
      </c>
      <c r="B526" s="38">
        <v>11</v>
      </c>
      <c r="C526" s="38">
        <v>1</v>
      </c>
      <c r="D526" s="38">
        <v>1</v>
      </c>
      <c r="E526" s="38">
        <v>16</v>
      </c>
      <c r="F526" s="38">
        <v>1.1000000000000001</v>
      </c>
      <c r="G526" s="38" t="s">
        <v>152</v>
      </c>
      <c r="H526" s="38" t="s">
        <v>131</v>
      </c>
      <c r="I526" s="38" t="s">
        <v>153</v>
      </c>
      <c r="J526" s="41" t="s">
        <v>133</v>
      </c>
    </row>
    <row r="527" spans="1:10">
      <c r="A527" s="38" t="s">
        <v>105</v>
      </c>
      <c r="B527" s="38">
        <v>11</v>
      </c>
      <c r="C527" s="38">
        <v>2</v>
      </c>
      <c r="D527" s="38">
        <v>32</v>
      </c>
      <c r="E527" s="38">
        <v>11</v>
      </c>
      <c r="F527" s="38">
        <v>1.1000000000000001</v>
      </c>
      <c r="G527" s="38" t="s">
        <v>152</v>
      </c>
      <c r="H527" s="38" t="s">
        <v>131</v>
      </c>
      <c r="I527" s="38" t="s">
        <v>153</v>
      </c>
      <c r="J527" s="41" t="s">
        <v>133</v>
      </c>
    </row>
    <row r="528" spans="1:10">
      <c r="A528" s="38" t="s">
        <v>105</v>
      </c>
      <c r="B528" s="38">
        <v>12</v>
      </c>
      <c r="C528" s="38">
        <v>1</v>
      </c>
      <c r="D528" s="38">
        <v>1</v>
      </c>
      <c r="E528" s="38">
        <v>3</v>
      </c>
      <c r="F528" s="38">
        <v>1.1000000000000001</v>
      </c>
      <c r="G528" s="38" t="s">
        <v>154</v>
      </c>
      <c r="H528" s="38" t="s">
        <v>131</v>
      </c>
      <c r="I528" s="38" t="s">
        <v>155</v>
      </c>
      <c r="J528" s="41" t="s">
        <v>133</v>
      </c>
    </row>
    <row r="529" spans="1:10">
      <c r="A529" s="38" t="s">
        <v>105</v>
      </c>
      <c r="B529" s="38">
        <v>12</v>
      </c>
      <c r="C529" s="38">
        <v>2</v>
      </c>
      <c r="D529" s="38">
        <v>20</v>
      </c>
      <c r="E529" s="38">
        <v>5</v>
      </c>
      <c r="F529" s="38">
        <v>1.1000000000000001</v>
      </c>
      <c r="G529" s="38" t="s">
        <v>154</v>
      </c>
      <c r="H529" s="38" t="s">
        <v>131</v>
      </c>
      <c r="I529" s="38" t="s">
        <v>155</v>
      </c>
      <c r="J529" s="41" t="s">
        <v>133</v>
      </c>
    </row>
    <row r="530" spans="1:10">
      <c r="A530" s="38" t="s">
        <v>105</v>
      </c>
      <c r="B530" s="38">
        <v>13</v>
      </c>
      <c r="C530" s="38">
        <v>1</v>
      </c>
      <c r="D530" s="38">
        <v>1</v>
      </c>
      <c r="E530" s="38">
        <v>17</v>
      </c>
      <c r="F530" s="38">
        <v>1.1000000000000001</v>
      </c>
      <c r="G530" s="38" t="s">
        <v>156</v>
      </c>
      <c r="H530" s="38" t="s">
        <v>131</v>
      </c>
      <c r="I530" s="38" t="s">
        <v>157</v>
      </c>
      <c r="J530" s="41" t="s">
        <v>133</v>
      </c>
    </row>
    <row r="531" spans="1:10">
      <c r="A531" s="38" t="s">
        <v>105</v>
      </c>
      <c r="B531" s="38">
        <v>13</v>
      </c>
      <c r="C531" s="38">
        <v>2</v>
      </c>
      <c r="D531" s="38">
        <v>22</v>
      </c>
      <c r="E531">
        <v>4</v>
      </c>
      <c r="F531" s="38">
        <v>1.1000000000000001</v>
      </c>
      <c r="G531" s="38" t="s">
        <v>156</v>
      </c>
      <c r="H531" s="38" t="s">
        <v>131</v>
      </c>
      <c r="I531" s="38" t="s">
        <v>157</v>
      </c>
      <c r="J531" s="41" t="s">
        <v>133</v>
      </c>
    </row>
    <row r="532" spans="1:10">
      <c r="A532" s="38" t="s">
        <v>105</v>
      </c>
      <c r="B532" s="38">
        <v>14</v>
      </c>
      <c r="C532" s="38">
        <v>1</v>
      </c>
      <c r="D532" s="38">
        <v>1</v>
      </c>
      <c r="E532" s="38">
        <v>2</v>
      </c>
      <c r="F532" s="38">
        <v>1.1000000000000001</v>
      </c>
      <c r="G532" s="38" t="s">
        <v>158</v>
      </c>
      <c r="H532" s="38" t="s">
        <v>131</v>
      </c>
      <c r="I532" s="38" t="s">
        <v>159</v>
      </c>
      <c r="J532" s="41" t="s">
        <v>133</v>
      </c>
    </row>
    <row r="533" spans="1:10">
      <c r="A533" s="38" t="s">
        <v>105</v>
      </c>
      <c r="B533" s="38">
        <v>14</v>
      </c>
      <c r="C533" s="38">
        <v>2</v>
      </c>
      <c r="D533" s="38">
        <v>33</v>
      </c>
      <c r="E533" s="38">
        <v>15</v>
      </c>
      <c r="F533" s="38">
        <v>1.1000000000000001</v>
      </c>
      <c r="G533" s="38" t="s">
        <v>158</v>
      </c>
      <c r="H533" s="38" t="s">
        <v>131</v>
      </c>
      <c r="I533" s="38" t="s">
        <v>159</v>
      </c>
      <c r="J533" s="41" t="s">
        <v>133</v>
      </c>
    </row>
    <row r="534" spans="1:10">
      <c r="A534" s="38" t="s">
        <v>105</v>
      </c>
      <c r="B534" s="38">
        <v>15</v>
      </c>
      <c r="C534" s="38">
        <v>1</v>
      </c>
      <c r="D534" s="38">
        <v>1</v>
      </c>
      <c r="E534" s="38">
        <v>18</v>
      </c>
      <c r="F534" s="38">
        <v>1.1000000000000001</v>
      </c>
      <c r="G534" s="38" t="s">
        <v>160</v>
      </c>
      <c r="H534" s="38" t="s">
        <v>131</v>
      </c>
      <c r="I534" s="38" t="s">
        <v>161</v>
      </c>
      <c r="J534" s="41" t="s">
        <v>133</v>
      </c>
    </row>
    <row r="535" spans="1:10">
      <c r="A535" s="38" t="s">
        <v>105</v>
      </c>
      <c r="B535" s="38">
        <v>15</v>
      </c>
      <c r="C535" s="38">
        <v>2</v>
      </c>
      <c r="D535" s="38">
        <v>19</v>
      </c>
      <c r="E535" s="38">
        <v>18</v>
      </c>
      <c r="F535" s="38">
        <v>1.1000000000000001</v>
      </c>
      <c r="G535" s="38" t="s">
        <v>160</v>
      </c>
      <c r="H535" s="38" t="s">
        <v>131</v>
      </c>
      <c r="I535" s="38" t="s">
        <v>161</v>
      </c>
      <c r="J535" s="41" t="s">
        <v>133</v>
      </c>
    </row>
    <row r="536" spans="1:10">
      <c r="A536" s="38" t="s">
        <v>105</v>
      </c>
      <c r="B536" s="38">
        <v>16</v>
      </c>
      <c r="C536" s="38">
        <v>1</v>
      </c>
      <c r="D536" s="38">
        <v>1</v>
      </c>
      <c r="E536" s="38">
        <v>8</v>
      </c>
      <c r="F536" s="38">
        <v>1.1000000000000001</v>
      </c>
      <c r="G536" s="38" t="s">
        <v>162</v>
      </c>
      <c r="H536" s="38" t="s">
        <v>131</v>
      </c>
      <c r="I536" s="38" t="s">
        <v>163</v>
      </c>
      <c r="J536" s="41" t="s">
        <v>133</v>
      </c>
    </row>
    <row r="537" spans="1:10">
      <c r="A537" s="38" t="s">
        <v>105</v>
      </c>
      <c r="B537" s="38">
        <v>16</v>
      </c>
      <c r="C537" s="38">
        <v>2</v>
      </c>
      <c r="D537" s="38">
        <v>21</v>
      </c>
      <c r="E537" s="38">
        <v>13</v>
      </c>
      <c r="F537" s="38">
        <v>1.1000000000000001</v>
      </c>
      <c r="G537" s="38" t="s">
        <v>162</v>
      </c>
      <c r="H537" s="38" t="s">
        <v>131</v>
      </c>
      <c r="I537" s="38" t="s">
        <v>163</v>
      </c>
      <c r="J537" s="41" t="s">
        <v>133</v>
      </c>
    </row>
    <row r="538" spans="1:10">
      <c r="A538" s="38" t="s">
        <v>105</v>
      </c>
      <c r="B538" s="38">
        <v>17</v>
      </c>
      <c r="C538" s="38">
        <v>1</v>
      </c>
      <c r="D538" s="38">
        <v>1</v>
      </c>
      <c r="E538" s="38">
        <v>6</v>
      </c>
      <c r="F538" s="38">
        <v>1.1000000000000001</v>
      </c>
      <c r="G538" s="38" t="s">
        <v>164</v>
      </c>
      <c r="H538" s="38" t="s">
        <v>131</v>
      </c>
      <c r="I538" s="38" t="s">
        <v>165</v>
      </c>
      <c r="J538" s="41" t="s">
        <v>133</v>
      </c>
    </row>
    <row r="539" spans="1:10">
      <c r="A539" s="38" t="s">
        <v>105</v>
      </c>
      <c r="B539" s="38">
        <v>17</v>
      </c>
      <c r="C539" s="38">
        <v>2</v>
      </c>
      <c r="D539" s="38">
        <v>25</v>
      </c>
      <c r="E539" s="38">
        <v>11</v>
      </c>
      <c r="F539" s="38">
        <v>1.1000000000000001</v>
      </c>
      <c r="G539" s="38" t="s">
        <v>164</v>
      </c>
      <c r="H539" s="38" t="s">
        <v>131</v>
      </c>
      <c r="I539" s="38" t="s">
        <v>165</v>
      </c>
      <c r="J539" s="41" t="s">
        <v>133</v>
      </c>
    </row>
    <row r="540" spans="1:10">
      <c r="A540" s="38" t="s">
        <v>105</v>
      </c>
      <c r="B540" s="38">
        <v>18</v>
      </c>
      <c r="C540" s="38">
        <v>1</v>
      </c>
      <c r="D540" s="38">
        <v>1</v>
      </c>
      <c r="E540" s="38">
        <v>10</v>
      </c>
      <c r="F540" s="38">
        <v>1.1000000000000001</v>
      </c>
      <c r="G540" s="38" t="s">
        <v>166</v>
      </c>
      <c r="H540" s="38" t="s">
        <v>131</v>
      </c>
      <c r="I540" s="38" t="s">
        <v>167</v>
      </c>
      <c r="J540" s="41" t="s">
        <v>133</v>
      </c>
    </row>
    <row r="541" spans="1:10">
      <c r="A541" s="38" t="s">
        <v>105</v>
      </c>
      <c r="B541" s="38">
        <v>18</v>
      </c>
      <c r="C541" s="38">
        <v>2</v>
      </c>
      <c r="D541" s="38">
        <v>29</v>
      </c>
      <c r="E541" s="38">
        <v>8</v>
      </c>
      <c r="F541" s="38">
        <v>1.1000000000000001</v>
      </c>
      <c r="G541" s="38" t="s">
        <v>166</v>
      </c>
      <c r="H541" s="38" t="s">
        <v>131</v>
      </c>
      <c r="I541" s="38" t="s">
        <v>167</v>
      </c>
      <c r="J541" s="41" t="s">
        <v>133</v>
      </c>
    </row>
    <row r="542" spans="1:10">
      <c r="A542" s="38" t="s">
        <v>105</v>
      </c>
      <c r="B542" s="38">
        <v>19</v>
      </c>
      <c r="C542" s="38">
        <v>1</v>
      </c>
      <c r="D542" s="38">
        <v>2</v>
      </c>
      <c r="E542" s="38">
        <v>10</v>
      </c>
      <c r="F542" s="38">
        <v>1.1000000000000001</v>
      </c>
      <c r="G542" s="38" t="s">
        <v>168</v>
      </c>
      <c r="H542" s="38" t="s">
        <v>131</v>
      </c>
      <c r="I542" s="38" t="s">
        <v>169</v>
      </c>
      <c r="J542" s="41" t="s">
        <v>133</v>
      </c>
    </row>
    <row r="543" spans="1:10">
      <c r="A543" s="38" t="s">
        <v>105</v>
      </c>
      <c r="B543" s="38">
        <v>19</v>
      </c>
      <c r="C543" s="38">
        <v>2</v>
      </c>
      <c r="D543" s="38">
        <v>28</v>
      </c>
      <c r="E543" s="38">
        <v>14</v>
      </c>
      <c r="F543" s="38">
        <v>1.1000000000000001</v>
      </c>
      <c r="G543" s="38" t="s">
        <v>168</v>
      </c>
      <c r="H543" s="38" t="s">
        <v>131</v>
      </c>
      <c r="I543" s="38" t="s">
        <v>169</v>
      </c>
      <c r="J543" s="41" t="s">
        <v>133</v>
      </c>
    </row>
    <row r="544" spans="1:10">
      <c r="A544" s="38" t="s">
        <v>105</v>
      </c>
      <c r="B544" s="38">
        <v>20</v>
      </c>
      <c r="C544" s="38">
        <v>1</v>
      </c>
      <c r="D544" s="38">
        <v>2</v>
      </c>
      <c r="E544" s="38">
        <v>13</v>
      </c>
      <c r="F544" s="38">
        <v>1.1000000000000001</v>
      </c>
      <c r="G544" s="38" t="s">
        <v>170</v>
      </c>
      <c r="H544" s="38" t="s">
        <v>131</v>
      </c>
      <c r="I544" s="38" t="s">
        <v>171</v>
      </c>
      <c r="J544" s="41" t="s">
        <v>133</v>
      </c>
    </row>
    <row r="545" spans="1:10">
      <c r="A545" s="38" t="s">
        <v>105</v>
      </c>
      <c r="B545" s="38">
        <v>20</v>
      </c>
      <c r="C545" s="38">
        <v>2</v>
      </c>
      <c r="D545" s="38">
        <v>25</v>
      </c>
      <c r="E545" s="38">
        <v>6</v>
      </c>
      <c r="F545" s="38">
        <v>1.1000000000000001</v>
      </c>
      <c r="G545" s="38" t="s">
        <v>170</v>
      </c>
      <c r="H545" s="38" t="s">
        <v>131</v>
      </c>
      <c r="I545" s="38" t="s">
        <v>171</v>
      </c>
      <c r="J545" s="41" t="s">
        <v>133</v>
      </c>
    </row>
    <row r="546" spans="1:10">
      <c r="A546" s="38" t="s">
        <v>105</v>
      </c>
      <c r="B546" s="38">
        <v>21</v>
      </c>
      <c r="C546" s="38">
        <v>1</v>
      </c>
      <c r="D546" s="38">
        <v>2</v>
      </c>
      <c r="E546" s="38">
        <v>15</v>
      </c>
      <c r="F546" s="38">
        <v>1.1000000000000001</v>
      </c>
      <c r="G546" s="38" t="s">
        <v>172</v>
      </c>
      <c r="H546" s="38" t="s">
        <v>131</v>
      </c>
      <c r="I546" s="38" t="s">
        <v>173</v>
      </c>
      <c r="J546" s="41" t="s">
        <v>133</v>
      </c>
    </row>
    <row r="547" spans="1:10">
      <c r="A547" s="38" t="s">
        <v>105</v>
      </c>
      <c r="B547" s="38">
        <v>21</v>
      </c>
      <c r="C547" s="38">
        <v>2</v>
      </c>
      <c r="D547" s="38">
        <v>22</v>
      </c>
      <c r="E547">
        <v>6</v>
      </c>
      <c r="F547" s="38">
        <v>1.1000000000000001</v>
      </c>
      <c r="G547" s="38" t="s">
        <v>172</v>
      </c>
      <c r="H547" s="38" t="s">
        <v>131</v>
      </c>
      <c r="I547" s="38" t="s">
        <v>173</v>
      </c>
      <c r="J547" s="41" t="s">
        <v>133</v>
      </c>
    </row>
    <row r="548" spans="1:10">
      <c r="A548" s="38" t="s">
        <v>105</v>
      </c>
      <c r="B548" s="38">
        <v>22</v>
      </c>
      <c r="C548" s="38">
        <v>1</v>
      </c>
      <c r="D548" s="38">
        <v>2</v>
      </c>
      <c r="E548" s="38">
        <v>14</v>
      </c>
      <c r="F548" s="38">
        <v>1.1000000000000001</v>
      </c>
      <c r="G548" s="38" t="s">
        <v>174</v>
      </c>
      <c r="H548" s="38" t="s">
        <v>131</v>
      </c>
      <c r="I548" s="38" t="s">
        <v>175</v>
      </c>
      <c r="J548" s="41" t="s">
        <v>133</v>
      </c>
    </row>
    <row r="549" spans="1:10">
      <c r="A549" s="38" t="s">
        <v>105</v>
      </c>
      <c r="B549" s="38">
        <v>22</v>
      </c>
      <c r="C549" s="38">
        <v>2</v>
      </c>
      <c r="D549" s="38">
        <v>31</v>
      </c>
      <c r="E549" s="38">
        <v>7</v>
      </c>
      <c r="F549" s="38">
        <v>1.1000000000000001</v>
      </c>
      <c r="G549" s="38" t="s">
        <v>174</v>
      </c>
      <c r="H549" s="38" t="s">
        <v>131</v>
      </c>
      <c r="I549" s="38" t="s">
        <v>175</v>
      </c>
      <c r="J549" s="41" t="s">
        <v>133</v>
      </c>
    </row>
    <row r="550" spans="1:10">
      <c r="A550" s="38" t="s">
        <v>105</v>
      </c>
      <c r="B550" s="38">
        <v>23</v>
      </c>
      <c r="C550" s="38">
        <v>1</v>
      </c>
      <c r="D550" s="38">
        <v>2</v>
      </c>
      <c r="E550" s="38">
        <v>17</v>
      </c>
      <c r="F550" s="38">
        <v>1.1000000000000001</v>
      </c>
      <c r="G550" s="38" t="s">
        <v>176</v>
      </c>
      <c r="H550" s="38" t="s">
        <v>131</v>
      </c>
      <c r="I550" s="38" t="s">
        <v>177</v>
      </c>
      <c r="J550" s="41" t="s">
        <v>133</v>
      </c>
    </row>
    <row r="551" spans="1:10">
      <c r="A551" s="38" t="s">
        <v>105</v>
      </c>
      <c r="B551" s="38">
        <v>23</v>
      </c>
      <c r="C551" s="38">
        <v>2</v>
      </c>
      <c r="D551" s="38">
        <v>33</v>
      </c>
      <c r="E551" s="38">
        <v>13</v>
      </c>
      <c r="F551" s="38">
        <v>1.1000000000000001</v>
      </c>
      <c r="G551" s="38" t="s">
        <v>176</v>
      </c>
      <c r="H551" s="38" t="s">
        <v>131</v>
      </c>
      <c r="I551" s="38" t="s">
        <v>177</v>
      </c>
      <c r="J551" s="41" t="s">
        <v>133</v>
      </c>
    </row>
    <row r="552" spans="1:10">
      <c r="A552" s="38" t="s">
        <v>105</v>
      </c>
      <c r="B552" s="38">
        <v>24</v>
      </c>
      <c r="C552" s="38">
        <v>1</v>
      </c>
      <c r="D552" s="38">
        <v>2</v>
      </c>
      <c r="E552" s="38">
        <v>12</v>
      </c>
      <c r="F552" s="38">
        <v>1.1000000000000001</v>
      </c>
      <c r="G552" s="38" t="s">
        <v>178</v>
      </c>
      <c r="H552" s="38" t="s">
        <v>131</v>
      </c>
      <c r="I552" s="38" t="s">
        <v>179</v>
      </c>
      <c r="J552" s="41" t="s">
        <v>133</v>
      </c>
    </row>
    <row r="553" spans="1:10">
      <c r="A553" s="38" t="s">
        <v>105</v>
      </c>
      <c r="B553" s="38">
        <v>24</v>
      </c>
      <c r="C553" s="38">
        <v>2</v>
      </c>
      <c r="D553" s="38">
        <v>19</v>
      </c>
      <c r="E553" s="38">
        <v>2</v>
      </c>
      <c r="F553" s="38">
        <v>1.1000000000000001</v>
      </c>
      <c r="G553" s="38" t="s">
        <v>178</v>
      </c>
      <c r="H553" s="38" t="s">
        <v>131</v>
      </c>
      <c r="I553" s="38" t="s">
        <v>179</v>
      </c>
      <c r="J553" s="41" t="s">
        <v>133</v>
      </c>
    </row>
    <row r="554" spans="1:10">
      <c r="A554" s="38" t="s">
        <v>105</v>
      </c>
      <c r="B554" s="38">
        <v>25</v>
      </c>
      <c r="C554" s="38">
        <v>1</v>
      </c>
      <c r="D554" s="38">
        <v>2</v>
      </c>
      <c r="E554" s="38">
        <v>6</v>
      </c>
      <c r="F554" s="38">
        <v>1.1000000000000001</v>
      </c>
      <c r="G554" s="38" t="s">
        <v>180</v>
      </c>
      <c r="H554" s="38" t="s">
        <v>131</v>
      </c>
      <c r="I554" s="38" t="s">
        <v>181</v>
      </c>
      <c r="J554" s="41" t="s">
        <v>133</v>
      </c>
    </row>
    <row r="555" spans="1:10">
      <c r="A555" s="38" t="s">
        <v>105</v>
      </c>
      <c r="B555" s="38">
        <v>25</v>
      </c>
      <c r="C555" s="38">
        <v>2</v>
      </c>
      <c r="D555" s="38">
        <v>23</v>
      </c>
      <c r="E555" s="38">
        <v>3</v>
      </c>
      <c r="F555" s="38">
        <v>1.1000000000000001</v>
      </c>
      <c r="G555" s="38" t="s">
        <v>180</v>
      </c>
      <c r="H555" s="38" t="s">
        <v>131</v>
      </c>
      <c r="I555" s="38" t="s">
        <v>181</v>
      </c>
      <c r="J555" s="41" t="s">
        <v>133</v>
      </c>
    </row>
    <row r="556" spans="1:10">
      <c r="A556" s="38" t="s">
        <v>105</v>
      </c>
      <c r="B556" s="38">
        <v>26</v>
      </c>
      <c r="C556" s="38">
        <v>1</v>
      </c>
      <c r="D556" s="38">
        <v>2</v>
      </c>
      <c r="E556" s="38">
        <v>18</v>
      </c>
      <c r="F556" s="38">
        <v>1.1000000000000001</v>
      </c>
      <c r="G556" s="38" t="s">
        <v>182</v>
      </c>
      <c r="H556" s="38" t="s">
        <v>131</v>
      </c>
      <c r="I556" s="38" t="s">
        <v>183</v>
      </c>
      <c r="J556" s="41" t="s">
        <v>133</v>
      </c>
    </row>
    <row r="557" spans="1:10">
      <c r="A557" s="38" t="s">
        <v>105</v>
      </c>
      <c r="B557" s="38">
        <v>26</v>
      </c>
      <c r="C557" s="38">
        <v>2</v>
      </c>
      <c r="D557" s="38">
        <v>20</v>
      </c>
      <c r="E557" s="38">
        <v>7</v>
      </c>
      <c r="F557" s="38">
        <v>1.1000000000000001</v>
      </c>
      <c r="G557" s="38" t="s">
        <v>182</v>
      </c>
      <c r="H557" s="38" t="s">
        <v>131</v>
      </c>
      <c r="I557" s="38" t="s">
        <v>183</v>
      </c>
      <c r="J557" s="41" t="s">
        <v>133</v>
      </c>
    </row>
    <row r="558" spans="1:10">
      <c r="A558" s="38" t="s">
        <v>105</v>
      </c>
      <c r="B558" s="38">
        <v>27</v>
      </c>
      <c r="C558" s="38">
        <v>1</v>
      </c>
      <c r="D558" s="38">
        <v>2</v>
      </c>
      <c r="E558" s="38">
        <v>5</v>
      </c>
      <c r="F558" s="38">
        <v>1.1000000000000001</v>
      </c>
      <c r="G558" s="38" t="s">
        <v>184</v>
      </c>
      <c r="H558" s="38" t="s">
        <v>131</v>
      </c>
      <c r="I558" s="38" t="s">
        <v>185</v>
      </c>
      <c r="J558" s="41" t="s">
        <v>133</v>
      </c>
    </row>
    <row r="559" spans="1:10">
      <c r="A559" s="38" t="s">
        <v>105</v>
      </c>
      <c r="B559" s="38">
        <v>27</v>
      </c>
      <c r="C559" s="38">
        <v>2</v>
      </c>
      <c r="D559" s="38">
        <v>24</v>
      </c>
      <c r="E559" s="38">
        <v>5</v>
      </c>
      <c r="F559" s="38">
        <v>1.1000000000000001</v>
      </c>
      <c r="G559" s="38" t="s">
        <v>184</v>
      </c>
      <c r="H559" s="38" t="s">
        <v>131</v>
      </c>
      <c r="I559" s="38" t="s">
        <v>185</v>
      </c>
      <c r="J559" s="41" t="s">
        <v>133</v>
      </c>
    </row>
    <row r="560" spans="1:10">
      <c r="A560" s="38" t="s">
        <v>105</v>
      </c>
      <c r="B560" s="38">
        <v>28</v>
      </c>
      <c r="C560" s="38">
        <v>1</v>
      </c>
      <c r="D560" s="38">
        <v>2</v>
      </c>
      <c r="E560" s="38">
        <v>8</v>
      </c>
      <c r="F560" s="38">
        <v>1.1000000000000001</v>
      </c>
      <c r="G560" s="38" t="s">
        <v>186</v>
      </c>
      <c r="H560" s="38" t="s">
        <v>131</v>
      </c>
      <c r="I560" s="38" t="s">
        <v>187</v>
      </c>
      <c r="J560" s="41" t="s">
        <v>133</v>
      </c>
    </row>
    <row r="561" spans="1:10">
      <c r="A561" s="38" t="s">
        <v>105</v>
      </c>
      <c r="B561" s="38">
        <v>28</v>
      </c>
      <c r="C561" s="38">
        <v>2</v>
      </c>
      <c r="D561" s="38">
        <v>30</v>
      </c>
      <c r="E561" s="38">
        <v>16</v>
      </c>
      <c r="F561" s="38">
        <v>1.1000000000000001</v>
      </c>
      <c r="G561" s="38" t="s">
        <v>186</v>
      </c>
      <c r="H561" s="38" t="s">
        <v>131</v>
      </c>
      <c r="I561" s="38" t="s">
        <v>187</v>
      </c>
      <c r="J561" s="41" t="s">
        <v>133</v>
      </c>
    </row>
    <row r="562" spans="1:10">
      <c r="A562" s="38" t="s">
        <v>105</v>
      </c>
      <c r="B562" s="38">
        <v>29</v>
      </c>
      <c r="C562" s="38">
        <v>1</v>
      </c>
      <c r="D562" s="38">
        <v>2</v>
      </c>
      <c r="E562" s="38">
        <v>1</v>
      </c>
      <c r="F562" s="38">
        <v>1.1000000000000001</v>
      </c>
      <c r="G562" s="38" t="s">
        <v>188</v>
      </c>
      <c r="H562" s="38" t="s">
        <v>131</v>
      </c>
      <c r="I562" s="38" t="s">
        <v>189</v>
      </c>
      <c r="J562" s="41" t="s">
        <v>133</v>
      </c>
    </row>
    <row r="563" spans="1:10">
      <c r="A563" s="38" t="s">
        <v>105</v>
      </c>
      <c r="B563" s="38">
        <v>29</v>
      </c>
      <c r="C563" s="38">
        <v>2</v>
      </c>
      <c r="D563" s="38">
        <v>34</v>
      </c>
      <c r="E563" s="38">
        <v>14</v>
      </c>
      <c r="F563" s="38">
        <v>1.1000000000000001</v>
      </c>
      <c r="G563" s="38" t="s">
        <v>188</v>
      </c>
      <c r="H563" s="38" t="s">
        <v>131</v>
      </c>
      <c r="I563" s="38" t="s">
        <v>189</v>
      </c>
      <c r="J563" s="41" t="s">
        <v>133</v>
      </c>
    </row>
    <row r="564" spans="1:10">
      <c r="A564" s="38" t="s">
        <v>105</v>
      </c>
      <c r="B564" s="38">
        <v>30</v>
      </c>
      <c r="C564" s="38">
        <v>1</v>
      </c>
      <c r="D564" s="38">
        <v>2</v>
      </c>
      <c r="E564" s="38">
        <v>7</v>
      </c>
      <c r="F564" s="38">
        <v>1.1000000000000001</v>
      </c>
      <c r="G564" s="38" t="s">
        <v>190</v>
      </c>
      <c r="H564" s="38" t="s">
        <v>131</v>
      </c>
      <c r="I564" s="38" t="s">
        <v>191</v>
      </c>
      <c r="J564" s="41" t="s">
        <v>133</v>
      </c>
    </row>
    <row r="565" spans="1:10">
      <c r="A565" s="38" t="s">
        <v>105</v>
      </c>
      <c r="B565" s="38">
        <v>30</v>
      </c>
      <c r="C565" s="38">
        <v>2</v>
      </c>
      <c r="D565" s="38">
        <v>26</v>
      </c>
      <c r="E565" s="38">
        <v>13</v>
      </c>
      <c r="F565" s="38">
        <v>1.1000000000000001</v>
      </c>
      <c r="G565" s="38" t="s">
        <v>190</v>
      </c>
      <c r="H565" s="38" t="s">
        <v>131</v>
      </c>
      <c r="I565" s="38" t="s">
        <v>191</v>
      </c>
      <c r="J565" s="41" t="s">
        <v>133</v>
      </c>
    </row>
    <row r="566" spans="1:10">
      <c r="A566" s="38" t="s">
        <v>105</v>
      </c>
      <c r="B566" s="38">
        <v>31</v>
      </c>
      <c r="C566" s="38">
        <v>1</v>
      </c>
      <c r="D566" s="38">
        <v>2</v>
      </c>
      <c r="E566" s="38">
        <v>3</v>
      </c>
      <c r="F566" s="38">
        <v>1.1000000000000001</v>
      </c>
      <c r="G566" s="38" t="s">
        <v>192</v>
      </c>
      <c r="H566" s="38" t="s">
        <v>131</v>
      </c>
      <c r="I566" s="38" t="s">
        <v>193</v>
      </c>
      <c r="J566" s="41" t="s">
        <v>133</v>
      </c>
    </row>
    <row r="567" spans="1:10">
      <c r="A567" s="38" t="s">
        <v>105</v>
      </c>
      <c r="B567" s="38">
        <v>31</v>
      </c>
      <c r="C567" s="38">
        <v>2</v>
      </c>
      <c r="D567" s="38">
        <v>29</v>
      </c>
      <c r="E567" s="38">
        <v>12</v>
      </c>
      <c r="F567" s="38">
        <v>1.1000000000000001</v>
      </c>
      <c r="G567" s="38" t="s">
        <v>192</v>
      </c>
      <c r="H567" s="38" t="s">
        <v>131</v>
      </c>
      <c r="I567" s="38" t="s">
        <v>193</v>
      </c>
      <c r="J567" s="41" t="s">
        <v>133</v>
      </c>
    </row>
    <row r="568" spans="1:10">
      <c r="A568" s="38" t="s">
        <v>105</v>
      </c>
      <c r="B568" s="38">
        <v>32</v>
      </c>
      <c r="C568" s="38">
        <v>1</v>
      </c>
      <c r="D568" s="38">
        <v>2</v>
      </c>
      <c r="E568" s="38">
        <v>16</v>
      </c>
      <c r="F568" s="38">
        <v>1.1000000000000001</v>
      </c>
      <c r="G568" s="38" t="s">
        <v>194</v>
      </c>
      <c r="H568" s="38" t="s">
        <v>131</v>
      </c>
      <c r="I568" s="38" t="s">
        <v>195</v>
      </c>
      <c r="J568" s="41" t="s">
        <v>133</v>
      </c>
    </row>
    <row r="569" spans="1:10">
      <c r="A569" s="38" t="s">
        <v>105</v>
      </c>
      <c r="B569" s="38">
        <v>32</v>
      </c>
      <c r="C569" s="38">
        <v>2</v>
      </c>
      <c r="D569" s="38">
        <v>21</v>
      </c>
      <c r="E569" s="38">
        <v>16</v>
      </c>
      <c r="F569" s="38">
        <v>1.1000000000000001</v>
      </c>
      <c r="G569" s="38" t="s">
        <v>194</v>
      </c>
      <c r="H569" s="38" t="s">
        <v>131</v>
      </c>
      <c r="I569" s="38" t="s">
        <v>195</v>
      </c>
      <c r="J569" s="41" t="s">
        <v>133</v>
      </c>
    </row>
    <row r="570" spans="1:10">
      <c r="A570" s="38" t="s">
        <v>105</v>
      </c>
      <c r="B570" s="38">
        <v>33</v>
      </c>
      <c r="C570" s="38">
        <v>1</v>
      </c>
      <c r="D570" s="38">
        <v>2</v>
      </c>
      <c r="E570" s="38">
        <v>2</v>
      </c>
      <c r="F570" s="38">
        <v>1.1000000000000001</v>
      </c>
      <c r="G570" s="38" t="s">
        <v>196</v>
      </c>
      <c r="H570" s="38" t="s">
        <v>131</v>
      </c>
      <c r="I570" s="38" t="s">
        <v>197</v>
      </c>
      <c r="J570" s="41" t="s">
        <v>133</v>
      </c>
    </row>
    <row r="571" spans="1:10">
      <c r="A571" s="38" t="s">
        <v>105</v>
      </c>
      <c r="B571" s="38">
        <v>33</v>
      </c>
      <c r="C571" s="38">
        <v>2</v>
      </c>
      <c r="D571" s="38">
        <v>35</v>
      </c>
      <c r="E571" s="38">
        <v>7</v>
      </c>
      <c r="F571" s="38">
        <v>1.1000000000000001</v>
      </c>
      <c r="G571" s="38" t="s">
        <v>196</v>
      </c>
      <c r="H571" s="38" t="s">
        <v>131</v>
      </c>
      <c r="I571" s="38" t="s">
        <v>197</v>
      </c>
      <c r="J571" s="41" t="s">
        <v>133</v>
      </c>
    </row>
    <row r="572" spans="1:10">
      <c r="A572" s="38" t="s">
        <v>105</v>
      </c>
      <c r="B572" s="38">
        <v>34</v>
      </c>
      <c r="C572" s="38">
        <v>1</v>
      </c>
      <c r="D572" s="38">
        <v>2</v>
      </c>
      <c r="E572" s="38">
        <v>9</v>
      </c>
      <c r="F572" s="38">
        <v>1.1000000000000001</v>
      </c>
      <c r="G572" s="38" t="s">
        <v>198</v>
      </c>
      <c r="H572" s="38" t="s">
        <v>131</v>
      </c>
      <c r="I572" s="38" t="s">
        <v>199</v>
      </c>
      <c r="J572" s="41" t="s">
        <v>133</v>
      </c>
    </row>
    <row r="573" spans="1:10">
      <c r="A573" s="38" t="s">
        <v>105</v>
      </c>
      <c r="B573" s="38">
        <v>34</v>
      </c>
      <c r="C573" s="38">
        <v>2</v>
      </c>
      <c r="D573" s="38">
        <v>32</v>
      </c>
      <c r="E573" s="38">
        <v>8</v>
      </c>
      <c r="F573" s="38">
        <v>1.1000000000000001</v>
      </c>
      <c r="G573" s="38" t="s">
        <v>198</v>
      </c>
      <c r="H573" s="38" t="s">
        <v>131</v>
      </c>
      <c r="I573" s="38" t="s">
        <v>199</v>
      </c>
      <c r="J573" s="41" t="s">
        <v>133</v>
      </c>
    </row>
    <row r="574" spans="1:10">
      <c r="A574" s="38" t="s">
        <v>105</v>
      </c>
      <c r="B574" s="38">
        <v>35</v>
      </c>
      <c r="C574" s="38">
        <v>1</v>
      </c>
      <c r="D574" s="38">
        <v>2</v>
      </c>
      <c r="E574" s="38">
        <v>11</v>
      </c>
      <c r="F574" s="38">
        <v>1.1000000000000001</v>
      </c>
      <c r="G574" s="38" t="s">
        <v>200</v>
      </c>
      <c r="H574" s="38" t="s">
        <v>131</v>
      </c>
      <c r="I574" s="38" t="s">
        <v>201</v>
      </c>
      <c r="J574" s="41" t="s">
        <v>133</v>
      </c>
    </row>
    <row r="575" spans="1:10">
      <c r="A575" s="38" t="s">
        <v>105</v>
      </c>
      <c r="B575" s="38">
        <v>35</v>
      </c>
      <c r="C575" s="38">
        <v>2</v>
      </c>
      <c r="D575" s="38">
        <v>27</v>
      </c>
      <c r="E575" s="38">
        <v>2</v>
      </c>
      <c r="F575" s="38">
        <v>1.1000000000000001</v>
      </c>
      <c r="G575" s="38" t="s">
        <v>200</v>
      </c>
      <c r="H575" s="38" t="s">
        <v>131</v>
      </c>
      <c r="I575" s="38" t="s">
        <v>201</v>
      </c>
      <c r="J575" s="41" t="s">
        <v>133</v>
      </c>
    </row>
    <row r="576" spans="1:10">
      <c r="A576" s="38" t="s">
        <v>105</v>
      </c>
      <c r="B576" s="38">
        <v>36</v>
      </c>
      <c r="C576" s="38">
        <v>1</v>
      </c>
      <c r="D576" s="38">
        <v>2</v>
      </c>
      <c r="E576" s="38">
        <v>4</v>
      </c>
      <c r="F576" s="38">
        <v>1.1000000000000001</v>
      </c>
      <c r="G576" s="38" t="s">
        <v>202</v>
      </c>
      <c r="H576" s="38" t="s">
        <v>131</v>
      </c>
      <c r="I576" s="38" t="s">
        <v>203</v>
      </c>
      <c r="J576" s="41" t="s">
        <v>133</v>
      </c>
    </row>
    <row r="577" spans="1:10">
      <c r="A577" s="38" t="s">
        <v>105</v>
      </c>
      <c r="B577" s="38">
        <v>36</v>
      </c>
      <c r="C577" s="38">
        <v>2</v>
      </c>
      <c r="D577" s="38">
        <v>36</v>
      </c>
      <c r="E577" s="38">
        <v>13</v>
      </c>
      <c r="F577" s="38">
        <v>1.1000000000000001</v>
      </c>
      <c r="G577" s="38" t="s">
        <v>202</v>
      </c>
      <c r="H577" s="38" t="s">
        <v>131</v>
      </c>
      <c r="I577" s="38" t="s">
        <v>203</v>
      </c>
      <c r="J577" s="41" t="s">
        <v>133</v>
      </c>
    </row>
    <row r="578" spans="1:10">
      <c r="A578" s="38" t="s">
        <v>105</v>
      </c>
      <c r="B578" s="38">
        <v>37</v>
      </c>
      <c r="C578" s="38">
        <v>1</v>
      </c>
      <c r="D578" s="38">
        <v>3</v>
      </c>
      <c r="E578" s="38">
        <v>4</v>
      </c>
      <c r="F578" s="38">
        <v>1.1000000000000001</v>
      </c>
      <c r="G578" s="38" t="s">
        <v>204</v>
      </c>
      <c r="H578" s="38" t="s">
        <v>131</v>
      </c>
      <c r="I578" s="38" t="s">
        <v>205</v>
      </c>
      <c r="J578" s="41" t="s">
        <v>133</v>
      </c>
    </row>
    <row r="579" spans="1:10">
      <c r="A579" s="38" t="s">
        <v>105</v>
      </c>
      <c r="B579" s="38">
        <v>37</v>
      </c>
      <c r="C579" s="38">
        <v>2</v>
      </c>
      <c r="D579" s="38">
        <v>36</v>
      </c>
      <c r="E579" s="38">
        <v>16</v>
      </c>
      <c r="F579" s="38">
        <v>1.1000000000000001</v>
      </c>
      <c r="G579" s="38" t="s">
        <v>204</v>
      </c>
      <c r="H579" s="38" t="s">
        <v>131</v>
      </c>
      <c r="I579" s="38" t="s">
        <v>205</v>
      </c>
      <c r="J579" s="41" t="s">
        <v>133</v>
      </c>
    </row>
    <row r="580" spans="1:10">
      <c r="A580" s="38" t="s">
        <v>105</v>
      </c>
      <c r="B580" s="38">
        <v>38</v>
      </c>
      <c r="C580" s="38">
        <v>1</v>
      </c>
      <c r="D580" s="38">
        <v>3</v>
      </c>
      <c r="E580" s="38">
        <v>12</v>
      </c>
      <c r="F580" s="38">
        <v>1.1000000000000001</v>
      </c>
      <c r="G580" s="38" t="s">
        <v>206</v>
      </c>
      <c r="H580" s="38" t="s">
        <v>131</v>
      </c>
      <c r="I580" s="38" t="s">
        <v>207</v>
      </c>
      <c r="J580" s="41" t="s">
        <v>133</v>
      </c>
    </row>
    <row r="581" spans="1:10">
      <c r="A581" s="38" t="s">
        <v>105</v>
      </c>
      <c r="B581" s="38">
        <v>38</v>
      </c>
      <c r="C581" s="38">
        <v>2</v>
      </c>
      <c r="D581" s="38">
        <v>24</v>
      </c>
      <c r="E581" s="38">
        <v>15</v>
      </c>
      <c r="F581" s="38">
        <v>1.1000000000000001</v>
      </c>
      <c r="G581" s="38" t="s">
        <v>206</v>
      </c>
      <c r="H581" s="38" t="s">
        <v>131</v>
      </c>
      <c r="I581" s="38" t="s">
        <v>207</v>
      </c>
      <c r="J581" s="41" t="s">
        <v>133</v>
      </c>
    </row>
    <row r="582" spans="1:10">
      <c r="A582" s="38" t="s">
        <v>105</v>
      </c>
      <c r="B582" s="38">
        <v>39</v>
      </c>
      <c r="C582" s="38">
        <v>1</v>
      </c>
      <c r="D582" s="38">
        <v>3</v>
      </c>
      <c r="E582" s="38">
        <v>9</v>
      </c>
      <c r="F582" s="38">
        <v>1.1000000000000001</v>
      </c>
      <c r="G582" s="38" t="s">
        <v>208</v>
      </c>
      <c r="H582" s="38" t="s">
        <v>131</v>
      </c>
      <c r="I582" s="38" t="s">
        <v>209</v>
      </c>
      <c r="J582" s="41" t="s">
        <v>133</v>
      </c>
    </row>
    <row r="583" spans="1:10">
      <c r="A583" s="38" t="s">
        <v>105</v>
      </c>
      <c r="B583" s="38">
        <v>39</v>
      </c>
      <c r="C583" s="38">
        <v>2</v>
      </c>
      <c r="D583" s="38">
        <v>29</v>
      </c>
      <c r="E583" s="38">
        <v>6</v>
      </c>
      <c r="F583" s="38">
        <v>1.1000000000000001</v>
      </c>
      <c r="G583" s="38" t="s">
        <v>208</v>
      </c>
      <c r="H583" s="38" t="s">
        <v>131</v>
      </c>
      <c r="I583" s="38" t="s">
        <v>209</v>
      </c>
      <c r="J583" s="41" t="s">
        <v>133</v>
      </c>
    </row>
    <row r="584" spans="1:10">
      <c r="A584" s="38" t="s">
        <v>105</v>
      </c>
      <c r="B584" s="38">
        <v>40</v>
      </c>
      <c r="C584" s="38">
        <v>1</v>
      </c>
      <c r="D584" s="38">
        <v>3</v>
      </c>
      <c r="E584" s="38">
        <v>13</v>
      </c>
      <c r="F584" s="38">
        <v>1.1000000000000001</v>
      </c>
      <c r="G584" s="38" t="s">
        <v>210</v>
      </c>
      <c r="H584" s="38" t="s">
        <v>131</v>
      </c>
      <c r="I584" s="38" t="s">
        <v>211</v>
      </c>
      <c r="J584" s="41" t="s">
        <v>133</v>
      </c>
    </row>
    <row r="585" spans="1:10">
      <c r="A585" s="38" t="s">
        <v>105</v>
      </c>
      <c r="B585" s="38">
        <v>40</v>
      </c>
      <c r="C585" s="38">
        <v>2</v>
      </c>
      <c r="D585" s="38">
        <v>34</v>
      </c>
      <c r="E585" s="38">
        <v>17</v>
      </c>
      <c r="F585" s="38">
        <v>1.1000000000000001</v>
      </c>
      <c r="G585" s="38" t="s">
        <v>210</v>
      </c>
      <c r="H585" s="38" t="s">
        <v>131</v>
      </c>
      <c r="I585" s="38" t="s">
        <v>211</v>
      </c>
      <c r="J585" s="41" t="s">
        <v>133</v>
      </c>
    </row>
    <row r="586" spans="1:10">
      <c r="A586" s="38" t="s">
        <v>105</v>
      </c>
      <c r="B586" s="38">
        <v>41</v>
      </c>
      <c r="C586" s="38">
        <v>1</v>
      </c>
      <c r="D586" s="38">
        <v>3</v>
      </c>
      <c r="E586" s="38">
        <v>17</v>
      </c>
      <c r="F586" s="38">
        <v>1.1000000000000001</v>
      </c>
      <c r="G586" s="38" t="s">
        <v>212</v>
      </c>
      <c r="H586" s="38" t="s">
        <v>131</v>
      </c>
      <c r="I586" s="38" t="s">
        <v>213</v>
      </c>
      <c r="J586" s="41" t="s">
        <v>133</v>
      </c>
    </row>
    <row r="587" spans="1:10">
      <c r="A587" s="38" t="s">
        <v>105</v>
      </c>
      <c r="B587" s="38">
        <v>41</v>
      </c>
      <c r="C587" s="38">
        <v>2</v>
      </c>
      <c r="D587" s="38">
        <v>35</v>
      </c>
      <c r="E587" s="38">
        <v>14</v>
      </c>
      <c r="F587" s="38">
        <v>1.1000000000000001</v>
      </c>
      <c r="G587" s="38" t="s">
        <v>212</v>
      </c>
      <c r="H587" s="38" t="s">
        <v>131</v>
      </c>
      <c r="I587" s="38" t="s">
        <v>213</v>
      </c>
      <c r="J587" s="41" t="s">
        <v>133</v>
      </c>
    </row>
    <row r="588" spans="1:10">
      <c r="A588" s="38" t="s">
        <v>105</v>
      </c>
      <c r="B588" s="38">
        <v>42</v>
      </c>
      <c r="C588" s="38">
        <v>1</v>
      </c>
      <c r="D588" s="38">
        <v>3</v>
      </c>
      <c r="E588" s="38">
        <v>11</v>
      </c>
      <c r="F588" s="38">
        <v>1.1000000000000001</v>
      </c>
      <c r="G588" s="38" t="s">
        <v>214</v>
      </c>
      <c r="H588" s="38" t="s">
        <v>131</v>
      </c>
      <c r="I588" s="38" t="s">
        <v>215</v>
      </c>
      <c r="J588" s="41" t="s">
        <v>133</v>
      </c>
    </row>
    <row r="589" spans="1:10">
      <c r="A589" s="38" t="s">
        <v>105</v>
      </c>
      <c r="B589" s="38">
        <v>42</v>
      </c>
      <c r="C589" s="38">
        <v>2</v>
      </c>
      <c r="D589" s="38">
        <v>20</v>
      </c>
      <c r="E589" s="38">
        <v>1</v>
      </c>
      <c r="F589" s="38">
        <v>1.1000000000000001</v>
      </c>
      <c r="G589" s="38" t="s">
        <v>214</v>
      </c>
      <c r="H589" s="38" t="s">
        <v>131</v>
      </c>
      <c r="I589" s="38" t="s">
        <v>215</v>
      </c>
      <c r="J589" s="41" t="s">
        <v>133</v>
      </c>
    </row>
    <row r="590" spans="1:10">
      <c r="A590" s="38" t="s">
        <v>105</v>
      </c>
      <c r="B590" s="38">
        <v>43</v>
      </c>
      <c r="C590" s="38">
        <v>1</v>
      </c>
      <c r="D590" s="38">
        <v>3</v>
      </c>
      <c r="E590" s="38">
        <v>6</v>
      </c>
      <c r="F590" s="38">
        <v>1.1000000000000001</v>
      </c>
      <c r="G590" s="38" t="s">
        <v>216</v>
      </c>
      <c r="H590" s="38" t="s">
        <v>131</v>
      </c>
      <c r="I590" s="38" t="s">
        <v>217</v>
      </c>
      <c r="J590" s="41" t="s">
        <v>133</v>
      </c>
    </row>
    <row r="591" spans="1:10">
      <c r="A591" s="38" t="s">
        <v>105</v>
      </c>
      <c r="B591" s="38">
        <v>43</v>
      </c>
      <c r="C591" s="38">
        <v>2</v>
      </c>
      <c r="D591" s="38">
        <v>25</v>
      </c>
      <c r="E591" s="38">
        <v>16</v>
      </c>
      <c r="F591" s="38">
        <v>1.1000000000000001</v>
      </c>
      <c r="G591" s="38" t="s">
        <v>216</v>
      </c>
      <c r="H591" s="38" t="s">
        <v>131</v>
      </c>
      <c r="I591" s="38" t="s">
        <v>217</v>
      </c>
      <c r="J591" s="41" t="s">
        <v>133</v>
      </c>
    </row>
    <row r="592" spans="1:10">
      <c r="A592" s="38" t="s">
        <v>105</v>
      </c>
      <c r="B592" s="38">
        <v>44</v>
      </c>
      <c r="C592" s="38">
        <v>1</v>
      </c>
      <c r="D592" s="38">
        <v>3</v>
      </c>
      <c r="E592" s="38">
        <v>18</v>
      </c>
      <c r="F592" s="38">
        <v>1.1000000000000001</v>
      </c>
      <c r="G592" s="38" t="s">
        <v>218</v>
      </c>
      <c r="H592" s="38" t="s">
        <v>131</v>
      </c>
      <c r="I592" s="38" t="s">
        <v>219</v>
      </c>
      <c r="J592" s="41" t="s">
        <v>133</v>
      </c>
    </row>
    <row r="593" spans="1:10">
      <c r="A593" s="38" t="s">
        <v>105</v>
      </c>
      <c r="B593" s="38">
        <v>44</v>
      </c>
      <c r="C593" s="38">
        <v>2</v>
      </c>
      <c r="D593" s="38">
        <v>23</v>
      </c>
      <c r="E593" s="38">
        <v>13</v>
      </c>
      <c r="F593" s="38">
        <v>1.1000000000000001</v>
      </c>
      <c r="G593" s="38" t="s">
        <v>218</v>
      </c>
      <c r="H593" s="38" t="s">
        <v>131</v>
      </c>
      <c r="I593" s="38" t="s">
        <v>219</v>
      </c>
      <c r="J593" s="41" t="s">
        <v>133</v>
      </c>
    </row>
    <row r="594" spans="1:10">
      <c r="A594" s="38" t="s">
        <v>105</v>
      </c>
      <c r="B594" s="38">
        <v>45</v>
      </c>
      <c r="C594" s="38">
        <v>1</v>
      </c>
      <c r="D594" s="38">
        <v>3</v>
      </c>
      <c r="E594" s="38">
        <v>2</v>
      </c>
      <c r="F594" s="38">
        <v>1.1000000000000001</v>
      </c>
      <c r="G594" s="38" t="s">
        <v>220</v>
      </c>
      <c r="H594" s="38" t="s">
        <v>131</v>
      </c>
      <c r="I594" s="38" t="s">
        <v>221</v>
      </c>
      <c r="J594" s="41" t="s">
        <v>133</v>
      </c>
    </row>
    <row r="595" spans="1:10">
      <c r="A595" s="38" t="s">
        <v>105</v>
      </c>
      <c r="B595" s="38">
        <v>45</v>
      </c>
      <c r="C595" s="38">
        <v>2</v>
      </c>
      <c r="D595" s="38">
        <v>31</v>
      </c>
      <c r="E595" s="38">
        <v>1</v>
      </c>
      <c r="F595" s="38">
        <v>1.1000000000000001</v>
      </c>
      <c r="G595" s="38" t="s">
        <v>220</v>
      </c>
      <c r="H595" s="38" t="s">
        <v>131</v>
      </c>
      <c r="I595" s="38" t="s">
        <v>221</v>
      </c>
      <c r="J595" s="41" t="s">
        <v>133</v>
      </c>
    </row>
    <row r="596" spans="1:10">
      <c r="A596" s="38" t="s">
        <v>105</v>
      </c>
      <c r="B596" s="38">
        <v>46</v>
      </c>
      <c r="C596" s="38">
        <v>1</v>
      </c>
      <c r="D596" s="38">
        <v>3</v>
      </c>
      <c r="E596" s="38">
        <v>15</v>
      </c>
      <c r="F596" s="38">
        <v>1.1000000000000001</v>
      </c>
      <c r="G596" s="38" t="s">
        <v>222</v>
      </c>
      <c r="H596" s="38" t="s">
        <v>131</v>
      </c>
      <c r="I596" s="38" t="s">
        <v>223</v>
      </c>
      <c r="J596" s="41" t="s">
        <v>133</v>
      </c>
    </row>
    <row r="597" spans="1:10">
      <c r="A597" s="38" t="s">
        <v>105</v>
      </c>
      <c r="B597" s="38">
        <v>46</v>
      </c>
      <c r="C597" s="38">
        <v>2</v>
      </c>
      <c r="D597" s="38">
        <v>30</v>
      </c>
      <c r="E597" s="38">
        <v>3</v>
      </c>
      <c r="F597" s="38">
        <v>1.1000000000000001</v>
      </c>
      <c r="G597" s="38" t="s">
        <v>222</v>
      </c>
      <c r="H597" s="38" t="s">
        <v>131</v>
      </c>
      <c r="I597" s="38" t="s">
        <v>223</v>
      </c>
      <c r="J597" s="41" t="s">
        <v>133</v>
      </c>
    </row>
    <row r="598" spans="1:10">
      <c r="A598" s="38" t="s">
        <v>105</v>
      </c>
      <c r="B598" s="38">
        <v>47</v>
      </c>
      <c r="C598" s="38">
        <v>1</v>
      </c>
      <c r="D598" s="38">
        <v>3</v>
      </c>
      <c r="E598" s="38">
        <v>7</v>
      </c>
      <c r="F598" s="38">
        <v>1.1000000000000001</v>
      </c>
      <c r="G598" s="38" t="s">
        <v>224</v>
      </c>
      <c r="H598" s="38" t="s">
        <v>131</v>
      </c>
      <c r="I598" s="38" t="s">
        <v>225</v>
      </c>
      <c r="J598" s="41" t="s">
        <v>133</v>
      </c>
    </row>
    <row r="599" spans="1:10">
      <c r="A599" s="38" t="s">
        <v>105</v>
      </c>
      <c r="B599" s="38">
        <v>47</v>
      </c>
      <c r="C599" s="38">
        <v>2</v>
      </c>
      <c r="D599" s="38">
        <v>28</v>
      </c>
      <c r="E599" s="38">
        <v>11</v>
      </c>
      <c r="F599" s="38">
        <v>1.1000000000000001</v>
      </c>
      <c r="G599" s="38" t="s">
        <v>224</v>
      </c>
      <c r="H599" s="38" t="s">
        <v>131</v>
      </c>
      <c r="I599" s="38" t="s">
        <v>225</v>
      </c>
      <c r="J599" s="41" t="s">
        <v>133</v>
      </c>
    </row>
    <row r="600" spans="1:10">
      <c r="A600" s="38" t="s">
        <v>105</v>
      </c>
      <c r="B600" s="38">
        <v>48</v>
      </c>
      <c r="C600" s="38">
        <v>1</v>
      </c>
      <c r="D600" s="38">
        <v>3</v>
      </c>
      <c r="E600" s="38">
        <v>8</v>
      </c>
      <c r="F600" s="38">
        <v>1.1000000000000001</v>
      </c>
      <c r="G600" s="38" t="s">
        <v>226</v>
      </c>
      <c r="H600" s="38" t="s">
        <v>131</v>
      </c>
      <c r="I600" s="38" t="s">
        <v>227</v>
      </c>
      <c r="J600" s="41" t="s">
        <v>133</v>
      </c>
    </row>
    <row r="601" spans="1:10">
      <c r="A601" s="38" t="s">
        <v>105</v>
      </c>
      <c r="B601" s="38">
        <v>48</v>
      </c>
      <c r="C601" s="38">
        <v>2</v>
      </c>
      <c r="D601" s="38">
        <v>27</v>
      </c>
      <c r="E601" s="38">
        <v>10</v>
      </c>
      <c r="F601" s="38">
        <v>1.1000000000000001</v>
      </c>
      <c r="G601" s="38" t="s">
        <v>226</v>
      </c>
      <c r="H601" s="38" t="s">
        <v>131</v>
      </c>
      <c r="I601" s="38" t="s">
        <v>227</v>
      </c>
      <c r="J601" s="41" t="s">
        <v>133</v>
      </c>
    </row>
    <row r="602" spans="1:10">
      <c r="A602" s="38" t="s">
        <v>105</v>
      </c>
      <c r="B602" s="38">
        <v>49</v>
      </c>
      <c r="C602" s="38">
        <v>1</v>
      </c>
      <c r="D602" s="38">
        <v>3</v>
      </c>
      <c r="E602" s="38">
        <v>1</v>
      </c>
      <c r="F602" s="38">
        <v>1.1000000000000001</v>
      </c>
      <c r="G602" s="38" t="s">
        <v>228</v>
      </c>
      <c r="H602" s="38" t="s">
        <v>131</v>
      </c>
      <c r="I602" s="38" t="s">
        <v>229</v>
      </c>
      <c r="J602" s="41" t="s">
        <v>133</v>
      </c>
    </row>
    <row r="603" spans="1:10">
      <c r="A603" s="38" t="s">
        <v>105</v>
      </c>
      <c r="B603" s="38">
        <v>49</v>
      </c>
      <c r="C603" s="38">
        <v>2</v>
      </c>
      <c r="D603" s="38">
        <v>32</v>
      </c>
      <c r="E603" s="38">
        <v>15</v>
      </c>
      <c r="F603" s="38">
        <v>1.1000000000000001</v>
      </c>
      <c r="G603" s="38" t="s">
        <v>228</v>
      </c>
      <c r="H603" s="38" t="s">
        <v>131</v>
      </c>
      <c r="I603" s="38" t="s">
        <v>229</v>
      </c>
      <c r="J603" s="41" t="s">
        <v>133</v>
      </c>
    </row>
    <row r="604" spans="1:10">
      <c r="A604" s="38" t="s">
        <v>105</v>
      </c>
      <c r="B604" s="38">
        <v>50</v>
      </c>
      <c r="C604" s="38">
        <v>1</v>
      </c>
      <c r="D604" s="38">
        <v>3</v>
      </c>
      <c r="E604" s="38">
        <v>16</v>
      </c>
      <c r="F604" s="38">
        <v>1.1000000000000001</v>
      </c>
      <c r="G604" s="38" t="s">
        <v>230</v>
      </c>
      <c r="H604" s="38" t="s">
        <v>131</v>
      </c>
      <c r="I604" s="38" t="s">
        <v>231</v>
      </c>
      <c r="J604" s="41" t="s">
        <v>133</v>
      </c>
    </row>
    <row r="605" spans="1:10">
      <c r="A605" s="38" t="s">
        <v>105</v>
      </c>
      <c r="B605" s="38">
        <v>50</v>
      </c>
      <c r="C605" s="38">
        <v>2</v>
      </c>
      <c r="D605" s="38">
        <v>21</v>
      </c>
      <c r="E605" s="38">
        <v>12</v>
      </c>
      <c r="F605" s="38">
        <v>1.1000000000000001</v>
      </c>
      <c r="G605" s="38" t="s">
        <v>230</v>
      </c>
      <c r="H605" s="38" t="s">
        <v>131</v>
      </c>
      <c r="I605" s="38" t="s">
        <v>231</v>
      </c>
      <c r="J605" s="41" t="s">
        <v>133</v>
      </c>
    </row>
    <row r="606" spans="1:10">
      <c r="A606" s="38" t="s">
        <v>105</v>
      </c>
      <c r="B606" s="38">
        <v>51</v>
      </c>
      <c r="C606" s="38">
        <v>1</v>
      </c>
      <c r="D606" s="38">
        <v>3</v>
      </c>
      <c r="E606" s="38">
        <v>10</v>
      </c>
      <c r="F606" s="38">
        <v>1.1000000000000001</v>
      </c>
      <c r="G606" s="38" t="s">
        <v>232</v>
      </c>
      <c r="H606" s="38" t="s">
        <v>131</v>
      </c>
      <c r="I606" s="38" t="s">
        <v>233</v>
      </c>
      <c r="J606" s="41" t="s">
        <v>133</v>
      </c>
    </row>
    <row r="607" spans="1:10">
      <c r="A607" s="38" t="s">
        <v>105</v>
      </c>
      <c r="B607" s="38">
        <v>51</v>
      </c>
      <c r="C607" s="38">
        <v>2</v>
      </c>
      <c r="D607" s="38">
        <v>22</v>
      </c>
      <c r="E607">
        <v>3</v>
      </c>
      <c r="F607" s="38">
        <v>1.1000000000000001</v>
      </c>
      <c r="G607" s="38" t="s">
        <v>232</v>
      </c>
      <c r="H607" s="38" t="s">
        <v>131</v>
      </c>
      <c r="I607" s="38" t="s">
        <v>233</v>
      </c>
      <c r="J607" s="41" t="s">
        <v>133</v>
      </c>
    </row>
    <row r="608" spans="1:10">
      <c r="A608" s="38" t="s">
        <v>105</v>
      </c>
      <c r="B608" s="38">
        <v>52</v>
      </c>
      <c r="C608" s="38">
        <v>1</v>
      </c>
      <c r="D608" s="38">
        <v>3</v>
      </c>
      <c r="E608" s="38">
        <v>3</v>
      </c>
      <c r="F608" s="38">
        <v>1.1000000000000001</v>
      </c>
      <c r="G608" s="38" t="s">
        <v>234</v>
      </c>
      <c r="H608" s="38" t="s">
        <v>131</v>
      </c>
      <c r="I608" s="38" t="s">
        <v>235</v>
      </c>
      <c r="J608" s="41" t="s">
        <v>133</v>
      </c>
    </row>
    <row r="609" spans="1:10">
      <c r="A609" s="38" t="s">
        <v>105</v>
      </c>
      <c r="B609" s="38">
        <v>52</v>
      </c>
      <c r="C609" s="38">
        <v>2</v>
      </c>
      <c r="D609" s="38">
        <v>26</v>
      </c>
      <c r="E609" s="38">
        <v>15</v>
      </c>
      <c r="F609" s="38">
        <v>1.1000000000000001</v>
      </c>
      <c r="G609" s="38" t="s">
        <v>234</v>
      </c>
      <c r="H609" s="38" t="s">
        <v>131</v>
      </c>
      <c r="I609" s="38" t="s">
        <v>235</v>
      </c>
      <c r="J609" s="41" t="s">
        <v>133</v>
      </c>
    </row>
    <row r="610" spans="1:10">
      <c r="A610" s="38" t="s">
        <v>105</v>
      </c>
      <c r="B610" s="38">
        <v>53</v>
      </c>
      <c r="C610" s="38">
        <v>1</v>
      </c>
      <c r="D610" s="38">
        <v>3</v>
      </c>
      <c r="E610" s="38">
        <v>5</v>
      </c>
      <c r="F610" s="38">
        <v>1.1000000000000001</v>
      </c>
      <c r="G610" s="38" t="s">
        <v>236</v>
      </c>
      <c r="H610" s="38" t="s">
        <v>131</v>
      </c>
      <c r="I610" s="38" t="s">
        <v>237</v>
      </c>
      <c r="J610" s="41" t="s">
        <v>133</v>
      </c>
    </row>
    <row r="611" spans="1:10">
      <c r="A611" s="38" t="s">
        <v>105</v>
      </c>
      <c r="B611" s="38">
        <v>53</v>
      </c>
      <c r="C611" s="38">
        <v>2</v>
      </c>
      <c r="D611" s="38">
        <v>19</v>
      </c>
      <c r="E611" s="38">
        <v>13</v>
      </c>
      <c r="F611" s="38">
        <v>1.1000000000000001</v>
      </c>
      <c r="G611" s="38" t="s">
        <v>236</v>
      </c>
      <c r="H611" s="38" t="s">
        <v>131</v>
      </c>
      <c r="I611" s="38" t="s">
        <v>237</v>
      </c>
      <c r="J611" s="41" t="s">
        <v>133</v>
      </c>
    </row>
    <row r="612" spans="1:10">
      <c r="A612" s="38" t="s">
        <v>105</v>
      </c>
      <c r="B612" s="38">
        <v>54</v>
      </c>
      <c r="C612" s="38">
        <v>1</v>
      </c>
      <c r="D612" s="38">
        <v>3</v>
      </c>
      <c r="E612" s="38">
        <v>14</v>
      </c>
      <c r="F612" s="38">
        <v>1.1000000000000001</v>
      </c>
      <c r="G612" s="38" t="s">
        <v>238</v>
      </c>
      <c r="H612" s="38" t="s">
        <v>131</v>
      </c>
      <c r="I612" s="38" t="s">
        <v>239</v>
      </c>
      <c r="J612" s="41" t="s">
        <v>133</v>
      </c>
    </row>
    <row r="613" spans="1:10">
      <c r="A613" s="38" t="s">
        <v>105</v>
      </c>
      <c r="B613" s="38">
        <v>54</v>
      </c>
      <c r="C613" s="38">
        <v>2</v>
      </c>
      <c r="D613" s="38">
        <v>33</v>
      </c>
      <c r="E613" s="38">
        <v>14</v>
      </c>
      <c r="F613" s="38">
        <v>1.1000000000000001</v>
      </c>
      <c r="G613" s="38" t="s">
        <v>238</v>
      </c>
      <c r="H613" s="38" t="s">
        <v>131</v>
      </c>
      <c r="I613" s="38" t="s">
        <v>239</v>
      </c>
      <c r="J613" s="41" t="s">
        <v>133</v>
      </c>
    </row>
    <row r="614" spans="1:10">
      <c r="A614" s="38" t="s">
        <v>105</v>
      </c>
      <c r="B614" s="38">
        <v>55</v>
      </c>
      <c r="C614" s="38">
        <v>1</v>
      </c>
      <c r="D614" s="38">
        <v>4</v>
      </c>
      <c r="E614" s="38">
        <v>10</v>
      </c>
      <c r="F614" s="38">
        <v>1.1000000000000001</v>
      </c>
      <c r="G614" s="38" t="s">
        <v>240</v>
      </c>
      <c r="H614" s="38" t="s">
        <v>131</v>
      </c>
      <c r="I614" s="38" t="s">
        <v>241</v>
      </c>
      <c r="J614" s="41" t="s">
        <v>133</v>
      </c>
    </row>
    <row r="615" spans="1:10">
      <c r="A615" s="38" t="s">
        <v>105</v>
      </c>
      <c r="B615" s="38">
        <v>55</v>
      </c>
      <c r="C615" s="38">
        <v>2</v>
      </c>
      <c r="D615" s="38">
        <v>25</v>
      </c>
      <c r="E615" s="38">
        <v>13</v>
      </c>
      <c r="F615" s="38">
        <v>1.1000000000000001</v>
      </c>
      <c r="G615" s="38" t="s">
        <v>240</v>
      </c>
      <c r="H615" s="38" t="s">
        <v>131</v>
      </c>
      <c r="I615" s="38" t="s">
        <v>241</v>
      </c>
      <c r="J615" s="41" t="s">
        <v>133</v>
      </c>
    </row>
    <row r="616" spans="1:10">
      <c r="A616" s="38" t="s">
        <v>105</v>
      </c>
      <c r="B616" s="38">
        <v>56</v>
      </c>
      <c r="C616" s="38">
        <v>1</v>
      </c>
      <c r="D616" s="38">
        <v>4</v>
      </c>
      <c r="E616" s="38">
        <v>1</v>
      </c>
      <c r="F616" s="38">
        <v>1.1000000000000001</v>
      </c>
      <c r="G616" s="38" t="s">
        <v>242</v>
      </c>
      <c r="H616" s="38" t="s">
        <v>131</v>
      </c>
      <c r="I616" s="38" t="s">
        <v>243</v>
      </c>
      <c r="J616" s="41" t="s">
        <v>133</v>
      </c>
    </row>
    <row r="617" spans="1:10">
      <c r="A617" s="38" t="s">
        <v>105</v>
      </c>
      <c r="B617" s="38">
        <v>56</v>
      </c>
      <c r="C617" s="38">
        <v>2</v>
      </c>
      <c r="D617" s="38">
        <v>29</v>
      </c>
      <c r="E617" s="38">
        <v>17</v>
      </c>
      <c r="F617" s="38">
        <v>1.1000000000000001</v>
      </c>
      <c r="G617" s="38" t="s">
        <v>242</v>
      </c>
      <c r="H617" s="38" t="s">
        <v>131</v>
      </c>
      <c r="I617" s="38" t="s">
        <v>243</v>
      </c>
      <c r="J617" s="41" t="s">
        <v>133</v>
      </c>
    </row>
    <row r="618" spans="1:10">
      <c r="A618" s="38" t="s">
        <v>105</v>
      </c>
      <c r="B618" s="38">
        <v>57</v>
      </c>
      <c r="C618" s="38">
        <v>1</v>
      </c>
      <c r="D618" s="38">
        <v>4</v>
      </c>
      <c r="E618" s="38">
        <v>9</v>
      </c>
      <c r="F618" s="38">
        <v>1.1000000000000001</v>
      </c>
      <c r="G618" s="38" t="s">
        <v>244</v>
      </c>
      <c r="H618" s="38" t="s">
        <v>131</v>
      </c>
      <c r="I618" s="38" t="s">
        <v>245</v>
      </c>
      <c r="J618" s="41" t="s">
        <v>133</v>
      </c>
    </row>
    <row r="619" spans="1:10">
      <c r="A619" s="38" t="s">
        <v>105</v>
      </c>
      <c r="B619" s="38">
        <v>57</v>
      </c>
      <c r="C619" s="38">
        <v>2</v>
      </c>
      <c r="D619" s="38">
        <v>26</v>
      </c>
      <c r="E619" s="38">
        <v>4</v>
      </c>
      <c r="F619" s="38">
        <v>1.1000000000000001</v>
      </c>
      <c r="G619" s="38" t="s">
        <v>244</v>
      </c>
      <c r="H619" s="38" t="s">
        <v>131</v>
      </c>
      <c r="I619" s="38" t="s">
        <v>245</v>
      </c>
      <c r="J619" s="41" t="s">
        <v>133</v>
      </c>
    </row>
    <row r="620" spans="1:10">
      <c r="A620" s="38" t="s">
        <v>105</v>
      </c>
      <c r="B620" s="38">
        <v>58</v>
      </c>
      <c r="C620" s="38">
        <v>1</v>
      </c>
      <c r="D620" s="38">
        <v>4</v>
      </c>
      <c r="E620" s="38">
        <v>17</v>
      </c>
      <c r="F620" s="38">
        <v>1.1000000000000001</v>
      </c>
      <c r="G620" s="38" t="s">
        <v>246</v>
      </c>
      <c r="H620" s="38" t="s">
        <v>131</v>
      </c>
      <c r="I620" s="38" t="s">
        <v>247</v>
      </c>
      <c r="J620" s="41" t="s">
        <v>133</v>
      </c>
    </row>
    <row r="621" spans="1:10">
      <c r="A621" s="38" t="s">
        <v>105</v>
      </c>
      <c r="B621" s="38">
        <v>58</v>
      </c>
      <c r="C621" s="38">
        <v>2</v>
      </c>
      <c r="D621" s="38">
        <v>33</v>
      </c>
      <c r="E621" s="38">
        <v>12</v>
      </c>
      <c r="F621" s="38">
        <v>1.1000000000000001</v>
      </c>
      <c r="G621" s="38" t="s">
        <v>246</v>
      </c>
      <c r="H621" s="38" t="s">
        <v>131</v>
      </c>
      <c r="I621" s="38" t="s">
        <v>247</v>
      </c>
      <c r="J621" s="41" t="s">
        <v>133</v>
      </c>
    </row>
    <row r="622" spans="1:10">
      <c r="A622" s="38" t="s">
        <v>105</v>
      </c>
      <c r="B622" s="38">
        <v>59</v>
      </c>
      <c r="C622" s="38">
        <v>1</v>
      </c>
      <c r="D622" s="38">
        <v>4</v>
      </c>
      <c r="E622" s="38">
        <v>8</v>
      </c>
      <c r="F622" s="38">
        <v>1.1000000000000001</v>
      </c>
      <c r="G622" s="38" t="s">
        <v>248</v>
      </c>
      <c r="H622" s="38" t="s">
        <v>131</v>
      </c>
      <c r="I622" s="38" t="s">
        <v>249</v>
      </c>
      <c r="J622" s="41" t="s">
        <v>133</v>
      </c>
    </row>
    <row r="623" spans="1:10">
      <c r="A623" s="38" t="s">
        <v>105</v>
      </c>
      <c r="B623" s="38">
        <v>59</v>
      </c>
      <c r="C623" s="38">
        <v>2</v>
      </c>
      <c r="D623" s="38">
        <v>22</v>
      </c>
      <c r="E623">
        <v>18</v>
      </c>
      <c r="F623" s="38">
        <v>1.1000000000000001</v>
      </c>
      <c r="G623" s="38" t="s">
        <v>248</v>
      </c>
      <c r="H623" s="38" t="s">
        <v>131</v>
      </c>
      <c r="I623" s="38" t="s">
        <v>249</v>
      </c>
      <c r="J623" s="41" t="s">
        <v>133</v>
      </c>
    </row>
    <row r="624" spans="1:10">
      <c r="A624" s="38" t="s">
        <v>105</v>
      </c>
      <c r="B624" s="38">
        <v>60</v>
      </c>
      <c r="C624" s="38">
        <v>1</v>
      </c>
      <c r="D624" s="38">
        <v>4</v>
      </c>
      <c r="E624" s="38">
        <v>14</v>
      </c>
      <c r="F624" s="38">
        <v>1.1000000000000001</v>
      </c>
      <c r="G624" s="38" t="s">
        <v>250</v>
      </c>
      <c r="H624" s="38" t="s">
        <v>131</v>
      </c>
      <c r="I624" s="38" t="s">
        <v>251</v>
      </c>
      <c r="J624" s="41" t="s">
        <v>133</v>
      </c>
    </row>
    <row r="625" spans="1:10">
      <c r="A625" s="38" t="s">
        <v>105</v>
      </c>
      <c r="B625" s="38">
        <v>60</v>
      </c>
      <c r="C625" s="38">
        <v>2</v>
      </c>
      <c r="D625" s="38">
        <v>19</v>
      </c>
      <c r="E625" s="38">
        <v>8</v>
      </c>
      <c r="F625" s="38">
        <v>1.1000000000000001</v>
      </c>
      <c r="G625" s="38" t="s">
        <v>250</v>
      </c>
      <c r="H625" s="38" t="s">
        <v>131</v>
      </c>
      <c r="I625" s="38" t="s">
        <v>251</v>
      </c>
      <c r="J625" s="41" t="s">
        <v>133</v>
      </c>
    </row>
    <row r="626" spans="1:10">
      <c r="A626" s="38" t="s">
        <v>105</v>
      </c>
      <c r="B626" s="38">
        <v>61</v>
      </c>
      <c r="C626" s="38">
        <v>1</v>
      </c>
      <c r="D626" s="38">
        <v>4</v>
      </c>
      <c r="E626" s="38">
        <v>6</v>
      </c>
      <c r="F626" s="38">
        <v>1.1000000000000001</v>
      </c>
      <c r="G626" s="38" t="s">
        <v>252</v>
      </c>
      <c r="H626" s="38" t="s">
        <v>131</v>
      </c>
      <c r="I626" s="38" t="s">
        <v>253</v>
      </c>
      <c r="J626" s="41" t="s">
        <v>133</v>
      </c>
    </row>
    <row r="627" spans="1:10">
      <c r="A627" s="38" t="s">
        <v>105</v>
      </c>
      <c r="B627" s="38">
        <v>61</v>
      </c>
      <c r="C627" s="38">
        <v>2</v>
      </c>
      <c r="D627" s="38">
        <v>34</v>
      </c>
      <c r="E627" s="38">
        <v>3</v>
      </c>
      <c r="F627" s="38">
        <v>1.1000000000000001</v>
      </c>
      <c r="G627" s="38" t="s">
        <v>252</v>
      </c>
      <c r="H627" s="38" t="s">
        <v>131</v>
      </c>
      <c r="I627" s="38" t="s">
        <v>253</v>
      </c>
      <c r="J627" s="41" t="s">
        <v>133</v>
      </c>
    </row>
    <row r="628" spans="1:10">
      <c r="A628" s="38" t="s">
        <v>105</v>
      </c>
      <c r="B628" s="38">
        <v>62</v>
      </c>
      <c r="C628" s="38">
        <v>1</v>
      </c>
      <c r="D628" s="38">
        <v>4</v>
      </c>
      <c r="E628" s="38">
        <v>3</v>
      </c>
      <c r="F628" s="38">
        <v>1.1000000000000001</v>
      </c>
      <c r="G628" s="38" t="s">
        <v>254</v>
      </c>
      <c r="H628" s="38" t="s">
        <v>131</v>
      </c>
      <c r="I628" s="38" t="s">
        <v>255</v>
      </c>
      <c r="J628" s="41" t="s">
        <v>133</v>
      </c>
    </row>
    <row r="629" spans="1:10">
      <c r="A629" s="38" t="s">
        <v>105</v>
      </c>
      <c r="B629" s="38">
        <v>62</v>
      </c>
      <c r="C629" s="38">
        <v>2</v>
      </c>
      <c r="D629" s="38">
        <v>31</v>
      </c>
      <c r="E629" s="38">
        <v>13</v>
      </c>
      <c r="F629" s="38">
        <v>1.1000000000000001</v>
      </c>
      <c r="G629" s="38" t="s">
        <v>254</v>
      </c>
      <c r="H629" s="38" t="s">
        <v>131</v>
      </c>
      <c r="I629" s="38" t="s">
        <v>255</v>
      </c>
      <c r="J629" s="41" t="s">
        <v>133</v>
      </c>
    </row>
    <row r="630" spans="1:10">
      <c r="A630" s="38" t="s">
        <v>105</v>
      </c>
      <c r="B630" s="38">
        <v>63</v>
      </c>
      <c r="C630" s="38">
        <v>1</v>
      </c>
      <c r="D630" s="38">
        <v>4</v>
      </c>
      <c r="E630" s="38">
        <v>12</v>
      </c>
      <c r="F630" s="38">
        <v>1.1000000000000001</v>
      </c>
      <c r="G630" s="38" t="s">
        <v>256</v>
      </c>
      <c r="H630" s="38" t="s">
        <v>131</v>
      </c>
      <c r="I630" s="38" t="s">
        <v>257</v>
      </c>
      <c r="J630" s="41" t="s">
        <v>133</v>
      </c>
    </row>
    <row r="631" spans="1:10">
      <c r="A631" s="38" t="s">
        <v>105</v>
      </c>
      <c r="B631" s="38">
        <v>63</v>
      </c>
      <c r="C631" s="38">
        <v>2</v>
      </c>
      <c r="D631" s="38">
        <v>28</v>
      </c>
      <c r="E631" s="38">
        <v>6</v>
      </c>
      <c r="F631" s="38">
        <v>1.1000000000000001</v>
      </c>
      <c r="G631" s="38" t="s">
        <v>256</v>
      </c>
      <c r="H631" s="38" t="s">
        <v>131</v>
      </c>
      <c r="I631" s="38" t="s">
        <v>257</v>
      </c>
      <c r="J631" s="41" t="s">
        <v>133</v>
      </c>
    </row>
    <row r="632" spans="1:10">
      <c r="A632" s="38" t="s">
        <v>105</v>
      </c>
      <c r="B632" s="38">
        <v>64</v>
      </c>
      <c r="C632" s="38">
        <v>1</v>
      </c>
      <c r="D632" s="38">
        <v>4</v>
      </c>
      <c r="E632" s="38">
        <v>13</v>
      </c>
      <c r="F632" s="38">
        <v>1.1000000000000001</v>
      </c>
      <c r="G632" s="38" t="s">
        <v>258</v>
      </c>
      <c r="H632" s="38" t="s">
        <v>131</v>
      </c>
      <c r="I632" s="38" t="s">
        <v>259</v>
      </c>
      <c r="J632" s="41" t="s">
        <v>133</v>
      </c>
    </row>
    <row r="633" spans="1:10">
      <c r="A633" s="38" t="s">
        <v>105</v>
      </c>
      <c r="B633" s="38">
        <v>64</v>
      </c>
      <c r="C633" s="38">
        <v>2</v>
      </c>
      <c r="D633" s="38">
        <v>24</v>
      </c>
      <c r="E633" s="38">
        <v>8</v>
      </c>
      <c r="F633" s="38">
        <v>1.1000000000000001</v>
      </c>
      <c r="G633" s="38" t="s">
        <v>258</v>
      </c>
      <c r="H633" s="38" t="s">
        <v>131</v>
      </c>
      <c r="I633" s="38" t="s">
        <v>259</v>
      </c>
      <c r="J633" s="41" t="s">
        <v>133</v>
      </c>
    </row>
    <row r="634" spans="1:10">
      <c r="A634" s="38" t="s">
        <v>105</v>
      </c>
      <c r="B634" s="38">
        <v>65</v>
      </c>
      <c r="C634" s="38">
        <v>1</v>
      </c>
      <c r="D634" s="38">
        <v>4</v>
      </c>
      <c r="E634" s="38">
        <v>16</v>
      </c>
      <c r="F634" s="38">
        <v>1.1000000000000001</v>
      </c>
      <c r="G634" s="38" t="s">
        <v>260</v>
      </c>
      <c r="H634" s="38" t="s">
        <v>131</v>
      </c>
      <c r="I634" s="38" t="s">
        <v>261</v>
      </c>
      <c r="J634" s="41" t="s">
        <v>133</v>
      </c>
    </row>
    <row r="635" spans="1:10">
      <c r="A635" s="38" t="s">
        <v>105</v>
      </c>
      <c r="B635" s="38">
        <v>65</v>
      </c>
      <c r="C635" s="38">
        <v>2</v>
      </c>
      <c r="D635" s="38">
        <v>36</v>
      </c>
      <c r="E635" s="38">
        <v>3</v>
      </c>
      <c r="F635" s="38">
        <v>1.1000000000000001</v>
      </c>
      <c r="G635" s="38" t="s">
        <v>260</v>
      </c>
      <c r="H635" s="38" t="s">
        <v>131</v>
      </c>
      <c r="I635" s="38" t="s">
        <v>261</v>
      </c>
      <c r="J635" s="41" t="s">
        <v>133</v>
      </c>
    </row>
    <row r="636" spans="1:10">
      <c r="A636" s="38" t="s">
        <v>105</v>
      </c>
      <c r="B636" s="38">
        <v>66</v>
      </c>
      <c r="C636" s="38">
        <v>1</v>
      </c>
      <c r="D636" s="38">
        <v>4</v>
      </c>
      <c r="E636" s="38">
        <v>15</v>
      </c>
      <c r="F636" s="38">
        <v>1.1000000000000001</v>
      </c>
      <c r="G636" s="38" t="s">
        <v>262</v>
      </c>
      <c r="H636" s="38" t="s">
        <v>131</v>
      </c>
      <c r="I636" s="38" t="s">
        <v>263</v>
      </c>
      <c r="J636" s="41" t="s">
        <v>133</v>
      </c>
    </row>
    <row r="637" spans="1:10">
      <c r="A637" s="38" t="s">
        <v>105</v>
      </c>
      <c r="B637" s="38">
        <v>66</v>
      </c>
      <c r="C637" s="38">
        <v>2</v>
      </c>
      <c r="D637" s="38">
        <v>21</v>
      </c>
      <c r="E637" s="38">
        <v>7</v>
      </c>
      <c r="F637" s="38">
        <v>1.1000000000000001</v>
      </c>
      <c r="G637" s="38" t="s">
        <v>262</v>
      </c>
      <c r="H637" s="38" t="s">
        <v>131</v>
      </c>
      <c r="I637" s="38" t="s">
        <v>263</v>
      </c>
      <c r="J637" s="41" t="s">
        <v>133</v>
      </c>
    </row>
    <row r="638" spans="1:10">
      <c r="A638" s="38" t="s">
        <v>105</v>
      </c>
      <c r="B638" s="38">
        <v>67</v>
      </c>
      <c r="C638" s="38">
        <v>1</v>
      </c>
      <c r="D638" s="38">
        <v>4</v>
      </c>
      <c r="E638" s="38">
        <v>5</v>
      </c>
      <c r="F638" s="38">
        <v>1.1000000000000001</v>
      </c>
      <c r="G638" s="38" t="s">
        <v>264</v>
      </c>
      <c r="H638" s="38" t="s">
        <v>131</v>
      </c>
      <c r="I638" s="38" t="s">
        <v>265</v>
      </c>
      <c r="J638" s="41" t="s">
        <v>133</v>
      </c>
    </row>
    <row r="639" spans="1:10">
      <c r="A639" s="38" t="s">
        <v>105</v>
      </c>
      <c r="B639" s="38">
        <v>67</v>
      </c>
      <c r="C639" s="38">
        <v>2</v>
      </c>
      <c r="D639" s="38">
        <v>23</v>
      </c>
      <c r="E639" s="38">
        <v>6</v>
      </c>
      <c r="F639" s="38">
        <v>1.1000000000000001</v>
      </c>
      <c r="G639" s="38" t="s">
        <v>264</v>
      </c>
      <c r="H639" s="38" t="s">
        <v>131</v>
      </c>
      <c r="I639" s="38" t="s">
        <v>265</v>
      </c>
      <c r="J639" s="41" t="s">
        <v>133</v>
      </c>
    </row>
    <row r="640" spans="1:10">
      <c r="A640" s="38" t="s">
        <v>105</v>
      </c>
      <c r="B640" s="38">
        <v>68</v>
      </c>
      <c r="C640" s="38">
        <v>1</v>
      </c>
      <c r="D640" s="38">
        <v>4</v>
      </c>
      <c r="E640" s="38">
        <v>18</v>
      </c>
      <c r="F640" s="38">
        <v>1.1000000000000001</v>
      </c>
      <c r="G640" s="38" t="s">
        <v>266</v>
      </c>
      <c r="H640" s="38" t="s">
        <v>131</v>
      </c>
      <c r="I640" s="38" t="s">
        <v>267</v>
      </c>
      <c r="J640" s="41" t="s">
        <v>133</v>
      </c>
    </row>
    <row r="641" spans="1:10">
      <c r="A641" s="38" t="s">
        <v>105</v>
      </c>
      <c r="B641" s="38">
        <v>68</v>
      </c>
      <c r="C641" s="38">
        <v>2</v>
      </c>
      <c r="D641" s="38">
        <v>35</v>
      </c>
      <c r="E641" s="38">
        <v>13</v>
      </c>
      <c r="F641" s="38">
        <v>1.1000000000000001</v>
      </c>
      <c r="G641" s="38" t="s">
        <v>266</v>
      </c>
      <c r="H641" s="38" t="s">
        <v>131</v>
      </c>
      <c r="I641" s="38" t="s">
        <v>267</v>
      </c>
      <c r="J641" s="41" t="s">
        <v>133</v>
      </c>
    </row>
    <row r="642" spans="1:10">
      <c r="A642" s="38" t="s">
        <v>105</v>
      </c>
      <c r="B642" s="38">
        <v>69</v>
      </c>
      <c r="C642" s="38">
        <v>1</v>
      </c>
      <c r="D642" s="38">
        <v>4</v>
      </c>
      <c r="E642" s="38">
        <v>7</v>
      </c>
      <c r="F642" s="38">
        <v>1.1000000000000001</v>
      </c>
      <c r="G642" s="38" t="s">
        <v>268</v>
      </c>
      <c r="H642" s="38" t="s">
        <v>131</v>
      </c>
      <c r="I642" s="38" t="s">
        <v>161</v>
      </c>
      <c r="J642" s="41" t="s">
        <v>133</v>
      </c>
    </row>
    <row r="643" spans="1:10">
      <c r="A643" s="38" t="s">
        <v>105</v>
      </c>
      <c r="B643" s="38">
        <v>69</v>
      </c>
      <c r="C643" s="38">
        <v>2</v>
      </c>
      <c r="D643" s="38">
        <v>27</v>
      </c>
      <c r="E643" s="38">
        <v>11</v>
      </c>
      <c r="F643" s="38">
        <v>1.1000000000000001</v>
      </c>
      <c r="G643" s="38" t="s">
        <v>268</v>
      </c>
      <c r="H643" s="38" t="s">
        <v>131</v>
      </c>
      <c r="I643" s="38" t="s">
        <v>161</v>
      </c>
      <c r="J643" s="41" t="s">
        <v>133</v>
      </c>
    </row>
    <row r="644" spans="1:10">
      <c r="A644" s="38" t="s">
        <v>105</v>
      </c>
      <c r="B644" s="38">
        <v>70</v>
      </c>
      <c r="C644" s="38">
        <v>1</v>
      </c>
      <c r="D644" s="38">
        <v>4</v>
      </c>
      <c r="E644" s="38">
        <v>4</v>
      </c>
      <c r="F644" s="38">
        <v>1.1000000000000001</v>
      </c>
      <c r="G644" s="38" t="s">
        <v>269</v>
      </c>
      <c r="H644" s="38" t="s">
        <v>131</v>
      </c>
      <c r="I644" s="38" t="s">
        <v>187</v>
      </c>
      <c r="J644" s="41" t="s">
        <v>133</v>
      </c>
    </row>
    <row r="645" spans="1:10">
      <c r="A645" s="38" t="s">
        <v>105</v>
      </c>
      <c r="B645" s="38">
        <v>70</v>
      </c>
      <c r="C645" s="38">
        <v>2</v>
      </c>
      <c r="D645" s="38">
        <v>30</v>
      </c>
      <c r="E645" s="38">
        <v>10</v>
      </c>
      <c r="F645" s="38">
        <v>1.1000000000000001</v>
      </c>
      <c r="G645" s="38" t="s">
        <v>269</v>
      </c>
      <c r="H645" s="38" t="s">
        <v>131</v>
      </c>
      <c r="I645" s="38" t="s">
        <v>187</v>
      </c>
      <c r="J645" s="41" t="s">
        <v>133</v>
      </c>
    </row>
    <row r="646" spans="1:10">
      <c r="A646" s="38" t="s">
        <v>105</v>
      </c>
      <c r="B646" s="38">
        <v>71</v>
      </c>
      <c r="C646" s="38">
        <v>1</v>
      </c>
      <c r="D646" s="38">
        <v>4</v>
      </c>
      <c r="E646" s="38">
        <v>2</v>
      </c>
      <c r="F646" s="38">
        <v>1.1000000000000001</v>
      </c>
      <c r="G646" s="38" t="s">
        <v>270</v>
      </c>
      <c r="H646" s="38" t="s">
        <v>131</v>
      </c>
      <c r="I646" s="38" t="s">
        <v>163</v>
      </c>
      <c r="J646" s="41" t="s">
        <v>133</v>
      </c>
    </row>
    <row r="647" spans="1:10">
      <c r="A647" s="38" t="s">
        <v>105</v>
      </c>
      <c r="B647" s="38">
        <v>71</v>
      </c>
      <c r="C647" s="38">
        <v>2</v>
      </c>
      <c r="D647" s="38">
        <v>20</v>
      </c>
      <c r="E647" s="38">
        <v>4</v>
      </c>
      <c r="F647" s="38">
        <v>1.1000000000000001</v>
      </c>
      <c r="G647" s="38" t="s">
        <v>270</v>
      </c>
      <c r="H647" s="38" t="s">
        <v>131</v>
      </c>
      <c r="I647" s="38" t="s">
        <v>163</v>
      </c>
      <c r="J647" s="41" t="s">
        <v>133</v>
      </c>
    </row>
    <row r="648" spans="1:10">
      <c r="A648" s="38" t="s">
        <v>105</v>
      </c>
      <c r="B648" s="38">
        <v>72</v>
      </c>
      <c r="C648" s="38">
        <v>1</v>
      </c>
      <c r="D648" s="38">
        <v>4</v>
      </c>
      <c r="E648" s="38">
        <v>11</v>
      </c>
      <c r="F648" s="38">
        <v>1.1000000000000001</v>
      </c>
      <c r="G648" s="38" t="s">
        <v>271</v>
      </c>
      <c r="H648" s="38" t="s">
        <v>131</v>
      </c>
      <c r="I648" s="38" t="s">
        <v>272</v>
      </c>
      <c r="J648" s="41" t="s">
        <v>133</v>
      </c>
    </row>
    <row r="649" spans="1:10">
      <c r="A649" s="38" t="s">
        <v>105</v>
      </c>
      <c r="B649" s="38">
        <v>72</v>
      </c>
      <c r="C649" s="38">
        <v>2</v>
      </c>
      <c r="D649" s="38">
        <v>32</v>
      </c>
      <c r="E649" s="38">
        <v>9</v>
      </c>
      <c r="F649" s="38">
        <v>1.1000000000000001</v>
      </c>
      <c r="G649" s="38" t="s">
        <v>271</v>
      </c>
      <c r="H649" s="38" t="s">
        <v>131</v>
      </c>
      <c r="I649" s="38" t="s">
        <v>272</v>
      </c>
      <c r="J649" s="41" t="s">
        <v>133</v>
      </c>
    </row>
  </sheetData>
  <sortState xmlns:xlrd2="http://schemas.microsoft.com/office/spreadsheetml/2017/richdata2" ref="A2:J649">
    <sortCondition ref="G2:G649"/>
    <sortCondition ref="C2:C649"/>
  </sortState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2199-B220-4CBD-8C94-BBB92E04A9B9}">
  <dimension ref="A1:H487"/>
  <sheetViews>
    <sheetView zoomScale="60" zoomScaleNormal="60" workbookViewId="0">
      <selection activeCell="G320" sqref="G320"/>
    </sheetView>
  </sheetViews>
  <sheetFormatPr defaultRowHeight="14.5"/>
  <cols>
    <col min="1" max="1" width="8.54296875" style="38"/>
    <col min="2" max="2" width="3.453125" style="38" bestFit="1" customWidth="1"/>
    <col min="3" max="3" width="5.26953125" style="38" bestFit="1" customWidth="1"/>
    <col min="4" max="4" width="8.54296875" style="38"/>
    <col min="5" max="5" width="13" style="38" bestFit="1" customWidth="1"/>
    <col min="6" max="6" width="14.54296875" style="38" bestFit="1" customWidth="1"/>
    <col min="7" max="7" width="26.453125" style="38" bestFit="1" customWidth="1"/>
    <col min="8" max="8" width="8.54296875" style="38"/>
  </cols>
  <sheetData>
    <row r="1" spans="1:8">
      <c r="A1" s="39" t="s">
        <v>99</v>
      </c>
      <c r="B1" s="39" t="s">
        <v>103</v>
      </c>
      <c r="C1" s="39" t="s">
        <v>100</v>
      </c>
      <c r="D1" s="39" t="s">
        <v>101</v>
      </c>
      <c r="E1" s="39" t="s">
        <v>758</v>
      </c>
      <c r="F1" s="39" t="s">
        <v>755</v>
      </c>
      <c r="G1" s="39" t="s">
        <v>756</v>
      </c>
      <c r="H1" s="40" t="s">
        <v>129</v>
      </c>
    </row>
    <row r="2" spans="1:8">
      <c r="A2" s="38" t="s">
        <v>102</v>
      </c>
      <c r="B2" s="38">
        <v>12</v>
      </c>
      <c r="C2" s="38">
        <v>1</v>
      </c>
      <c r="D2" s="38">
        <v>1</v>
      </c>
      <c r="E2" s="38" t="s">
        <v>130</v>
      </c>
      <c r="F2" s="38" t="s">
        <v>131</v>
      </c>
      <c r="G2" s="38" t="s">
        <v>132</v>
      </c>
      <c r="H2" s="41" t="s">
        <v>133</v>
      </c>
    </row>
    <row r="3" spans="1:8">
      <c r="A3" s="38" t="s">
        <v>102</v>
      </c>
      <c r="B3" s="38">
        <v>12</v>
      </c>
      <c r="C3" s="38">
        <v>1</v>
      </c>
      <c r="D3" s="38">
        <v>2</v>
      </c>
      <c r="E3" s="38" t="s">
        <v>134</v>
      </c>
      <c r="F3" s="38" t="s">
        <v>131</v>
      </c>
      <c r="G3" s="38" t="s">
        <v>135</v>
      </c>
      <c r="H3" s="41" t="s">
        <v>133</v>
      </c>
    </row>
    <row r="4" spans="1:8">
      <c r="A4" s="38" t="s">
        <v>102</v>
      </c>
      <c r="B4" s="38">
        <v>12</v>
      </c>
      <c r="C4" s="38">
        <v>1</v>
      </c>
      <c r="D4" s="38">
        <v>3</v>
      </c>
      <c r="E4" s="38" t="s">
        <v>136</v>
      </c>
      <c r="F4" s="38" t="s">
        <v>131</v>
      </c>
      <c r="G4" s="38" t="s">
        <v>137</v>
      </c>
      <c r="H4" s="41" t="s">
        <v>133</v>
      </c>
    </row>
    <row r="5" spans="1:8">
      <c r="A5" s="38" t="s">
        <v>102</v>
      </c>
      <c r="B5" s="38">
        <v>12</v>
      </c>
      <c r="C5" s="38">
        <v>1</v>
      </c>
      <c r="D5" s="38">
        <v>4</v>
      </c>
      <c r="E5" s="38" t="s">
        <v>138</v>
      </c>
      <c r="F5" s="38" t="s">
        <v>131</v>
      </c>
      <c r="G5" s="38" t="s">
        <v>139</v>
      </c>
      <c r="H5" s="41" t="s">
        <v>133</v>
      </c>
    </row>
    <row r="6" spans="1:8">
      <c r="A6" s="38" t="s">
        <v>102</v>
      </c>
      <c r="B6" s="38">
        <v>12</v>
      </c>
      <c r="C6" s="38">
        <v>1</v>
      </c>
      <c r="D6" s="38">
        <v>5</v>
      </c>
      <c r="E6" s="38" t="s">
        <v>140</v>
      </c>
      <c r="F6" s="38" t="s">
        <v>131</v>
      </c>
      <c r="G6" s="38" t="s">
        <v>141</v>
      </c>
      <c r="H6" s="41" t="s">
        <v>133</v>
      </c>
    </row>
    <row r="7" spans="1:8">
      <c r="A7" s="38" t="s">
        <v>102</v>
      </c>
      <c r="B7" s="38">
        <v>12</v>
      </c>
      <c r="C7" s="38">
        <v>1</v>
      </c>
      <c r="D7" s="38">
        <v>6</v>
      </c>
      <c r="E7" s="38" t="s">
        <v>142</v>
      </c>
      <c r="F7" s="38" t="s">
        <v>131</v>
      </c>
      <c r="G7" s="38" t="s">
        <v>143</v>
      </c>
      <c r="H7" s="41" t="s">
        <v>133</v>
      </c>
    </row>
    <row r="8" spans="1:8">
      <c r="A8" s="38" t="s">
        <v>102</v>
      </c>
      <c r="B8" s="38">
        <v>12</v>
      </c>
      <c r="C8" s="38">
        <v>2</v>
      </c>
      <c r="D8" s="38">
        <v>1</v>
      </c>
      <c r="E8" s="38" t="s">
        <v>144</v>
      </c>
      <c r="F8" s="38" t="s">
        <v>131</v>
      </c>
      <c r="G8" s="38" t="s">
        <v>145</v>
      </c>
      <c r="H8" s="41" t="s">
        <v>133</v>
      </c>
    </row>
    <row r="9" spans="1:8">
      <c r="A9" s="38" t="s">
        <v>102</v>
      </c>
      <c r="B9" s="38">
        <v>12</v>
      </c>
      <c r="C9" s="38">
        <v>2</v>
      </c>
      <c r="D9" s="38">
        <v>2</v>
      </c>
      <c r="E9" s="38" t="s">
        <v>146</v>
      </c>
      <c r="F9" s="38" t="s">
        <v>131</v>
      </c>
      <c r="G9" s="38" t="s">
        <v>147</v>
      </c>
      <c r="H9" s="41" t="s">
        <v>133</v>
      </c>
    </row>
    <row r="10" spans="1:8">
      <c r="A10" s="38" t="s">
        <v>102</v>
      </c>
      <c r="B10" s="38">
        <v>12</v>
      </c>
      <c r="C10" s="38">
        <v>2</v>
      </c>
      <c r="D10" s="38">
        <v>3</v>
      </c>
      <c r="E10" s="38" t="s">
        <v>148</v>
      </c>
      <c r="F10" s="38" t="s">
        <v>131</v>
      </c>
      <c r="G10" s="38" t="s">
        <v>149</v>
      </c>
      <c r="H10" s="41" t="s">
        <v>133</v>
      </c>
    </row>
    <row r="11" spans="1:8">
      <c r="A11" s="38" t="s">
        <v>102</v>
      </c>
      <c r="B11" s="38">
        <v>12</v>
      </c>
      <c r="C11" s="38">
        <v>2</v>
      </c>
      <c r="D11" s="38">
        <v>4</v>
      </c>
      <c r="E11" s="38" t="s">
        <v>150</v>
      </c>
      <c r="F11" s="38" t="s">
        <v>131</v>
      </c>
      <c r="G11" s="38" t="s">
        <v>151</v>
      </c>
      <c r="H11" s="41" t="s">
        <v>133</v>
      </c>
    </row>
    <row r="12" spans="1:8">
      <c r="A12" s="38" t="s">
        <v>102</v>
      </c>
      <c r="B12" s="38">
        <v>12</v>
      </c>
      <c r="C12" s="38">
        <v>2</v>
      </c>
      <c r="D12" s="38">
        <v>5</v>
      </c>
      <c r="E12" s="38" t="s">
        <v>152</v>
      </c>
      <c r="F12" s="38" t="s">
        <v>131</v>
      </c>
      <c r="G12" s="38" t="s">
        <v>153</v>
      </c>
      <c r="H12" s="41" t="s">
        <v>133</v>
      </c>
    </row>
    <row r="13" spans="1:8">
      <c r="A13" s="38" t="s">
        <v>102</v>
      </c>
      <c r="B13" s="38">
        <v>12</v>
      </c>
      <c r="C13" s="38">
        <v>2</v>
      </c>
      <c r="D13" s="38">
        <v>6</v>
      </c>
      <c r="E13" s="38" t="s">
        <v>154</v>
      </c>
      <c r="F13" s="38" t="s">
        <v>131</v>
      </c>
      <c r="G13" s="38" t="s">
        <v>155</v>
      </c>
      <c r="H13" s="41" t="s">
        <v>133</v>
      </c>
    </row>
    <row r="14" spans="1:8">
      <c r="A14" s="38" t="s">
        <v>102</v>
      </c>
      <c r="B14" s="38">
        <v>12</v>
      </c>
      <c r="C14" s="38">
        <v>3</v>
      </c>
      <c r="D14" s="38">
        <v>1</v>
      </c>
      <c r="E14" s="38" t="s">
        <v>156</v>
      </c>
      <c r="F14" s="38" t="s">
        <v>131</v>
      </c>
      <c r="G14" s="38" t="s">
        <v>157</v>
      </c>
      <c r="H14" s="41" t="s">
        <v>133</v>
      </c>
    </row>
    <row r="15" spans="1:8">
      <c r="A15" s="38" t="s">
        <v>102</v>
      </c>
      <c r="B15" s="38">
        <v>12</v>
      </c>
      <c r="C15" s="38">
        <v>3</v>
      </c>
      <c r="D15" s="38">
        <v>2</v>
      </c>
      <c r="E15" s="38" t="s">
        <v>158</v>
      </c>
      <c r="F15" s="38" t="s">
        <v>131</v>
      </c>
      <c r="G15" s="38" t="s">
        <v>159</v>
      </c>
      <c r="H15" s="41" t="s">
        <v>133</v>
      </c>
    </row>
    <row r="16" spans="1:8">
      <c r="A16" s="38" t="s">
        <v>102</v>
      </c>
      <c r="B16" s="38">
        <v>12</v>
      </c>
      <c r="C16" s="38">
        <v>3</v>
      </c>
      <c r="D16" s="38">
        <v>3</v>
      </c>
      <c r="E16" s="38" t="s">
        <v>160</v>
      </c>
      <c r="F16" s="38" t="s">
        <v>131</v>
      </c>
      <c r="G16" s="38" t="s">
        <v>161</v>
      </c>
      <c r="H16" s="41" t="s">
        <v>133</v>
      </c>
    </row>
    <row r="17" spans="1:8">
      <c r="A17" s="38" t="s">
        <v>102</v>
      </c>
      <c r="B17" s="38">
        <v>12</v>
      </c>
      <c r="C17" s="38">
        <v>3</v>
      </c>
      <c r="D17" s="38">
        <v>4</v>
      </c>
      <c r="E17" s="38" t="s">
        <v>162</v>
      </c>
      <c r="F17" s="38" t="s">
        <v>131</v>
      </c>
      <c r="G17" s="38" t="s">
        <v>163</v>
      </c>
      <c r="H17" s="41" t="s">
        <v>133</v>
      </c>
    </row>
    <row r="18" spans="1:8">
      <c r="A18" s="38" t="s">
        <v>102</v>
      </c>
      <c r="B18" s="38">
        <v>12</v>
      </c>
      <c r="C18" s="38">
        <v>3</v>
      </c>
      <c r="D18" s="38">
        <v>5</v>
      </c>
      <c r="E18" s="38" t="s">
        <v>164</v>
      </c>
      <c r="F18" s="38" t="s">
        <v>131</v>
      </c>
      <c r="G18" s="38" t="s">
        <v>165</v>
      </c>
      <c r="H18" s="41" t="s">
        <v>133</v>
      </c>
    </row>
    <row r="19" spans="1:8">
      <c r="A19" s="38" t="s">
        <v>102</v>
      </c>
      <c r="B19" s="38">
        <v>12</v>
      </c>
      <c r="C19" s="38">
        <v>3</v>
      </c>
      <c r="D19" s="38">
        <v>6</v>
      </c>
      <c r="E19" s="38" t="s">
        <v>166</v>
      </c>
      <c r="F19" s="38" t="s">
        <v>131</v>
      </c>
      <c r="G19" s="38" t="s">
        <v>167</v>
      </c>
      <c r="H19" s="41" t="s">
        <v>133</v>
      </c>
    </row>
    <row r="20" spans="1:8">
      <c r="A20" s="38" t="s">
        <v>102</v>
      </c>
      <c r="B20" s="38">
        <v>12</v>
      </c>
      <c r="C20" s="38">
        <v>4</v>
      </c>
      <c r="D20" s="38">
        <v>1</v>
      </c>
      <c r="E20" s="38" t="s">
        <v>168</v>
      </c>
      <c r="F20" s="38" t="s">
        <v>131</v>
      </c>
      <c r="G20" s="38" t="s">
        <v>169</v>
      </c>
      <c r="H20" s="41" t="s">
        <v>133</v>
      </c>
    </row>
    <row r="21" spans="1:8">
      <c r="A21" s="38" t="s">
        <v>102</v>
      </c>
      <c r="B21" s="38">
        <v>12</v>
      </c>
      <c r="C21" s="38">
        <v>4</v>
      </c>
      <c r="D21" s="38">
        <v>2</v>
      </c>
      <c r="E21" s="38" t="s">
        <v>170</v>
      </c>
      <c r="F21" s="38" t="s">
        <v>131</v>
      </c>
      <c r="G21" s="38" t="s">
        <v>171</v>
      </c>
      <c r="H21" s="41" t="s">
        <v>133</v>
      </c>
    </row>
    <row r="22" spans="1:8">
      <c r="A22" s="38" t="s">
        <v>102</v>
      </c>
      <c r="B22" s="38">
        <v>12</v>
      </c>
      <c r="C22" s="38">
        <v>4</v>
      </c>
      <c r="D22" s="38">
        <v>3</v>
      </c>
      <c r="E22" s="38" t="s">
        <v>172</v>
      </c>
      <c r="F22" s="38" t="s">
        <v>131</v>
      </c>
      <c r="G22" s="38" t="s">
        <v>173</v>
      </c>
      <c r="H22" s="41" t="s">
        <v>133</v>
      </c>
    </row>
    <row r="23" spans="1:8">
      <c r="A23" s="38" t="s">
        <v>102</v>
      </c>
      <c r="B23" s="38">
        <v>12</v>
      </c>
      <c r="C23" s="38">
        <v>4</v>
      </c>
      <c r="D23" s="38">
        <v>4</v>
      </c>
      <c r="E23" s="38" t="s">
        <v>174</v>
      </c>
      <c r="F23" s="38" t="s">
        <v>131</v>
      </c>
      <c r="G23" s="38" t="s">
        <v>175</v>
      </c>
      <c r="H23" s="41" t="s">
        <v>133</v>
      </c>
    </row>
    <row r="24" spans="1:8">
      <c r="A24" s="38" t="s">
        <v>102</v>
      </c>
      <c r="B24" s="38">
        <v>12</v>
      </c>
      <c r="C24" s="38">
        <v>4</v>
      </c>
      <c r="D24" s="38">
        <v>5</v>
      </c>
      <c r="E24" s="38" t="s">
        <v>176</v>
      </c>
      <c r="F24" s="38" t="s">
        <v>131</v>
      </c>
      <c r="G24" s="38" t="s">
        <v>177</v>
      </c>
      <c r="H24" s="41" t="s">
        <v>133</v>
      </c>
    </row>
    <row r="25" spans="1:8">
      <c r="A25" s="38" t="s">
        <v>102</v>
      </c>
      <c r="B25" s="38">
        <v>12</v>
      </c>
      <c r="C25" s="38">
        <v>4</v>
      </c>
      <c r="D25" s="38">
        <v>6</v>
      </c>
      <c r="E25" s="38" t="s">
        <v>178</v>
      </c>
      <c r="F25" s="38" t="s">
        <v>131</v>
      </c>
      <c r="G25" s="38" t="s">
        <v>179</v>
      </c>
      <c r="H25" s="41" t="s">
        <v>133</v>
      </c>
    </row>
    <row r="26" spans="1:8">
      <c r="A26" s="38" t="s">
        <v>102</v>
      </c>
      <c r="B26" s="38">
        <v>12</v>
      </c>
      <c r="C26" s="38">
        <v>5</v>
      </c>
      <c r="D26" s="38">
        <v>1</v>
      </c>
      <c r="E26" s="38" t="s">
        <v>180</v>
      </c>
      <c r="F26" s="38" t="s">
        <v>131</v>
      </c>
      <c r="G26" s="38" t="s">
        <v>181</v>
      </c>
      <c r="H26" s="41" t="s">
        <v>133</v>
      </c>
    </row>
    <row r="27" spans="1:8">
      <c r="A27" s="38" t="s">
        <v>102</v>
      </c>
      <c r="B27" s="38">
        <v>12</v>
      </c>
      <c r="C27" s="38">
        <v>5</v>
      </c>
      <c r="D27" s="38">
        <v>2</v>
      </c>
      <c r="E27" s="38" t="s">
        <v>182</v>
      </c>
      <c r="F27" s="38" t="s">
        <v>131</v>
      </c>
      <c r="G27" s="38" t="s">
        <v>183</v>
      </c>
      <c r="H27" s="41" t="s">
        <v>133</v>
      </c>
    </row>
    <row r="28" spans="1:8">
      <c r="A28" s="38" t="s">
        <v>102</v>
      </c>
      <c r="B28" s="38">
        <v>12</v>
      </c>
      <c r="C28" s="38">
        <v>5</v>
      </c>
      <c r="D28" s="38">
        <v>3</v>
      </c>
      <c r="E28" s="38" t="s">
        <v>184</v>
      </c>
      <c r="F28" s="38" t="s">
        <v>131</v>
      </c>
      <c r="G28" s="38" t="s">
        <v>185</v>
      </c>
      <c r="H28" s="41" t="s">
        <v>133</v>
      </c>
    </row>
    <row r="29" spans="1:8">
      <c r="A29" s="38" t="s">
        <v>102</v>
      </c>
      <c r="B29" s="38">
        <v>12</v>
      </c>
      <c r="C29" s="38">
        <v>5</v>
      </c>
      <c r="D29" s="38">
        <v>4</v>
      </c>
      <c r="E29" s="38" t="s">
        <v>186</v>
      </c>
      <c r="F29" s="38" t="s">
        <v>131</v>
      </c>
      <c r="G29" s="38" t="s">
        <v>187</v>
      </c>
      <c r="H29" s="41" t="s">
        <v>133</v>
      </c>
    </row>
    <row r="30" spans="1:8">
      <c r="A30" s="38" t="s">
        <v>102</v>
      </c>
      <c r="B30" s="38">
        <v>12</v>
      </c>
      <c r="C30" s="38">
        <v>5</v>
      </c>
      <c r="D30" s="38">
        <v>5</v>
      </c>
      <c r="E30" s="38" t="s">
        <v>188</v>
      </c>
      <c r="F30" s="38" t="s">
        <v>131</v>
      </c>
      <c r="G30" s="38" t="s">
        <v>189</v>
      </c>
      <c r="H30" s="41" t="s">
        <v>133</v>
      </c>
    </row>
    <row r="31" spans="1:8">
      <c r="A31" s="38" t="s">
        <v>102</v>
      </c>
      <c r="B31" s="38">
        <v>12</v>
      </c>
      <c r="C31" s="38">
        <v>5</v>
      </c>
      <c r="D31" s="38">
        <v>6</v>
      </c>
      <c r="E31" s="38" t="s">
        <v>190</v>
      </c>
      <c r="F31" s="38" t="s">
        <v>131</v>
      </c>
      <c r="G31" s="38" t="s">
        <v>191</v>
      </c>
      <c r="H31" s="41" t="s">
        <v>133</v>
      </c>
    </row>
    <row r="32" spans="1:8">
      <c r="A32" s="38" t="s">
        <v>102</v>
      </c>
      <c r="B32" s="38">
        <v>12</v>
      </c>
      <c r="C32" s="38">
        <v>6</v>
      </c>
      <c r="D32" s="38">
        <v>1</v>
      </c>
      <c r="E32" s="38" t="s">
        <v>192</v>
      </c>
      <c r="F32" s="38" t="s">
        <v>131</v>
      </c>
      <c r="G32" s="38" t="s">
        <v>193</v>
      </c>
      <c r="H32" s="41" t="s">
        <v>133</v>
      </c>
    </row>
    <row r="33" spans="1:8">
      <c r="A33" s="38" t="s">
        <v>102</v>
      </c>
      <c r="B33" s="38">
        <v>12</v>
      </c>
      <c r="C33" s="38">
        <v>6</v>
      </c>
      <c r="D33" s="38">
        <v>2</v>
      </c>
      <c r="E33" s="38" t="s">
        <v>194</v>
      </c>
      <c r="F33" s="38" t="s">
        <v>131</v>
      </c>
      <c r="G33" s="38" t="s">
        <v>195</v>
      </c>
      <c r="H33" s="41" t="s">
        <v>133</v>
      </c>
    </row>
    <row r="34" spans="1:8">
      <c r="A34" s="38" t="s">
        <v>102</v>
      </c>
      <c r="B34" s="38">
        <v>12</v>
      </c>
      <c r="C34" s="38">
        <v>6</v>
      </c>
      <c r="D34" s="38">
        <v>3</v>
      </c>
      <c r="E34" s="38" t="s">
        <v>196</v>
      </c>
      <c r="F34" s="38" t="s">
        <v>131</v>
      </c>
      <c r="G34" s="38" t="s">
        <v>197</v>
      </c>
      <c r="H34" s="41" t="s">
        <v>133</v>
      </c>
    </row>
    <row r="35" spans="1:8">
      <c r="A35" s="38" t="s">
        <v>102</v>
      </c>
      <c r="B35" s="38">
        <v>12</v>
      </c>
      <c r="C35" s="38">
        <v>6</v>
      </c>
      <c r="D35" s="38">
        <v>4</v>
      </c>
      <c r="E35" s="38" t="s">
        <v>198</v>
      </c>
      <c r="F35" s="38" t="s">
        <v>131</v>
      </c>
      <c r="G35" s="38" t="s">
        <v>199</v>
      </c>
      <c r="H35" s="41" t="s">
        <v>133</v>
      </c>
    </row>
    <row r="36" spans="1:8">
      <c r="A36" s="38" t="s">
        <v>102</v>
      </c>
      <c r="B36" s="38">
        <v>12</v>
      </c>
      <c r="C36" s="38">
        <v>6</v>
      </c>
      <c r="D36" s="38">
        <v>5</v>
      </c>
      <c r="E36" s="38" t="s">
        <v>200</v>
      </c>
      <c r="F36" s="38" t="s">
        <v>131</v>
      </c>
      <c r="G36" s="38" t="s">
        <v>201</v>
      </c>
      <c r="H36" s="41" t="s">
        <v>133</v>
      </c>
    </row>
    <row r="37" spans="1:8">
      <c r="A37" s="38" t="s">
        <v>102</v>
      </c>
      <c r="B37" s="38">
        <v>12</v>
      </c>
      <c r="C37" s="38">
        <v>6</v>
      </c>
      <c r="D37" s="38">
        <v>6</v>
      </c>
      <c r="E37" s="38" t="s">
        <v>202</v>
      </c>
      <c r="F37" s="38" t="s">
        <v>131</v>
      </c>
      <c r="G37" s="38" t="s">
        <v>203</v>
      </c>
      <c r="H37" s="41" t="s">
        <v>133</v>
      </c>
    </row>
    <row r="38" spans="1:8">
      <c r="A38" s="38" t="s">
        <v>102</v>
      </c>
      <c r="B38" s="38">
        <v>12</v>
      </c>
      <c r="C38" s="38">
        <v>7</v>
      </c>
      <c r="D38" s="38">
        <v>1</v>
      </c>
      <c r="E38" s="38" t="s">
        <v>204</v>
      </c>
      <c r="F38" s="38" t="s">
        <v>131</v>
      </c>
      <c r="G38" s="38" t="s">
        <v>205</v>
      </c>
      <c r="H38" s="41" t="s">
        <v>133</v>
      </c>
    </row>
    <row r="39" spans="1:8">
      <c r="A39" s="38" t="s">
        <v>102</v>
      </c>
      <c r="B39" s="38">
        <v>12</v>
      </c>
      <c r="C39" s="38">
        <v>7</v>
      </c>
      <c r="D39" s="38">
        <v>2</v>
      </c>
      <c r="E39" s="38" t="s">
        <v>206</v>
      </c>
      <c r="F39" s="38" t="s">
        <v>131</v>
      </c>
      <c r="G39" s="38" t="s">
        <v>207</v>
      </c>
      <c r="H39" s="41" t="s">
        <v>133</v>
      </c>
    </row>
    <row r="40" spans="1:8">
      <c r="A40" s="38" t="s">
        <v>102</v>
      </c>
      <c r="B40" s="38">
        <v>12</v>
      </c>
      <c r="C40" s="38">
        <v>7</v>
      </c>
      <c r="D40" s="38">
        <v>3</v>
      </c>
      <c r="E40" s="38" t="s">
        <v>208</v>
      </c>
      <c r="F40" s="38" t="s">
        <v>131</v>
      </c>
      <c r="G40" s="38" t="s">
        <v>209</v>
      </c>
      <c r="H40" s="41" t="s">
        <v>133</v>
      </c>
    </row>
    <row r="41" spans="1:8">
      <c r="A41" s="38" t="s">
        <v>102</v>
      </c>
      <c r="B41" s="38">
        <v>12</v>
      </c>
      <c r="C41" s="38">
        <v>7</v>
      </c>
      <c r="D41" s="38">
        <v>4</v>
      </c>
      <c r="E41" s="38" t="s">
        <v>210</v>
      </c>
      <c r="F41" s="38" t="s">
        <v>131</v>
      </c>
      <c r="G41" s="38" t="s">
        <v>211</v>
      </c>
      <c r="H41" s="41" t="s">
        <v>133</v>
      </c>
    </row>
    <row r="42" spans="1:8">
      <c r="A42" s="38" t="s">
        <v>102</v>
      </c>
      <c r="B42" s="38">
        <v>12</v>
      </c>
      <c r="C42" s="38">
        <v>7</v>
      </c>
      <c r="D42" s="38">
        <v>5</v>
      </c>
      <c r="E42" s="38" t="s">
        <v>212</v>
      </c>
      <c r="F42" s="38" t="s">
        <v>131</v>
      </c>
      <c r="G42" s="38" t="s">
        <v>213</v>
      </c>
      <c r="H42" s="41" t="s">
        <v>133</v>
      </c>
    </row>
    <row r="43" spans="1:8">
      <c r="A43" s="38" t="s">
        <v>102</v>
      </c>
      <c r="B43" s="38">
        <v>12</v>
      </c>
      <c r="C43" s="38">
        <v>7</v>
      </c>
      <c r="D43" s="38">
        <v>6</v>
      </c>
      <c r="E43" s="38" t="s">
        <v>214</v>
      </c>
      <c r="F43" s="38" t="s">
        <v>131</v>
      </c>
      <c r="G43" s="38" t="s">
        <v>215</v>
      </c>
      <c r="H43" s="41" t="s">
        <v>133</v>
      </c>
    </row>
    <row r="44" spans="1:8">
      <c r="A44" s="38" t="s">
        <v>102</v>
      </c>
      <c r="B44" s="38">
        <v>12</v>
      </c>
      <c r="C44" s="38">
        <v>8</v>
      </c>
      <c r="D44" s="38">
        <v>1</v>
      </c>
      <c r="E44" s="38" t="s">
        <v>216</v>
      </c>
      <c r="F44" s="38" t="s">
        <v>131</v>
      </c>
      <c r="G44" s="38" t="s">
        <v>217</v>
      </c>
      <c r="H44" s="41" t="s">
        <v>133</v>
      </c>
    </row>
    <row r="45" spans="1:8">
      <c r="A45" s="38" t="s">
        <v>102</v>
      </c>
      <c r="B45" s="38">
        <v>12</v>
      </c>
      <c r="C45" s="38">
        <v>8</v>
      </c>
      <c r="D45" s="38">
        <v>2</v>
      </c>
      <c r="E45" s="38" t="s">
        <v>218</v>
      </c>
      <c r="F45" s="38" t="s">
        <v>131</v>
      </c>
      <c r="G45" s="38" t="s">
        <v>219</v>
      </c>
      <c r="H45" s="41" t="s">
        <v>133</v>
      </c>
    </row>
    <row r="46" spans="1:8">
      <c r="A46" s="38" t="s">
        <v>102</v>
      </c>
      <c r="B46" s="38">
        <v>12</v>
      </c>
      <c r="C46" s="38">
        <v>8</v>
      </c>
      <c r="D46" s="38">
        <v>3</v>
      </c>
      <c r="E46" s="38" t="s">
        <v>220</v>
      </c>
      <c r="F46" s="38" t="s">
        <v>131</v>
      </c>
      <c r="G46" s="38" t="s">
        <v>221</v>
      </c>
      <c r="H46" s="41" t="s">
        <v>133</v>
      </c>
    </row>
    <row r="47" spans="1:8">
      <c r="A47" s="38" t="s">
        <v>102</v>
      </c>
      <c r="B47" s="38">
        <v>12</v>
      </c>
      <c r="C47" s="38">
        <v>8</v>
      </c>
      <c r="D47" s="38">
        <v>4</v>
      </c>
      <c r="E47" s="38" t="s">
        <v>222</v>
      </c>
      <c r="F47" s="38" t="s">
        <v>131</v>
      </c>
      <c r="G47" s="38" t="s">
        <v>223</v>
      </c>
      <c r="H47" s="41" t="s">
        <v>133</v>
      </c>
    </row>
    <row r="48" spans="1:8">
      <c r="A48" s="38" t="s">
        <v>102</v>
      </c>
      <c r="B48" s="38">
        <v>12</v>
      </c>
      <c r="C48" s="38">
        <v>8</v>
      </c>
      <c r="D48" s="38">
        <v>5</v>
      </c>
      <c r="E48" s="38" t="s">
        <v>224</v>
      </c>
      <c r="F48" s="38" t="s">
        <v>131</v>
      </c>
      <c r="G48" s="38" t="s">
        <v>225</v>
      </c>
      <c r="H48" s="41" t="s">
        <v>133</v>
      </c>
    </row>
    <row r="49" spans="1:8">
      <c r="A49" s="38" t="s">
        <v>102</v>
      </c>
      <c r="B49" s="38">
        <v>12</v>
      </c>
      <c r="C49" s="38">
        <v>8</v>
      </c>
      <c r="D49" s="38">
        <v>6</v>
      </c>
      <c r="E49" s="38" t="s">
        <v>226</v>
      </c>
      <c r="F49" s="38" t="s">
        <v>131</v>
      </c>
      <c r="G49" s="38" t="s">
        <v>227</v>
      </c>
      <c r="H49" s="41" t="s">
        <v>133</v>
      </c>
    </row>
    <row r="50" spans="1:8">
      <c r="A50" s="38" t="s">
        <v>102</v>
      </c>
      <c r="B50" s="38">
        <v>12</v>
      </c>
      <c r="C50" s="38">
        <v>9</v>
      </c>
      <c r="D50" s="38">
        <v>1</v>
      </c>
      <c r="E50" s="38" t="s">
        <v>228</v>
      </c>
      <c r="F50" s="38" t="s">
        <v>131</v>
      </c>
      <c r="G50" s="38" t="s">
        <v>229</v>
      </c>
      <c r="H50" s="41" t="s">
        <v>133</v>
      </c>
    </row>
    <row r="51" spans="1:8">
      <c r="A51" s="38" t="s">
        <v>102</v>
      </c>
      <c r="B51" s="38">
        <v>12</v>
      </c>
      <c r="C51" s="38">
        <v>9</v>
      </c>
      <c r="D51" s="38">
        <v>2</v>
      </c>
      <c r="E51" s="38" t="s">
        <v>230</v>
      </c>
      <c r="F51" s="38" t="s">
        <v>131</v>
      </c>
      <c r="G51" s="38" t="s">
        <v>231</v>
      </c>
      <c r="H51" s="41" t="s">
        <v>133</v>
      </c>
    </row>
    <row r="52" spans="1:8">
      <c r="A52" s="38" t="s">
        <v>102</v>
      </c>
      <c r="B52" s="38">
        <v>12</v>
      </c>
      <c r="C52" s="38">
        <v>9</v>
      </c>
      <c r="D52" s="38">
        <v>3</v>
      </c>
      <c r="E52" s="38" t="s">
        <v>232</v>
      </c>
      <c r="F52" s="38" t="s">
        <v>131</v>
      </c>
      <c r="G52" s="38" t="s">
        <v>233</v>
      </c>
      <c r="H52" s="41" t="s">
        <v>133</v>
      </c>
    </row>
    <row r="53" spans="1:8">
      <c r="A53" s="38" t="s">
        <v>102</v>
      </c>
      <c r="B53" s="38">
        <v>12</v>
      </c>
      <c r="C53" s="38">
        <v>9</v>
      </c>
      <c r="D53" s="38">
        <v>4</v>
      </c>
      <c r="E53" s="38" t="s">
        <v>234</v>
      </c>
      <c r="F53" s="38" t="s">
        <v>131</v>
      </c>
      <c r="G53" s="38" t="s">
        <v>235</v>
      </c>
      <c r="H53" s="41" t="s">
        <v>133</v>
      </c>
    </row>
    <row r="54" spans="1:8">
      <c r="A54" s="38" t="s">
        <v>102</v>
      </c>
      <c r="B54" s="38">
        <v>12</v>
      </c>
      <c r="C54" s="38">
        <v>9</v>
      </c>
      <c r="D54" s="38">
        <v>5</v>
      </c>
      <c r="E54" s="38" t="s">
        <v>236</v>
      </c>
      <c r="F54" s="38" t="s">
        <v>131</v>
      </c>
      <c r="G54" s="38" t="s">
        <v>237</v>
      </c>
      <c r="H54" s="41" t="s">
        <v>133</v>
      </c>
    </row>
    <row r="55" spans="1:8">
      <c r="A55" s="38" t="s">
        <v>102</v>
      </c>
      <c r="B55" s="38">
        <v>12</v>
      </c>
      <c r="C55" s="38">
        <v>9</v>
      </c>
      <c r="D55" s="38">
        <v>6</v>
      </c>
      <c r="E55" s="38" t="s">
        <v>238</v>
      </c>
      <c r="F55" s="38" t="s">
        <v>131</v>
      </c>
      <c r="G55" s="38" t="s">
        <v>239</v>
      </c>
      <c r="H55" s="41" t="s">
        <v>133</v>
      </c>
    </row>
    <row r="56" spans="1:8">
      <c r="A56" s="38" t="s">
        <v>102</v>
      </c>
      <c r="B56" s="38">
        <v>12</v>
      </c>
      <c r="C56" s="38">
        <v>10</v>
      </c>
      <c r="D56" s="38">
        <v>1</v>
      </c>
      <c r="E56" s="38" t="s">
        <v>240</v>
      </c>
      <c r="F56" s="38" t="s">
        <v>131</v>
      </c>
      <c r="G56" s="38" t="s">
        <v>241</v>
      </c>
      <c r="H56" s="41" t="s">
        <v>133</v>
      </c>
    </row>
    <row r="57" spans="1:8">
      <c r="A57" s="38" t="s">
        <v>102</v>
      </c>
      <c r="B57" s="38">
        <v>12</v>
      </c>
      <c r="C57" s="38">
        <v>10</v>
      </c>
      <c r="D57" s="38">
        <v>2</v>
      </c>
      <c r="E57" s="38" t="s">
        <v>242</v>
      </c>
      <c r="F57" s="38" t="s">
        <v>131</v>
      </c>
      <c r="G57" s="38" t="s">
        <v>243</v>
      </c>
      <c r="H57" s="41" t="s">
        <v>133</v>
      </c>
    </row>
    <row r="58" spans="1:8">
      <c r="A58" s="38" t="s">
        <v>102</v>
      </c>
      <c r="B58" s="38">
        <v>12</v>
      </c>
      <c r="C58" s="38">
        <v>10</v>
      </c>
      <c r="D58" s="38">
        <v>3</v>
      </c>
      <c r="E58" s="38" t="s">
        <v>244</v>
      </c>
      <c r="F58" s="38" t="s">
        <v>131</v>
      </c>
      <c r="G58" s="38" t="s">
        <v>245</v>
      </c>
      <c r="H58" s="41" t="s">
        <v>133</v>
      </c>
    </row>
    <row r="59" spans="1:8">
      <c r="A59" s="38" t="s">
        <v>102</v>
      </c>
      <c r="B59" s="38">
        <v>12</v>
      </c>
      <c r="C59" s="38">
        <v>10</v>
      </c>
      <c r="D59" s="38">
        <v>4</v>
      </c>
      <c r="E59" s="38" t="s">
        <v>246</v>
      </c>
      <c r="F59" s="38" t="s">
        <v>131</v>
      </c>
      <c r="G59" s="38" t="s">
        <v>247</v>
      </c>
      <c r="H59" s="41" t="s">
        <v>133</v>
      </c>
    </row>
    <row r="60" spans="1:8">
      <c r="A60" s="38" t="s">
        <v>102</v>
      </c>
      <c r="B60" s="38">
        <v>12</v>
      </c>
      <c r="C60" s="38">
        <v>10</v>
      </c>
      <c r="D60" s="38">
        <v>5</v>
      </c>
      <c r="E60" s="38" t="s">
        <v>248</v>
      </c>
      <c r="F60" s="38" t="s">
        <v>131</v>
      </c>
      <c r="G60" s="38" t="s">
        <v>249</v>
      </c>
      <c r="H60" s="41" t="s">
        <v>133</v>
      </c>
    </row>
    <row r="61" spans="1:8">
      <c r="A61" s="38" t="s">
        <v>102</v>
      </c>
      <c r="B61" s="38">
        <v>12</v>
      </c>
      <c r="C61" s="38">
        <v>10</v>
      </c>
      <c r="D61" s="38">
        <v>6</v>
      </c>
      <c r="E61" s="38" t="s">
        <v>250</v>
      </c>
      <c r="F61" s="38" t="s">
        <v>131</v>
      </c>
      <c r="G61" s="38" t="s">
        <v>251</v>
      </c>
      <c r="H61" s="41" t="s">
        <v>133</v>
      </c>
    </row>
    <row r="62" spans="1:8">
      <c r="A62" s="38" t="s">
        <v>102</v>
      </c>
      <c r="B62" s="38">
        <v>12</v>
      </c>
      <c r="C62" s="38">
        <v>11</v>
      </c>
      <c r="D62" s="38">
        <v>1</v>
      </c>
      <c r="E62" s="38" t="s">
        <v>252</v>
      </c>
      <c r="F62" s="38" t="s">
        <v>131</v>
      </c>
      <c r="G62" s="38" t="s">
        <v>253</v>
      </c>
      <c r="H62" s="41" t="s">
        <v>133</v>
      </c>
    </row>
    <row r="63" spans="1:8">
      <c r="A63" s="38" t="s">
        <v>102</v>
      </c>
      <c r="B63" s="38">
        <v>12</v>
      </c>
      <c r="C63" s="38">
        <v>11</v>
      </c>
      <c r="D63" s="38">
        <v>2</v>
      </c>
      <c r="E63" s="38" t="s">
        <v>254</v>
      </c>
      <c r="F63" s="38" t="s">
        <v>131</v>
      </c>
      <c r="G63" s="38" t="s">
        <v>255</v>
      </c>
      <c r="H63" s="41" t="s">
        <v>133</v>
      </c>
    </row>
    <row r="64" spans="1:8">
      <c r="A64" s="38" t="s">
        <v>102</v>
      </c>
      <c r="B64" s="38">
        <v>12</v>
      </c>
      <c r="C64" s="38">
        <v>11</v>
      </c>
      <c r="D64" s="38">
        <v>3</v>
      </c>
      <c r="E64" s="38" t="s">
        <v>256</v>
      </c>
      <c r="F64" s="38" t="s">
        <v>131</v>
      </c>
      <c r="G64" s="38" t="s">
        <v>257</v>
      </c>
      <c r="H64" s="41" t="s">
        <v>133</v>
      </c>
    </row>
    <row r="65" spans="1:8">
      <c r="A65" s="38" t="s">
        <v>102</v>
      </c>
      <c r="B65" s="38">
        <v>12</v>
      </c>
      <c r="C65" s="38">
        <v>11</v>
      </c>
      <c r="D65" s="38">
        <v>4</v>
      </c>
      <c r="E65" s="38" t="s">
        <v>258</v>
      </c>
      <c r="F65" s="38" t="s">
        <v>131</v>
      </c>
      <c r="G65" s="38" t="s">
        <v>259</v>
      </c>
      <c r="H65" s="41" t="s">
        <v>133</v>
      </c>
    </row>
    <row r="66" spans="1:8">
      <c r="A66" s="38" t="s">
        <v>102</v>
      </c>
      <c r="B66" s="38">
        <v>12</v>
      </c>
      <c r="C66" s="38">
        <v>11</v>
      </c>
      <c r="D66" s="38">
        <v>5</v>
      </c>
      <c r="E66" s="38" t="s">
        <v>260</v>
      </c>
      <c r="F66" s="38" t="s">
        <v>131</v>
      </c>
      <c r="G66" s="38" t="s">
        <v>261</v>
      </c>
      <c r="H66" s="41" t="s">
        <v>133</v>
      </c>
    </row>
    <row r="67" spans="1:8">
      <c r="A67" s="38" t="s">
        <v>102</v>
      </c>
      <c r="B67" s="38">
        <v>12</v>
      </c>
      <c r="C67" s="38">
        <v>11</v>
      </c>
      <c r="D67" s="38">
        <v>6</v>
      </c>
      <c r="E67" s="38" t="s">
        <v>262</v>
      </c>
      <c r="F67" s="38" t="s">
        <v>131</v>
      </c>
      <c r="G67" s="38" t="s">
        <v>263</v>
      </c>
      <c r="H67" s="41" t="s">
        <v>133</v>
      </c>
    </row>
    <row r="68" spans="1:8">
      <c r="A68" s="38" t="s">
        <v>102</v>
      </c>
      <c r="B68" s="38">
        <v>12</v>
      </c>
      <c r="C68" s="38">
        <v>12</v>
      </c>
      <c r="D68" s="38">
        <v>1</v>
      </c>
      <c r="E68" s="38" t="s">
        <v>264</v>
      </c>
      <c r="F68" s="38" t="s">
        <v>131</v>
      </c>
      <c r="G68" s="38" t="s">
        <v>265</v>
      </c>
      <c r="H68" s="41" t="s">
        <v>133</v>
      </c>
    </row>
    <row r="69" spans="1:8">
      <c r="A69" s="38" t="s">
        <v>102</v>
      </c>
      <c r="B69" s="38">
        <v>12</v>
      </c>
      <c r="C69" s="38">
        <v>12</v>
      </c>
      <c r="D69" s="38">
        <v>2</v>
      </c>
      <c r="E69" s="38" t="s">
        <v>266</v>
      </c>
      <c r="F69" s="38" t="s">
        <v>131</v>
      </c>
      <c r="G69" s="38" t="s">
        <v>267</v>
      </c>
      <c r="H69" s="41" t="s">
        <v>133</v>
      </c>
    </row>
    <row r="70" spans="1:8">
      <c r="A70" s="38" t="s">
        <v>102</v>
      </c>
      <c r="B70" s="38">
        <v>12</v>
      </c>
      <c r="C70" s="38">
        <v>12</v>
      </c>
      <c r="D70" s="38">
        <v>3</v>
      </c>
      <c r="E70" s="38" t="s">
        <v>268</v>
      </c>
      <c r="F70" s="38" t="s">
        <v>131</v>
      </c>
      <c r="G70" s="38" t="s">
        <v>161</v>
      </c>
      <c r="H70" s="41" t="s">
        <v>133</v>
      </c>
    </row>
    <row r="71" spans="1:8">
      <c r="A71" s="38" t="s">
        <v>102</v>
      </c>
      <c r="B71" s="38">
        <v>12</v>
      </c>
      <c r="C71" s="38">
        <v>12</v>
      </c>
      <c r="D71" s="38">
        <v>4</v>
      </c>
      <c r="E71" s="38" t="s">
        <v>269</v>
      </c>
      <c r="F71" s="38" t="s">
        <v>131</v>
      </c>
      <c r="G71" s="38" t="s">
        <v>187</v>
      </c>
      <c r="H71" s="41" t="s">
        <v>133</v>
      </c>
    </row>
    <row r="72" spans="1:8">
      <c r="A72" s="38" t="s">
        <v>102</v>
      </c>
      <c r="B72" s="38">
        <v>12</v>
      </c>
      <c r="C72" s="38">
        <v>12</v>
      </c>
      <c r="D72" s="38">
        <v>5</v>
      </c>
      <c r="E72" s="38" t="s">
        <v>270</v>
      </c>
      <c r="F72" s="38" t="s">
        <v>131</v>
      </c>
      <c r="G72" s="38" t="s">
        <v>163</v>
      </c>
      <c r="H72" s="41" t="s">
        <v>133</v>
      </c>
    </row>
    <row r="73" spans="1:8">
      <c r="A73" s="38" t="s">
        <v>102</v>
      </c>
      <c r="B73" s="38">
        <v>12</v>
      </c>
      <c r="C73" s="38">
        <v>12</v>
      </c>
      <c r="D73" s="38">
        <v>6</v>
      </c>
      <c r="E73" s="38" t="s">
        <v>271</v>
      </c>
      <c r="F73" s="38" t="s">
        <v>131</v>
      </c>
      <c r="G73" s="38" t="s">
        <v>272</v>
      </c>
      <c r="H73" s="41" t="s">
        <v>133</v>
      </c>
    </row>
    <row r="74" spans="1:8">
      <c r="A74" s="38" t="s">
        <v>102</v>
      </c>
      <c r="B74" s="38">
        <v>12</v>
      </c>
      <c r="C74" s="38">
        <v>13</v>
      </c>
      <c r="D74" s="38">
        <v>1</v>
      </c>
      <c r="E74" s="38" t="s">
        <v>273</v>
      </c>
      <c r="F74" s="38" t="s">
        <v>131</v>
      </c>
      <c r="G74" s="38" t="s">
        <v>274</v>
      </c>
      <c r="H74" s="41" t="s">
        <v>133</v>
      </c>
    </row>
    <row r="75" spans="1:8">
      <c r="A75" s="38" t="s">
        <v>102</v>
      </c>
      <c r="B75" s="38">
        <v>12</v>
      </c>
      <c r="C75" s="38">
        <v>13</v>
      </c>
      <c r="D75" s="38">
        <v>2</v>
      </c>
      <c r="E75" s="38" t="s">
        <v>275</v>
      </c>
      <c r="F75" s="38" t="s">
        <v>131</v>
      </c>
      <c r="G75" s="38" t="s">
        <v>276</v>
      </c>
      <c r="H75" s="41" t="s">
        <v>133</v>
      </c>
    </row>
    <row r="76" spans="1:8">
      <c r="A76" s="38" t="s">
        <v>102</v>
      </c>
      <c r="B76" s="38">
        <v>12</v>
      </c>
      <c r="C76" s="38">
        <v>13</v>
      </c>
      <c r="D76" s="38">
        <v>3</v>
      </c>
      <c r="E76" s="38" t="s">
        <v>277</v>
      </c>
      <c r="F76" s="38" t="s">
        <v>131</v>
      </c>
      <c r="G76" s="38" t="s">
        <v>278</v>
      </c>
      <c r="H76" s="41" t="s">
        <v>133</v>
      </c>
    </row>
    <row r="77" spans="1:8">
      <c r="A77" s="38" t="s">
        <v>102</v>
      </c>
      <c r="B77" s="38">
        <v>12</v>
      </c>
      <c r="C77" s="38">
        <v>13</v>
      </c>
      <c r="D77" s="38">
        <v>4</v>
      </c>
      <c r="E77" s="38" t="s">
        <v>279</v>
      </c>
      <c r="F77" s="38" t="s">
        <v>131</v>
      </c>
      <c r="G77" s="38" t="s">
        <v>280</v>
      </c>
      <c r="H77" s="41" t="s">
        <v>133</v>
      </c>
    </row>
    <row r="78" spans="1:8">
      <c r="A78" s="38" t="s">
        <v>102</v>
      </c>
      <c r="B78" s="38">
        <v>12</v>
      </c>
      <c r="C78" s="38">
        <v>13</v>
      </c>
      <c r="D78" s="38">
        <v>5</v>
      </c>
      <c r="E78" s="38" t="s">
        <v>281</v>
      </c>
      <c r="F78" s="38" t="s">
        <v>131</v>
      </c>
      <c r="G78" s="38" t="s">
        <v>282</v>
      </c>
      <c r="H78" s="41" t="s">
        <v>133</v>
      </c>
    </row>
    <row r="79" spans="1:8">
      <c r="A79" s="38" t="s">
        <v>102</v>
      </c>
      <c r="B79" s="38">
        <v>12</v>
      </c>
      <c r="C79" s="38">
        <v>13</v>
      </c>
      <c r="D79" s="38">
        <v>6</v>
      </c>
      <c r="E79" s="38" t="s">
        <v>283</v>
      </c>
      <c r="F79" s="38" t="s">
        <v>131</v>
      </c>
      <c r="G79" s="38" t="s">
        <v>284</v>
      </c>
      <c r="H79" s="41" t="s">
        <v>133</v>
      </c>
    </row>
    <row r="80" spans="1:8">
      <c r="A80" s="38" t="s">
        <v>102</v>
      </c>
      <c r="B80" s="38">
        <v>12</v>
      </c>
      <c r="C80" s="38">
        <v>14</v>
      </c>
      <c r="D80" s="38">
        <v>1</v>
      </c>
      <c r="E80" s="38" t="s">
        <v>285</v>
      </c>
      <c r="F80" s="38" t="s">
        <v>131</v>
      </c>
      <c r="G80" s="38" t="s">
        <v>286</v>
      </c>
      <c r="H80" s="41" t="s">
        <v>133</v>
      </c>
    </row>
    <row r="81" spans="1:8">
      <c r="A81" s="38" t="s">
        <v>102</v>
      </c>
      <c r="B81" s="38">
        <v>12</v>
      </c>
      <c r="C81" s="38">
        <v>14</v>
      </c>
      <c r="D81" s="38">
        <v>2</v>
      </c>
      <c r="E81" s="38" t="s">
        <v>287</v>
      </c>
      <c r="F81" s="38" t="s">
        <v>131</v>
      </c>
      <c r="G81" s="38" t="s">
        <v>288</v>
      </c>
      <c r="H81" s="41" t="s">
        <v>133</v>
      </c>
    </row>
    <row r="82" spans="1:8">
      <c r="A82" s="38" t="s">
        <v>102</v>
      </c>
      <c r="B82" s="38">
        <v>12</v>
      </c>
      <c r="C82" s="38">
        <v>14</v>
      </c>
      <c r="D82" s="38">
        <v>3</v>
      </c>
      <c r="E82" s="38" t="s">
        <v>289</v>
      </c>
      <c r="F82" s="38" t="s">
        <v>131</v>
      </c>
      <c r="G82" s="38" t="s">
        <v>290</v>
      </c>
      <c r="H82" s="41" t="s">
        <v>133</v>
      </c>
    </row>
    <row r="83" spans="1:8">
      <c r="A83" s="38" t="s">
        <v>102</v>
      </c>
      <c r="B83" s="38">
        <v>12</v>
      </c>
      <c r="C83" s="38">
        <v>14</v>
      </c>
      <c r="D83" s="38">
        <v>4</v>
      </c>
      <c r="E83" s="38" t="s">
        <v>291</v>
      </c>
      <c r="F83" s="38" t="s">
        <v>131</v>
      </c>
      <c r="G83" s="38" t="s">
        <v>292</v>
      </c>
      <c r="H83" s="41" t="s">
        <v>133</v>
      </c>
    </row>
    <row r="84" spans="1:8">
      <c r="A84" s="38" t="s">
        <v>102</v>
      </c>
      <c r="B84" s="38">
        <v>12</v>
      </c>
      <c r="C84" s="38">
        <v>14</v>
      </c>
      <c r="D84" s="38">
        <v>5</v>
      </c>
      <c r="E84" s="38" t="s">
        <v>293</v>
      </c>
      <c r="F84" s="38" t="s">
        <v>131</v>
      </c>
      <c r="G84" s="38" t="s">
        <v>294</v>
      </c>
      <c r="H84" s="41" t="s">
        <v>133</v>
      </c>
    </row>
    <row r="85" spans="1:8">
      <c r="A85" s="38" t="s">
        <v>102</v>
      </c>
      <c r="B85" s="38">
        <v>12</v>
      </c>
      <c r="C85" s="38">
        <v>14</v>
      </c>
      <c r="D85" s="38">
        <v>6</v>
      </c>
      <c r="E85" s="38" t="s">
        <v>295</v>
      </c>
      <c r="F85" s="38" t="s">
        <v>131</v>
      </c>
      <c r="G85" s="38" t="s">
        <v>296</v>
      </c>
      <c r="H85" s="41" t="s">
        <v>133</v>
      </c>
    </row>
    <row r="86" spans="1:8">
      <c r="A86" s="38" t="s">
        <v>102</v>
      </c>
      <c r="B86" s="38">
        <v>12</v>
      </c>
      <c r="C86" s="38">
        <v>15</v>
      </c>
      <c r="D86" s="38">
        <v>1</v>
      </c>
      <c r="E86" s="38" t="s">
        <v>297</v>
      </c>
      <c r="F86" s="38" t="s">
        <v>131</v>
      </c>
      <c r="G86" s="38" t="s">
        <v>298</v>
      </c>
      <c r="H86" s="41" t="s">
        <v>133</v>
      </c>
    </row>
    <row r="87" spans="1:8">
      <c r="A87" s="38" t="s">
        <v>102</v>
      </c>
      <c r="B87" s="38">
        <v>12</v>
      </c>
      <c r="C87" s="38">
        <v>15</v>
      </c>
      <c r="D87" s="38">
        <v>2</v>
      </c>
      <c r="E87" s="38" t="s">
        <v>299</v>
      </c>
      <c r="F87" s="38" t="s">
        <v>131</v>
      </c>
      <c r="G87" s="38" t="s">
        <v>300</v>
      </c>
      <c r="H87" s="41" t="s">
        <v>133</v>
      </c>
    </row>
    <row r="88" spans="1:8">
      <c r="A88" s="38" t="s">
        <v>102</v>
      </c>
      <c r="B88" s="38">
        <v>12</v>
      </c>
      <c r="C88" s="38">
        <v>15</v>
      </c>
      <c r="D88" s="38">
        <v>3</v>
      </c>
      <c r="E88" s="38" t="s">
        <v>301</v>
      </c>
      <c r="F88" s="38" t="s">
        <v>131</v>
      </c>
      <c r="G88" s="38" t="s">
        <v>302</v>
      </c>
      <c r="H88" s="41" t="s">
        <v>133</v>
      </c>
    </row>
    <row r="89" spans="1:8">
      <c r="A89" s="38" t="s">
        <v>102</v>
      </c>
      <c r="B89" s="38">
        <v>12</v>
      </c>
      <c r="C89" s="38">
        <v>15</v>
      </c>
      <c r="D89" s="38">
        <v>4</v>
      </c>
      <c r="E89" s="38" t="s">
        <v>303</v>
      </c>
      <c r="F89" s="38" t="s">
        <v>131</v>
      </c>
      <c r="G89" s="38" t="s">
        <v>304</v>
      </c>
      <c r="H89" s="41" t="s">
        <v>133</v>
      </c>
    </row>
    <row r="90" spans="1:8">
      <c r="A90" s="38" t="s">
        <v>102</v>
      </c>
      <c r="B90" s="38">
        <v>12</v>
      </c>
      <c r="C90" s="38">
        <v>15</v>
      </c>
      <c r="D90" s="38">
        <v>5</v>
      </c>
      <c r="E90" s="38" t="s">
        <v>305</v>
      </c>
      <c r="F90" s="38" t="s">
        <v>131</v>
      </c>
      <c r="G90" s="38" t="s">
        <v>306</v>
      </c>
      <c r="H90" s="41" t="s">
        <v>133</v>
      </c>
    </row>
    <row r="91" spans="1:8">
      <c r="A91" s="38" t="s">
        <v>102</v>
      </c>
      <c r="B91" s="38">
        <v>12</v>
      </c>
      <c r="C91" s="38">
        <v>15</v>
      </c>
      <c r="D91" s="38">
        <v>6</v>
      </c>
      <c r="E91" s="38" t="s">
        <v>307</v>
      </c>
      <c r="F91" s="38" t="s">
        <v>131</v>
      </c>
      <c r="G91" s="38" t="s">
        <v>308</v>
      </c>
      <c r="H91" s="41" t="s">
        <v>133</v>
      </c>
    </row>
    <row r="92" spans="1:8">
      <c r="A92" s="38" t="s">
        <v>102</v>
      </c>
      <c r="B92" s="38">
        <v>12</v>
      </c>
      <c r="C92" s="38">
        <v>16</v>
      </c>
      <c r="D92" s="38">
        <v>1</v>
      </c>
      <c r="E92" s="38" t="s">
        <v>309</v>
      </c>
      <c r="F92" s="38" t="s">
        <v>131</v>
      </c>
      <c r="G92" s="38" t="s">
        <v>310</v>
      </c>
      <c r="H92" s="41" t="s">
        <v>133</v>
      </c>
    </row>
    <row r="93" spans="1:8">
      <c r="A93" s="38" t="s">
        <v>102</v>
      </c>
      <c r="B93" s="38">
        <v>12</v>
      </c>
      <c r="C93" s="38">
        <v>16</v>
      </c>
      <c r="D93" s="38">
        <v>2</v>
      </c>
      <c r="E93" s="38" t="s">
        <v>311</v>
      </c>
      <c r="F93" s="38" t="s">
        <v>131</v>
      </c>
      <c r="G93" s="38" t="s">
        <v>312</v>
      </c>
      <c r="H93" s="41" t="s">
        <v>133</v>
      </c>
    </row>
    <row r="94" spans="1:8">
      <c r="A94" s="38" t="s">
        <v>102</v>
      </c>
      <c r="B94" s="38">
        <v>12</v>
      </c>
      <c r="C94" s="38">
        <v>16</v>
      </c>
      <c r="D94" s="38">
        <v>3</v>
      </c>
      <c r="E94" s="38" t="s">
        <v>313</v>
      </c>
      <c r="F94" s="38" t="s">
        <v>131</v>
      </c>
      <c r="G94" s="38" t="s">
        <v>314</v>
      </c>
      <c r="H94" s="41" t="s">
        <v>133</v>
      </c>
    </row>
    <row r="95" spans="1:8">
      <c r="A95" s="38" t="s">
        <v>102</v>
      </c>
      <c r="B95" s="38">
        <v>12</v>
      </c>
      <c r="C95" s="38">
        <v>16</v>
      </c>
      <c r="D95" s="38">
        <v>4</v>
      </c>
      <c r="E95" s="38" t="s">
        <v>315</v>
      </c>
      <c r="F95" s="38" t="s">
        <v>131</v>
      </c>
      <c r="G95" s="38" t="s">
        <v>316</v>
      </c>
      <c r="H95" s="41" t="s">
        <v>133</v>
      </c>
    </row>
    <row r="96" spans="1:8">
      <c r="A96" s="38" t="s">
        <v>102</v>
      </c>
      <c r="B96" s="38">
        <v>12</v>
      </c>
      <c r="C96" s="38">
        <v>16</v>
      </c>
      <c r="D96" s="38">
        <v>5</v>
      </c>
      <c r="E96" s="38" t="s">
        <v>317</v>
      </c>
      <c r="F96" s="38" t="s">
        <v>131</v>
      </c>
      <c r="G96" s="38" t="s">
        <v>318</v>
      </c>
      <c r="H96" s="41" t="s">
        <v>133</v>
      </c>
    </row>
    <row r="97" spans="1:8">
      <c r="A97" s="38" t="s">
        <v>102</v>
      </c>
      <c r="B97" s="38">
        <v>12</v>
      </c>
      <c r="C97" s="38">
        <v>16</v>
      </c>
      <c r="D97" s="38">
        <v>6</v>
      </c>
      <c r="E97" s="38" t="s">
        <v>319</v>
      </c>
      <c r="F97" s="38" t="s">
        <v>131</v>
      </c>
      <c r="G97" s="38" t="s">
        <v>320</v>
      </c>
      <c r="H97" s="41" t="s">
        <v>133</v>
      </c>
    </row>
    <row r="98" spans="1:8">
      <c r="A98" s="38" t="s">
        <v>102</v>
      </c>
      <c r="B98" s="38">
        <v>12</v>
      </c>
      <c r="C98" s="38">
        <v>17</v>
      </c>
      <c r="D98" s="38">
        <v>1</v>
      </c>
      <c r="E98" s="38" t="s">
        <v>321</v>
      </c>
      <c r="F98" s="38" t="s">
        <v>131</v>
      </c>
      <c r="G98" s="38" t="s">
        <v>322</v>
      </c>
      <c r="H98" s="41" t="s">
        <v>133</v>
      </c>
    </row>
    <row r="99" spans="1:8">
      <c r="A99" s="38" t="s">
        <v>102</v>
      </c>
      <c r="B99" s="38">
        <v>12</v>
      </c>
      <c r="C99" s="38">
        <v>17</v>
      </c>
      <c r="D99" s="38">
        <v>2</v>
      </c>
      <c r="E99" s="38" t="s">
        <v>323</v>
      </c>
      <c r="F99" s="38" t="s">
        <v>131</v>
      </c>
      <c r="G99" s="38" t="s">
        <v>324</v>
      </c>
      <c r="H99" s="41" t="s">
        <v>133</v>
      </c>
    </row>
    <row r="100" spans="1:8">
      <c r="A100" s="38" t="s">
        <v>102</v>
      </c>
      <c r="B100" s="38">
        <v>12</v>
      </c>
      <c r="C100" s="38">
        <v>17</v>
      </c>
      <c r="D100" s="38">
        <v>3</v>
      </c>
      <c r="E100" s="38" t="s">
        <v>325</v>
      </c>
      <c r="F100" s="38" t="s">
        <v>131</v>
      </c>
      <c r="G100" s="38" t="s">
        <v>326</v>
      </c>
      <c r="H100" s="41" t="s">
        <v>133</v>
      </c>
    </row>
    <row r="101" spans="1:8">
      <c r="A101" s="38" t="s">
        <v>102</v>
      </c>
      <c r="B101" s="38">
        <v>12</v>
      </c>
      <c r="C101" s="38">
        <v>17</v>
      </c>
      <c r="D101" s="38">
        <v>4</v>
      </c>
      <c r="E101" s="38" t="s">
        <v>327</v>
      </c>
      <c r="F101" s="38" t="s">
        <v>131</v>
      </c>
      <c r="G101" s="38" t="s">
        <v>328</v>
      </c>
      <c r="H101" s="41" t="s">
        <v>133</v>
      </c>
    </row>
    <row r="102" spans="1:8">
      <c r="A102" s="38" t="s">
        <v>102</v>
      </c>
      <c r="B102" s="38">
        <v>12</v>
      </c>
      <c r="C102" s="38">
        <v>17</v>
      </c>
      <c r="D102" s="38">
        <v>5</v>
      </c>
      <c r="E102" s="38" t="s">
        <v>329</v>
      </c>
      <c r="F102" s="38" t="s">
        <v>131</v>
      </c>
      <c r="G102" s="38" t="s">
        <v>330</v>
      </c>
      <c r="H102" s="41" t="s">
        <v>133</v>
      </c>
    </row>
    <row r="103" spans="1:8">
      <c r="A103" s="38" t="s">
        <v>102</v>
      </c>
      <c r="B103" s="38">
        <v>12</v>
      </c>
      <c r="C103" s="38">
        <v>17</v>
      </c>
      <c r="D103" s="38">
        <v>6</v>
      </c>
      <c r="E103" s="38" t="s">
        <v>331</v>
      </c>
      <c r="F103" s="38" t="s">
        <v>131</v>
      </c>
      <c r="G103" s="38" t="s">
        <v>332</v>
      </c>
      <c r="H103" s="41" t="s">
        <v>133</v>
      </c>
    </row>
    <row r="104" spans="1:8">
      <c r="A104" s="38" t="s">
        <v>102</v>
      </c>
      <c r="B104" s="38">
        <v>12</v>
      </c>
      <c r="C104" s="38">
        <v>18</v>
      </c>
      <c r="D104" s="38">
        <v>1</v>
      </c>
      <c r="E104" s="38" t="s">
        <v>333</v>
      </c>
      <c r="F104" s="38" t="s">
        <v>131</v>
      </c>
      <c r="G104" s="38" t="s">
        <v>334</v>
      </c>
      <c r="H104" s="41" t="s">
        <v>133</v>
      </c>
    </row>
    <row r="105" spans="1:8">
      <c r="A105" s="38" t="s">
        <v>102</v>
      </c>
      <c r="B105" s="38">
        <v>12</v>
      </c>
      <c r="C105" s="38">
        <v>18</v>
      </c>
      <c r="D105" s="38">
        <v>2</v>
      </c>
      <c r="E105" s="38" t="s">
        <v>335</v>
      </c>
      <c r="F105" s="38" t="s">
        <v>131</v>
      </c>
      <c r="G105" s="38" t="s">
        <v>336</v>
      </c>
      <c r="H105" s="41" t="s">
        <v>133</v>
      </c>
    </row>
    <row r="106" spans="1:8">
      <c r="A106" s="38" t="s">
        <v>102</v>
      </c>
      <c r="B106" s="38">
        <v>12</v>
      </c>
      <c r="C106" s="38">
        <v>18</v>
      </c>
      <c r="D106" s="38">
        <v>3</v>
      </c>
      <c r="E106" s="38" t="s">
        <v>337</v>
      </c>
      <c r="F106" s="38" t="s">
        <v>131</v>
      </c>
      <c r="G106" s="38" t="s">
        <v>338</v>
      </c>
      <c r="H106" s="41" t="s">
        <v>133</v>
      </c>
    </row>
    <row r="107" spans="1:8">
      <c r="A107" s="38" t="s">
        <v>102</v>
      </c>
      <c r="B107" s="38">
        <v>12</v>
      </c>
      <c r="C107" s="38">
        <v>18</v>
      </c>
      <c r="D107" s="38">
        <v>4</v>
      </c>
      <c r="E107" s="38" t="s">
        <v>339</v>
      </c>
      <c r="F107" s="38" t="s">
        <v>131</v>
      </c>
      <c r="G107" s="38" t="s">
        <v>340</v>
      </c>
      <c r="H107" s="41" t="s">
        <v>133</v>
      </c>
    </row>
    <row r="108" spans="1:8">
      <c r="A108" s="38" t="s">
        <v>102</v>
      </c>
      <c r="B108" s="38">
        <v>12</v>
      </c>
      <c r="C108" s="38">
        <v>18</v>
      </c>
      <c r="D108" s="38">
        <v>5</v>
      </c>
      <c r="E108" s="38" t="s">
        <v>341</v>
      </c>
      <c r="F108" s="38" t="s">
        <v>131</v>
      </c>
      <c r="G108" s="38" t="s">
        <v>342</v>
      </c>
      <c r="H108" s="41" t="s">
        <v>133</v>
      </c>
    </row>
    <row r="109" spans="1:8">
      <c r="A109" s="38" t="s">
        <v>102</v>
      </c>
      <c r="B109" s="38">
        <v>12</v>
      </c>
      <c r="C109" s="38">
        <v>18</v>
      </c>
      <c r="D109" s="38">
        <v>6</v>
      </c>
      <c r="E109" s="38" t="s">
        <v>343</v>
      </c>
      <c r="F109" s="38" t="s">
        <v>131</v>
      </c>
      <c r="G109" s="38" t="s">
        <v>344</v>
      </c>
      <c r="H109" s="41" t="s">
        <v>133</v>
      </c>
    </row>
    <row r="110" spans="1:8">
      <c r="A110" s="38" t="s">
        <v>102</v>
      </c>
      <c r="B110" s="38">
        <v>12</v>
      </c>
      <c r="C110" s="38">
        <v>19</v>
      </c>
      <c r="D110" s="38">
        <v>1</v>
      </c>
      <c r="E110" s="38" t="s">
        <v>345</v>
      </c>
      <c r="F110" s="38" t="s">
        <v>131</v>
      </c>
      <c r="G110" s="38" t="s">
        <v>346</v>
      </c>
      <c r="H110" s="41" t="s">
        <v>133</v>
      </c>
    </row>
    <row r="111" spans="1:8">
      <c r="A111" s="38" t="s">
        <v>102</v>
      </c>
      <c r="B111" s="38">
        <v>12</v>
      </c>
      <c r="C111" s="38">
        <v>19</v>
      </c>
      <c r="D111" s="38">
        <v>2</v>
      </c>
      <c r="E111" s="38" t="s">
        <v>347</v>
      </c>
      <c r="F111" s="38" t="s">
        <v>131</v>
      </c>
      <c r="G111" s="38" t="s">
        <v>348</v>
      </c>
      <c r="H111" s="41" t="s">
        <v>133</v>
      </c>
    </row>
    <row r="112" spans="1:8">
      <c r="A112" s="38" t="s">
        <v>102</v>
      </c>
      <c r="B112" s="38">
        <v>12</v>
      </c>
      <c r="C112" s="38">
        <v>19</v>
      </c>
      <c r="D112" s="38">
        <v>3</v>
      </c>
      <c r="E112" s="38" t="s">
        <v>349</v>
      </c>
      <c r="F112" s="38" t="s">
        <v>131</v>
      </c>
      <c r="G112" s="38" t="s">
        <v>350</v>
      </c>
      <c r="H112" s="41" t="s">
        <v>133</v>
      </c>
    </row>
    <row r="113" spans="1:8">
      <c r="A113" s="38" t="s">
        <v>102</v>
      </c>
      <c r="B113" s="38">
        <v>12</v>
      </c>
      <c r="C113" s="38">
        <v>19</v>
      </c>
      <c r="D113" s="38">
        <v>4</v>
      </c>
      <c r="E113" s="38" t="s">
        <v>351</v>
      </c>
      <c r="F113" s="38" t="s">
        <v>131</v>
      </c>
      <c r="G113" s="38" t="s">
        <v>352</v>
      </c>
      <c r="H113" s="41" t="s">
        <v>133</v>
      </c>
    </row>
    <row r="114" spans="1:8">
      <c r="A114" s="38" t="s">
        <v>102</v>
      </c>
      <c r="B114" s="38">
        <v>12</v>
      </c>
      <c r="C114" s="38">
        <v>19</v>
      </c>
      <c r="D114" s="38">
        <v>5</v>
      </c>
      <c r="E114" s="38" t="s">
        <v>353</v>
      </c>
      <c r="F114" s="38" t="s">
        <v>131</v>
      </c>
      <c r="G114" s="38" t="s">
        <v>354</v>
      </c>
      <c r="H114" s="41" t="s">
        <v>133</v>
      </c>
    </row>
    <row r="115" spans="1:8">
      <c r="A115" s="38" t="s">
        <v>102</v>
      </c>
      <c r="B115" s="38">
        <v>12</v>
      </c>
      <c r="C115" s="38">
        <v>19</v>
      </c>
      <c r="D115" s="38">
        <v>6</v>
      </c>
      <c r="E115" s="38" t="s">
        <v>355</v>
      </c>
      <c r="F115" s="38" t="s">
        <v>131</v>
      </c>
      <c r="G115" s="38" t="s">
        <v>356</v>
      </c>
      <c r="H115" s="41" t="s">
        <v>133</v>
      </c>
    </row>
    <row r="116" spans="1:8">
      <c r="A116" s="38" t="s">
        <v>102</v>
      </c>
      <c r="B116" s="38">
        <v>12</v>
      </c>
      <c r="C116" s="38">
        <v>20</v>
      </c>
      <c r="D116" s="38">
        <v>1</v>
      </c>
      <c r="E116" s="38" t="s">
        <v>357</v>
      </c>
      <c r="F116" s="38" t="s">
        <v>131</v>
      </c>
      <c r="G116" s="38" t="s">
        <v>358</v>
      </c>
      <c r="H116" s="41" t="s">
        <v>133</v>
      </c>
    </row>
    <row r="117" spans="1:8">
      <c r="A117" s="38" t="s">
        <v>102</v>
      </c>
      <c r="B117" s="38">
        <v>12</v>
      </c>
      <c r="C117" s="38">
        <v>20</v>
      </c>
      <c r="D117" s="38">
        <v>2</v>
      </c>
      <c r="E117" s="38" t="s">
        <v>359</v>
      </c>
      <c r="F117" s="38" t="s">
        <v>131</v>
      </c>
      <c r="G117" s="38" t="s">
        <v>360</v>
      </c>
      <c r="H117" s="41" t="s">
        <v>133</v>
      </c>
    </row>
    <row r="118" spans="1:8">
      <c r="A118" s="38" t="s">
        <v>102</v>
      </c>
      <c r="B118" s="38">
        <v>12</v>
      </c>
      <c r="C118" s="38">
        <v>20</v>
      </c>
      <c r="D118" s="38">
        <v>3</v>
      </c>
      <c r="E118" s="38" t="s">
        <v>361</v>
      </c>
      <c r="F118" s="38" t="s">
        <v>131</v>
      </c>
      <c r="G118" s="38" t="s">
        <v>362</v>
      </c>
      <c r="H118" s="41" t="s">
        <v>133</v>
      </c>
    </row>
    <row r="119" spans="1:8">
      <c r="A119" s="38" t="s">
        <v>102</v>
      </c>
      <c r="B119" s="38">
        <v>12</v>
      </c>
      <c r="C119" s="38">
        <v>20</v>
      </c>
      <c r="D119" s="38">
        <v>4</v>
      </c>
      <c r="E119" s="38" t="s">
        <v>363</v>
      </c>
      <c r="F119" s="38" t="s">
        <v>131</v>
      </c>
      <c r="G119" s="38" t="s">
        <v>364</v>
      </c>
      <c r="H119" s="41" t="s">
        <v>133</v>
      </c>
    </row>
    <row r="120" spans="1:8">
      <c r="A120" s="38" t="s">
        <v>102</v>
      </c>
      <c r="B120" s="38">
        <v>12</v>
      </c>
      <c r="C120" s="38">
        <v>20</v>
      </c>
      <c r="D120" s="38">
        <v>5</v>
      </c>
      <c r="E120" s="38" t="s">
        <v>365</v>
      </c>
      <c r="F120" s="38" t="s">
        <v>131</v>
      </c>
      <c r="G120" s="38" t="s">
        <v>366</v>
      </c>
      <c r="H120" s="41" t="s">
        <v>133</v>
      </c>
    </row>
    <row r="121" spans="1:8">
      <c r="A121" s="38" t="s">
        <v>102</v>
      </c>
      <c r="B121" s="38">
        <v>12</v>
      </c>
      <c r="C121" s="38">
        <v>20</v>
      </c>
      <c r="D121" s="38">
        <v>6</v>
      </c>
      <c r="E121" s="38" t="s">
        <v>367</v>
      </c>
      <c r="F121" s="38" t="s">
        <v>131</v>
      </c>
      <c r="G121" s="38" t="s">
        <v>368</v>
      </c>
      <c r="H121" s="41" t="s">
        <v>133</v>
      </c>
    </row>
    <row r="122" spans="1:8">
      <c r="A122" s="38" t="s">
        <v>102</v>
      </c>
      <c r="B122" s="38">
        <v>12</v>
      </c>
      <c r="C122" s="38">
        <v>21</v>
      </c>
      <c r="D122" s="38">
        <v>1</v>
      </c>
      <c r="E122" s="38" t="s">
        <v>369</v>
      </c>
      <c r="F122" s="38" t="s">
        <v>131</v>
      </c>
      <c r="G122" s="38" t="s">
        <v>370</v>
      </c>
      <c r="H122" s="41" t="s">
        <v>133</v>
      </c>
    </row>
    <row r="123" spans="1:8">
      <c r="A123" s="38" t="s">
        <v>102</v>
      </c>
      <c r="B123" s="38">
        <v>12</v>
      </c>
      <c r="C123" s="38">
        <v>21</v>
      </c>
      <c r="D123" s="38">
        <v>2</v>
      </c>
      <c r="E123" s="38" t="s">
        <v>371</v>
      </c>
      <c r="F123" s="38" t="s">
        <v>131</v>
      </c>
      <c r="G123" s="38" t="s">
        <v>372</v>
      </c>
      <c r="H123" s="41" t="s">
        <v>133</v>
      </c>
    </row>
    <row r="124" spans="1:8">
      <c r="A124" s="38" t="s">
        <v>102</v>
      </c>
      <c r="B124" s="38">
        <v>12</v>
      </c>
      <c r="C124" s="38">
        <v>21</v>
      </c>
      <c r="D124" s="38">
        <v>3</v>
      </c>
      <c r="E124" s="38" t="s">
        <v>373</v>
      </c>
      <c r="F124" s="38" t="s">
        <v>131</v>
      </c>
      <c r="G124" s="38" t="s">
        <v>374</v>
      </c>
      <c r="H124" s="41" t="s">
        <v>133</v>
      </c>
    </row>
    <row r="125" spans="1:8">
      <c r="A125" s="38" t="s">
        <v>102</v>
      </c>
      <c r="B125" s="38">
        <v>12</v>
      </c>
      <c r="C125" s="38">
        <v>21</v>
      </c>
      <c r="D125" s="38">
        <v>4</v>
      </c>
      <c r="E125" s="38" t="s">
        <v>375</v>
      </c>
      <c r="F125" s="38" t="s">
        <v>131</v>
      </c>
      <c r="G125" s="38" t="s">
        <v>376</v>
      </c>
      <c r="H125" s="41" t="s">
        <v>133</v>
      </c>
    </row>
    <row r="126" spans="1:8">
      <c r="A126" s="38" t="s">
        <v>102</v>
      </c>
      <c r="B126" s="38">
        <v>12</v>
      </c>
      <c r="C126" s="38">
        <v>21</v>
      </c>
      <c r="D126" s="38">
        <v>5</v>
      </c>
      <c r="E126" s="38" t="s">
        <v>377</v>
      </c>
      <c r="F126" s="38" t="s">
        <v>131</v>
      </c>
      <c r="G126" s="38" t="s">
        <v>378</v>
      </c>
      <c r="H126" s="41" t="s">
        <v>133</v>
      </c>
    </row>
    <row r="127" spans="1:8">
      <c r="A127" s="38" t="s">
        <v>102</v>
      </c>
      <c r="B127" s="38">
        <v>12</v>
      </c>
      <c r="C127" s="38">
        <v>21</v>
      </c>
      <c r="D127" s="38">
        <v>6</v>
      </c>
      <c r="E127" s="38" t="s">
        <v>379</v>
      </c>
      <c r="F127" s="38" t="s">
        <v>131</v>
      </c>
      <c r="G127" s="38" t="s">
        <v>380</v>
      </c>
      <c r="H127" s="41" t="s">
        <v>133</v>
      </c>
    </row>
    <row r="128" spans="1:8">
      <c r="A128" s="38" t="s">
        <v>102</v>
      </c>
      <c r="B128" s="38">
        <v>12</v>
      </c>
      <c r="C128" s="38">
        <v>22</v>
      </c>
      <c r="D128" s="38">
        <v>1</v>
      </c>
      <c r="E128" s="38" t="s">
        <v>381</v>
      </c>
      <c r="F128" s="38" t="s">
        <v>131</v>
      </c>
      <c r="G128" s="38" t="s">
        <v>382</v>
      </c>
      <c r="H128" s="41" t="s">
        <v>133</v>
      </c>
    </row>
    <row r="129" spans="1:8">
      <c r="A129" s="38" t="s">
        <v>102</v>
      </c>
      <c r="B129" s="38">
        <v>12</v>
      </c>
      <c r="C129" s="38">
        <v>22</v>
      </c>
      <c r="D129" s="38">
        <v>2</v>
      </c>
      <c r="E129" s="38" t="s">
        <v>383</v>
      </c>
      <c r="F129" s="38" t="s">
        <v>131</v>
      </c>
      <c r="G129" s="38" t="s">
        <v>384</v>
      </c>
      <c r="H129" s="41" t="s">
        <v>133</v>
      </c>
    </row>
    <row r="130" spans="1:8">
      <c r="A130" s="38" t="s">
        <v>102</v>
      </c>
      <c r="B130" s="38">
        <v>12</v>
      </c>
      <c r="C130" s="38">
        <v>22</v>
      </c>
      <c r="D130" s="38">
        <v>3</v>
      </c>
      <c r="E130" s="38" t="s">
        <v>385</v>
      </c>
      <c r="F130" s="38" t="s">
        <v>131</v>
      </c>
      <c r="G130" s="38" t="s">
        <v>386</v>
      </c>
      <c r="H130" s="41" t="s">
        <v>133</v>
      </c>
    </row>
    <row r="131" spans="1:8">
      <c r="A131" s="38" t="s">
        <v>102</v>
      </c>
      <c r="B131" s="38">
        <v>12</v>
      </c>
      <c r="C131" s="38">
        <v>22</v>
      </c>
      <c r="D131" s="38">
        <v>4</v>
      </c>
      <c r="E131" s="38" t="s">
        <v>387</v>
      </c>
      <c r="F131" s="38" t="s">
        <v>131</v>
      </c>
      <c r="G131" s="38" t="s">
        <v>388</v>
      </c>
      <c r="H131" s="41" t="s">
        <v>133</v>
      </c>
    </row>
    <row r="132" spans="1:8">
      <c r="A132" s="38" t="s">
        <v>102</v>
      </c>
      <c r="B132" s="38">
        <v>12</v>
      </c>
      <c r="C132" s="38">
        <v>22</v>
      </c>
      <c r="D132" s="38">
        <v>5</v>
      </c>
      <c r="E132" s="38" t="s">
        <v>389</v>
      </c>
      <c r="F132" s="38" t="s">
        <v>131</v>
      </c>
      <c r="G132" s="38" t="s">
        <v>390</v>
      </c>
      <c r="H132" s="41" t="s">
        <v>133</v>
      </c>
    </row>
    <row r="133" spans="1:8">
      <c r="A133" s="38" t="s">
        <v>102</v>
      </c>
      <c r="B133" s="38">
        <v>12</v>
      </c>
      <c r="C133" s="38">
        <v>22</v>
      </c>
      <c r="D133" s="38">
        <v>6</v>
      </c>
      <c r="E133" s="38" t="s">
        <v>391</v>
      </c>
      <c r="F133" s="38" t="s">
        <v>131</v>
      </c>
      <c r="G133" s="38" t="s">
        <v>392</v>
      </c>
      <c r="H133" s="41" t="s">
        <v>133</v>
      </c>
    </row>
    <row r="134" spans="1:8">
      <c r="A134" s="38" t="s">
        <v>102</v>
      </c>
      <c r="B134" s="38">
        <v>12</v>
      </c>
      <c r="C134" s="38">
        <v>23</v>
      </c>
      <c r="D134" s="38">
        <v>1</v>
      </c>
      <c r="E134" s="38" t="s">
        <v>393</v>
      </c>
      <c r="F134" s="38" t="s">
        <v>131</v>
      </c>
      <c r="G134" s="38" t="s">
        <v>394</v>
      </c>
      <c r="H134" s="41" t="s">
        <v>133</v>
      </c>
    </row>
    <row r="135" spans="1:8">
      <c r="A135" s="38" t="s">
        <v>102</v>
      </c>
      <c r="B135" s="38">
        <v>12</v>
      </c>
      <c r="C135" s="38">
        <v>23</v>
      </c>
      <c r="D135" s="38">
        <v>2</v>
      </c>
      <c r="E135" s="38" t="s">
        <v>395</v>
      </c>
      <c r="F135" s="38" t="s">
        <v>131</v>
      </c>
      <c r="G135" s="38" t="s">
        <v>396</v>
      </c>
      <c r="H135" s="41" t="s">
        <v>133</v>
      </c>
    </row>
    <row r="136" spans="1:8">
      <c r="A136" s="38" t="s">
        <v>102</v>
      </c>
      <c r="B136" s="38">
        <v>12</v>
      </c>
      <c r="C136" s="38">
        <v>23</v>
      </c>
      <c r="D136" s="38">
        <v>3</v>
      </c>
      <c r="E136" s="38" t="s">
        <v>397</v>
      </c>
      <c r="F136" s="38" t="s">
        <v>131</v>
      </c>
      <c r="G136" s="38" t="s">
        <v>398</v>
      </c>
      <c r="H136" s="41" t="s">
        <v>133</v>
      </c>
    </row>
    <row r="137" spans="1:8">
      <c r="A137" s="38" t="s">
        <v>102</v>
      </c>
      <c r="B137" s="38">
        <v>12</v>
      </c>
      <c r="C137" s="38">
        <v>23</v>
      </c>
      <c r="D137" s="38">
        <v>4</v>
      </c>
      <c r="E137" s="38" t="s">
        <v>399</v>
      </c>
      <c r="F137" s="38" t="s">
        <v>131</v>
      </c>
      <c r="G137" s="38" t="s">
        <v>400</v>
      </c>
      <c r="H137" s="41" t="s">
        <v>133</v>
      </c>
    </row>
    <row r="138" spans="1:8">
      <c r="A138" s="38" t="s">
        <v>102</v>
      </c>
      <c r="B138" s="38">
        <v>12</v>
      </c>
      <c r="C138" s="38">
        <v>23</v>
      </c>
      <c r="D138" s="38">
        <v>5</v>
      </c>
      <c r="E138" s="38" t="s">
        <v>401</v>
      </c>
      <c r="F138" s="38" t="s">
        <v>131</v>
      </c>
      <c r="G138" s="38" t="s">
        <v>402</v>
      </c>
      <c r="H138" s="41" t="s">
        <v>133</v>
      </c>
    </row>
    <row r="139" spans="1:8">
      <c r="A139" s="38" t="s">
        <v>102</v>
      </c>
      <c r="B139" s="38">
        <v>12</v>
      </c>
      <c r="C139" s="38">
        <v>23</v>
      </c>
      <c r="D139" s="38">
        <v>6</v>
      </c>
      <c r="E139" s="38" t="s">
        <v>403</v>
      </c>
      <c r="F139" s="38" t="s">
        <v>131</v>
      </c>
      <c r="G139" s="38" t="s">
        <v>404</v>
      </c>
      <c r="H139" s="41" t="s">
        <v>133</v>
      </c>
    </row>
    <row r="140" spans="1:8">
      <c r="A140" s="38" t="s">
        <v>102</v>
      </c>
      <c r="B140" s="38">
        <v>12</v>
      </c>
      <c r="C140" s="38">
        <v>24</v>
      </c>
      <c r="D140" s="38">
        <v>1</v>
      </c>
      <c r="E140" s="38" t="s">
        <v>405</v>
      </c>
      <c r="F140" s="38" t="s">
        <v>131</v>
      </c>
      <c r="G140" s="38" t="s">
        <v>406</v>
      </c>
      <c r="H140" s="41" t="s">
        <v>133</v>
      </c>
    </row>
    <row r="141" spans="1:8">
      <c r="A141" s="38" t="s">
        <v>102</v>
      </c>
      <c r="B141" s="38">
        <v>12</v>
      </c>
      <c r="C141" s="38">
        <v>24</v>
      </c>
      <c r="D141" s="38">
        <v>2</v>
      </c>
      <c r="E141" s="38" t="s">
        <v>407</v>
      </c>
      <c r="F141" s="38" t="s">
        <v>131</v>
      </c>
      <c r="G141" s="38" t="s">
        <v>408</v>
      </c>
      <c r="H141" s="41" t="s">
        <v>133</v>
      </c>
    </row>
    <row r="142" spans="1:8">
      <c r="A142" s="38" t="s">
        <v>102</v>
      </c>
      <c r="B142" s="38">
        <v>12</v>
      </c>
      <c r="C142" s="38">
        <v>24</v>
      </c>
      <c r="D142" s="38">
        <v>3</v>
      </c>
      <c r="E142" s="38" t="s">
        <v>409</v>
      </c>
      <c r="F142" s="38" t="s">
        <v>131</v>
      </c>
      <c r="G142" s="38" t="s">
        <v>410</v>
      </c>
      <c r="H142" s="41" t="s">
        <v>133</v>
      </c>
    </row>
    <row r="143" spans="1:8">
      <c r="A143" s="38" t="s">
        <v>102</v>
      </c>
      <c r="B143" s="38">
        <v>12</v>
      </c>
      <c r="C143" s="38">
        <v>24</v>
      </c>
      <c r="D143" s="38">
        <v>4</v>
      </c>
      <c r="E143" s="38" t="s">
        <v>411</v>
      </c>
      <c r="F143" s="38" t="s">
        <v>131</v>
      </c>
      <c r="G143" s="38" t="s">
        <v>412</v>
      </c>
      <c r="H143" s="41" t="s">
        <v>133</v>
      </c>
    </row>
    <row r="144" spans="1:8">
      <c r="A144" s="38" t="s">
        <v>102</v>
      </c>
      <c r="B144" s="38">
        <v>12</v>
      </c>
      <c r="C144" s="38">
        <v>24</v>
      </c>
      <c r="D144" s="38">
        <v>5</v>
      </c>
      <c r="E144" s="38" t="s">
        <v>413</v>
      </c>
      <c r="F144" s="38" t="s">
        <v>131</v>
      </c>
      <c r="G144" s="38" t="s">
        <v>414</v>
      </c>
      <c r="H144" s="41" t="s">
        <v>133</v>
      </c>
    </row>
    <row r="145" spans="1:8">
      <c r="A145" s="38" t="s">
        <v>102</v>
      </c>
      <c r="B145" s="38">
        <v>12</v>
      </c>
      <c r="C145" s="38">
        <v>24</v>
      </c>
      <c r="D145" s="38">
        <v>6</v>
      </c>
      <c r="E145" s="38" t="s">
        <v>415</v>
      </c>
      <c r="F145" s="38" t="s">
        <v>131</v>
      </c>
      <c r="G145" s="38" t="s">
        <v>416</v>
      </c>
      <c r="H145" s="41" t="s">
        <v>133</v>
      </c>
    </row>
    <row r="146" spans="1:8">
      <c r="A146" s="38" t="s">
        <v>102</v>
      </c>
      <c r="B146" s="38">
        <v>12</v>
      </c>
      <c r="C146" s="38">
        <v>25</v>
      </c>
      <c r="D146" s="38">
        <v>1</v>
      </c>
      <c r="E146" s="38" t="s">
        <v>417</v>
      </c>
      <c r="F146" s="38" t="s">
        <v>131</v>
      </c>
      <c r="G146" s="38" t="s">
        <v>418</v>
      </c>
      <c r="H146" s="41" t="s">
        <v>133</v>
      </c>
    </row>
    <row r="147" spans="1:8">
      <c r="A147" s="38" t="s">
        <v>102</v>
      </c>
      <c r="B147" s="38">
        <v>12</v>
      </c>
      <c r="C147" s="38">
        <v>25</v>
      </c>
      <c r="D147" s="38">
        <v>2</v>
      </c>
      <c r="E147" s="38" t="s">
        <v>419</v>
      </c>
      <c r="F147" s="38" t="s">
        <v>131</v>
      </c>
      <c r="G147" s="38" t="s">
        <v>420</v>
      </c>
      <c r="H147" s="41" t="s">
        <v>133</v>
      </c>
    </row>
    <row r="148" spans="1:8">
      <c r="A148" s="38" t="s">
        <v>102</v>
      </c>
      <c r="B148" s="38">
        <v>12</v>
      </c>
      <c r="C148" s="38">
        <v>25</v>
      </c>
      <c r="D148" s="38">
        <v>3</v>
      </c>
      <c r="E148" s="38" t="s">
        <v>421</v>
      </c>
      <c r="F148" s="38" t="s">
        <v>131</v>
      </c>
      <c r="G148" s="38" t="s">
        <v>422</v>
      </c>
      <c r="H148" s="41" t="s">
        <v>133</v>
      </c>
    </row>
    <row r="149" spans="1:8">
      <c r="A149" s="38" t="s">
        <v>102</v>
      </c>
      <c r="B149" s="38">
        <v>12</v>
      </c>
      <c r="C149" s="38">
        <v>25</v>
      </c>
      <c r="D149" s="38">
        <v>4</v>
      </c>
      <c r="E149" s="38" t="s">
        <v>423</v>
      </c>
      <c r="F149" s="38" t="s">
        <v>131</v>
      </c>
      <c r="G149" s="38" t="s">
        <v>424</v>
      </c>
      <c r="H149" s="41" t="s">
        <v>133</v>
      </c>
    </row>
    <row r="150" spans="1:8">
      <c r="A150" s="38" t="s">
        <v>102</v>
      </c>
      <c r="B150" s="38">
        <v>12</v>
      </c>
      <c r="C150" s="38">
        <v>25</v>
      </c>
      <c r="D150" s="38">
        <v>5</v>
      </c>
      <c r="E150" s="38" t="s">
        <v>425</v>
      </c>
      <c r="F150" s="38" t="s">
        <v>131</v>
      </c>
      <c r="G150" s="38" t="s">
        <v>426</v>
      </c>
      <c r="H150" s="41" t="s">
        <v>133</v>
      </c>
    </row>
    <row r="151" spans="1:8">
      <c r="A151" s="38" t="s">
        <v>102</v>
      </c>
      <c r="B151" s="38">
        <v>12</v>
      </c>
      <c r="C151" s="38">
        <v>25</v>
      </c>
      <c r="D151" s="38">
        <v>6</v>
      </c>
      <c r="E151" s="38" t="s">
        <v>427</v>
      </c>
      <c r="F151" s="38" t="s">
        <v>131</v>
      </c>
      <c r="G151" s="38" t="s">
        <v>428</v>
      </c>
      <c r="H151" s="41" t="s">
        <v>133</v>
      </c>
    </row>
    <row r="152" spans="1:8">
      <c r="A152" s="38" t="s">
        <v>102</v>
      </c>
      <c r="B152" s="38">
        <v>12</v>
      </c>
      <c r="C152" s="38">
        <v>26</v>
      </c>
      <c r="D152" s="38">
        <v>1</v>
      </c>
      <c r="E152" s="38" t="s">
        <v>429</v>
      </c>
      <c r="F152" s="38" t="s">
        <v>131</v>
      </c>
      <c r="G152" s="38" t="s">
        <v>430</v>
      </c>
      <c r="H152" s="41" t="s">
        <v>133</v>
      </c>
    </row>
    <row r="153" spans="1:8">
      <c r="A153" s="38" t="s">
        <v>102</v>
      </c>
      <c r="B153" s="38">
        <v>12</v>
      </c>
      <c r="C153" s="38">
        <v>26</v>
      </c>
      <c r="D153" s="38">
        <v>2</v>
      </c>
      <c r="E153" s="38" t="s">
        <v>431</v>
      </c>
      <c r="F153" s="38" t="s">
        <v>131</v>
      </c>
      <c r="G153" s="38" t="s">
        <v>432</v>
      </c>
      <c r="H153" s="41" t="s">
        <v>133</v>
      </c>
    </row>
    <row r="154" spans="1:8">
      <c r="A154" s="38" t="s">
        <v>102</v>
      </c>
      <c r="B154" s="38">
        <v>12</v>
      </c>
      <c r="C154" s="38">
        <v>26</v>
      </c>
      <c r="D154" s="38">
        <v>3</v>
      </c>
      <c r="E154" s="38" t="s">
        <v>433</v>
      </c>
      <c r="F154" s="38" t="s">
        <v>131</v>
      </c>
      <c r="G154" s="38" t="s">
        <v>434</v>
      </c>
      <c r="H154" s="41" t="s">
        <v>133</v>
      </c>
    </row>
    <row r="155" spans="1:8">
      <c r="A155" s="38" t="s">
        <v>102</v>
      </c>
      <c r="B155" s="38">
        <v>12</v>
      </c>
      <c r="C155" s="38">
        <v>26</v>
      </c>
      <c r="D155" s="38">
        <v>4</v>
      </c>
      <c r="E155" s="38" t="s">
        <v>435</v>
      </c>
      <c r="F155" s="38" t="s">
        <v>131</v>
      </c>
      <c r="G155" s="38" t="s">
        <v>436</v>
      </c>
      <c r="H155" s="41" t="s">
        <v>133</v>
      </c>
    </row>
    <row r="156" spans="1:8">
      <c r="A156" s="38" t="s">
        <v>102</v>
      </c>
      <c r="B156" s="38">
        <v>12</v>
      </c>
      <c r="C156" s="38">
        <v>26</v>
      </c>
      <c r="D156" s="38">
        <v>5</v>
      </c>
      <c r="E156" s="38" t="s">
        <v>437</v>
      </c>
      <c r="F156" s="38" t="s">
        <v>131</v>
      </c>
      <c r="G156" s="38" t="s">
        <v>438</v>
      </c>
      <c r="H156" s="41" t="s">
        <v>133</v>
      </c>
    </row>
    <row r="157" spans="1:8">
      <c r="A157" s="38" t="s">
        <v>102</v>
      </c>
      <c r="B157" s="38">
        <v>12</v>
      </c>
      <c r="C157" s="38">
        <v>26</v>
      </c>
      <c r="D157" s="38">
        <v>6</v>
      </c>
      <c r="E157" s="38" t="s">
        <v>439</v>
      </c>
      <c r="F157" s="38" t="s">
        <v>131</v>
      </c>
      <c r="G157" s="38" t="s">
        <v>440</v>
      </c>
      <c r="H157" s="41" t="s">
        <v>133</v>
      </c>
    </row>
    <row r="158" spans="1:8">
      <c r="A158" s="38" t="s">
        <v>102</v>
      </c>
      <c r="B158" s="38">
        <v>12</v>
      </c>
      <c r="C158" s="38">
        <v>27</v>
      </c>
      <c r="D158" s="38">
        <v>1</v>
      </c>
      <c r="E158" s="38" t="s">
        <v>441</v>
      </c>
      <c r="F158" s="38" t="s">
        <v>131</v>
      </c>
      <c r="G158" s="38" t="s">
        <v>442</v>
      </c>
      <c r="H158" s="41" t="s">
        <v>133</v>
      </c>
    </row>
    <row r="159" spans="1:8">
      <c r="A159" s="38" t="s">
        <v>102</v>
      </c>
      <c r="B159" s="38">
        <v>12</v>
      </c>
      <c r="C159" s="38">
        <v>27</v>
      </c>
      <c r="D159" s="38">
        <v>2</v>
      </c>
      <c r="E159" s="38" t="s">
        <v>443</v>
      </c>
      <c r="F159" s="38" t="s">
        <v>131</v>
      </c>
      <c r="G159" s="38" t="s">
        <v>444</v>
      </c>
      <c r="H159" s="41" t="s">
        <v>133</v>
      </c>
    </row>
    <row r="160" spans="1:8">
      <c r="A160" s="38" t="s">
        <v>102</v>
      </c>
      <c r="B160" s="38">
        <v>12</v>
      </c>
      <c r="C160" s="38">
        <v>27</v>
      </c>
      <c r="D160" s="38">
        <v>3</v>
      </c>
      <c r="E160" s="38" t="s">
        <v>445</v>
      </c>
      <c r="F160" s="38" t="s">
        <v>131</v>
      </c>
      <c r="G160" s="38" t="s">
        <v>446</v>
      </c>
      <c r="H160" s="41" t="s">
        <v>133</v>
      </c>
    </row>
    <row r="161" spans="1:8">
      <c r="A161" s="38" t="s">
        <v>102</v>
      </c>
      <c r="B161" s="38">
        <v>12</v>
      </c>
      <c r="C161" s="38">
        <v>27</v>
      </c>
      <c r="D161" s="38">
        <v>4</v>
      </c>
      <c r="E161" s="38" t="s">
        <v>447</v>
      </c>
      <c r="F161" s="38" t="s">
        <v>131</v>
      </c>
      <c r="G161" s="38" t="s">
        <v>448</v>
      </c>
      <c r="H161" s="41" t="s">
        <v>133</v>
      </c>
    </row>
    <row r="162" spans="1:8">
      <c r="A162" s="38" t="s">
        <v>102</v>
      </c>
      <c r="B162" s="38">
        <v>12</v>
      </c>
      <c r="C162" s="38">
        <v>27</v>
      </c>
      <c r="D162" s="38">
        <v>5</v>
      </c>
      <c r="E162" s="38" t="s">
        <v>449</v>
      </c>
      <c r="F162" s="38" t="s">
        <v>131</v>
      </c>
      <c r="G162" s="38" t="s">
        <v>450</v>
      </c>
      <c r="H162" s="41" t="s">
        <v>133</v>
      </c>
    </row>
    <row r="163" spans="1:8">
      <c r="A163" s="38" t="s">
        <v>102</v>
      </c>
      <c r="B163" s="38">
        <v>12</v>
      </c>
      <c r="C163" s="38">
        <v>27</v>
      </c>
      <c r="D163" s="38">
        <v>6</v>
      </c>
      <c r="E163" s="38" t="s">
        <v>451</v>
      </c>
      <c r="F163" s="38" t="s">
        <v>131</v>
      </c>
      <c r="G163" s="38" t="s">
        <v>452</v>
      </c>
      <c r="H163" s="41" t="s">
        <v>133</v>
      </c>
    </row>
    <row r="164" spans="1:8">
      <c r="A164" s="38" t="s">
        <v>102</v>
      </c>
      <c r="B164" s="38">
        <v>12</v>
      </c>
      <c r="C164" s="38">
        <v>28</v>
      </c>
      <c r="D164" s="38">
        <v>1</v>
      </c>
      <c r="E164" s="38" t="s">
        <v>453</v>
      </c>
      <c r="F164" s="38" t="s">
        <v>131</v>
      </c>
      <c r="G164" s="38" t="s">
        <v>454</v>
      </c>
      <c r="H164" s="41" t="s">
        <v>133</v>
      </c>
    </row>
    <row r="165" spans="1:8">
      <c r="A165" s="38" t="s">
        <v>102</v>
      </c>
      <c r="B165" s="38">
        <v>12</v>
      </c>
      <c r="C165" s="38">
        <v>28</v>
      </c>
      <c r="D165" s="38">
        <v>2</v>
      </c>
      <c r="E165" s="38" t="s">
        <v>455</v>
      </c>
      <c r="F165" s="38" t="s">
        <v>131</v>
      </c>
      <c r="G165" s="38" t="s">
        <v>456</v>
      </c>
      <c r="H165" s="41" t="s">
        <v>133</v>
      </c>
    </row>
    <row r="166" spans="1:8">
      <c r="A166" s="38" t="s">
        <v>102</v>
      </c>
      <c r="B166" s="38">
        <v>12</v>
      </c>
      <c r="C166" s="38">
        <v>28</v>
      </c>
      <c r="D166" s="38">
        <v>3</v>
      </c>
      <c r="E166" s="38" t="s">
        <v>457</v>
      </c>
      <c r="F166" s="38" t="s">
        <v>131</v>
      </c>
      <c r="G166" s="38" t="s">
        <v>458</v>
      </c>
      <c r="H166" s="41" t="s">
        <v>133</v>
      </c>
    </row>
    <row r="167" spans="1:8">
      <c r="A167" s="38" t="s">
        <v>102</v>
      </c>
      <c r="B167" s="38">
        <v>12</v>
      </c>
      <c r="C167" s="38">
        <v>28</v>
      </c>
      <c r="D167" s="38">
        <v>4</v>
      </c>
      <c r="E167" s="38" t="s">
        <v>459</v>
      </c>
      <c r="F167" s="38" t="s">
        <v>131</v>
      </c>
      <c r="G167" s="38" t="s">
        <v>460</v>
      </c>
      <c r="H167" s="41" t="s">
        <v>133</v>
      </c>
    </row>
    <row r="168" spans="1:8">
      <c r="A168" s="38" t="s">
        <v>102</v>
      </c>
      <c r="B168" s="38">
        <v>12</v>
      </c>
      <c r="C168" s="38">
        <v>28</v>
      </c>
      <c r="D168" s="38">
        <v>5</v>
      </c>
      <c r="E168" s="38" t="s">
        <v>461</v>
      </c>
      <c r="F168" s="38" t="s">
        <v>131</v>
      </c>
      <c r="G168" s="38" t="s">
        <v>462</v>
      </c>
      <c r="H168" s="41" t="s">
        <v>133</v>
      </c>
    </row>
    <row r="169" spans="1:8">
      <c r="A169" s="38" t="s">
        <v>102</v>
      </c>
      <c r="B169" s="38">
        <v>12</v>
      </c>
      <c r="C169" s="38">
        <v>28</v>
      </c>
      <c r="D169" s="38">
        <v>6</v>
      </c>
      <c r="E169" s="38" t="s">
        <v>463</v>
      </c>
      <c r="F169" s="38" t="s">
        <v>131</v>
      </c>
      <c r="G169" s="38" t="s">
        <v>464</v>
      </c>
      <c r="H169" s="41" t="s">
        <v>133</v>
      </c>
    </row>
    <row r="170" spans="1:8">
      <c r="A170" s="38" t="s">
        <v>102</v>
      </c>
      <c r="B170" s="38">
        <v>12</v>
      </c>
      <c r="C170" s="38">
        <v>29</v>
      </c>
      <c r="D170" s="38">
        <v>1</v>
      </c>
      <c r="E170" s="38" t="s">
        <v>465</v>
      </c>
      <c r="F170" s="38" t="s">
        <v>131</v>
      </c>
      <c r="G170" s="38" t="s">
        <v>466</v>
      </c>
      <c r="H170" s="41" t="s">
        <v>133</v>
      </c>
    </row>
    <row r="171" spans="1:8">
      <c r="A171" s="38" t="s">
        <v>102</v>
      </c>
      <c r="B171" s="38">
        <v>12</v>
      </c>
      <c r="C171" s="38">
        <v>29</v>
      </c>
      <c r="D171" s="38">
        <v>2</v>
      </c>
      <c r="E171" s="38" t="s">
        <v>467</v>
      </c>
      <c r="F171" s="38" t="s">
        <v>131</v>
      </c>
      <c r="G171" s="38" t="s">
        <v>468</v>
      </c>
      <c r="H171" s="41" t="s">
        <v>133</v>
      </c>
    </row>
    <row r="172" spans="1:8">
      <c r="A172" s="38" t="s">
        <v>102</v>
      </c>
      <c r="B172" s="38">
        <v>12</v>
      </c>
      <c r="C172" s="38">
        <v>29</v>
      </c>
      <c r="D172" s="38">
        <v>3</v>
      </c>
      <c r="E172" s="38" t="s">
        <v>469</v>
      </c>
      <c r="F172" s="38" t="s">
        <v>131</v>
      </c>
      <c r="G172" s="38" t="s">
        <v>470</v>
      </c>
      <c r="H172" s="41" t="s">
        <v>133</v>
      </c>
    </row>
    <row r="173" spans="1:8">
      <c r="A173" s="38" t="s">
        <v>102</v>
      </c>
      <c r="B173" s="38">
        <v>12</v>
      </c>
      <c r="C173" s="38">
        <v>29</v>
      </c>
      <c r="D173" s="38">
        <v>4</v>
      </c>
      <c r="E173" s="38" t="s">
        <v>471</v>
      </c>
      <c r="F173" s="38" t="s">
        <v>131</v>
      </c>
      <c r="G173" s="38" t="s">
        <v>472</v>
      </c>
      <c r="H173" s="41" t="s">
        <v>133</v>
      </c>
    </row>
    <row r="174" spans="1:8">
      <c r="A174" s="38" t="s">
        <v>102</v>
      </c>
      <c r="B174" s="38">
        <v>12</v>
      </c>
      <c r="C174" s="38">
        <v>29</v>
      </c>
      <c r="D174" s="38">
        <v>5</v>
      </c>
      <c r="E174" s="38" t="s">
        <v>473</v>
      </c>
      <c r="F174" s="38" t="s">
        <v>131</v>
      </c>
      <c r="G174" s="38" t="s">
        <v>474</v>
      </c>
      <c r="H174" s="41" t="s">
        <v>133</v>
      </c>
    </row>
    <row r="175" spans="1:8">
      <c r="A175" s="38" t="s">
        <v>102</v>
      </c>
      <c r="B175" s="38">
        <v>12</v>
      </c>
      <c r="C175" s="38">
        <v>29</v>
      </c>
      <c r="D175" s="38">
        <v>6</v>
      </c>
      <c r="E175" s="38" t="s">
        <v>475</v>
      </c>
      <c r="F175" s="38" t="s">
        <v>131</v>
      </c>
      <c r="G175" s="38" t="s">
        <v>476</v>
      </c>
      <c r="H175" s="41" t="s">
        <v>133</v>
      </c>
    </row>
    <row r="176" spans="1:8">
      <c r="A176" s="38" t="s">
        <v>102</v>
      </c>
      <c r="B176" s="38">
        <v>12</v>
      </c>
      <c r="C176" s="38">
        <v>30</v>
      </c>
      <c r="D176" s="38">
        <v>1</v>
      </c>
      <c r="E176" s="38" t="s">
        <v>477</v>
      </c>
      <c r="F176" s="38" t="s">
        <v>131</v>
      </c>
      <c r="G176" s="38" t="s">
        <v>478</v>
      </c>
      <c r="H176" s="41" t="s">
        <v>133</v>
      </c>
    </row>
    <row r="177" spans="1:8">
      <c r="A177" s="38" t="s">
        <v>102</v>
      </c>
      <c r="B177" s="38">
        <v>12</v>
      </c>
      <c r="C177" s="38">
        <v>30</v>
      </c>
      <c r="D177" s="38">
        <v>2</v>
      </c>
      <c r="E177" s="38" t="s">
        <v>479</v>
      </c>
      <c r="F177" s="38" t="s">
        <v>131</v>
      </c>
      <c r="G177" s="38" t="s">
        <v>480</v>
      </c>
      <c r="H177" s="41" t="s">
        <v>133</v>
      </c>
    </row>
    <row r="178" spans="1:8">
      <c r="A178" s="38" t="s">
        <v>102</v>
      </c>
      <c r="B178" s="38">
        <v>12</v>
      </c>
      <c r="C178" s="38">
        <v>30</v>
      </c>
      <c r="D178" s="38">
        <v>3</v>
      </c>
      <c r="E178" s="38" t="s">
        <v>481</v>
      </c>
      <c r="F178" s="38" t="s">
        <v>131</v>
      </c>
      <c r="G178" s="38" t="s">
        <v>482</v>
      </c>
      <c r="H178" s="41" t="s">
        <v>133</v>
      </c>
    </row>
    <row r="179" spans="1:8">
      <c r="A179" s="38" t="s">
        <v>102</v>
      </c>
      <c r="B179" s="38">
        <v>12</v>
      </c>
      <c r="C179" s="38">
        <v>30</v>
      </c>
      <c r="D179" s="38">
        <v>4</v>
      </c>
      <c r="E179" s="38" t="s">
        <v>483</v>
      </c>
      <c r="F179" s="38" t="s">
        <v>131</v>
      </c>
      <c r="G179" s="38" t="s">
        <v>484</v>
      </c>
      <c r="H179" s="41" t="s">
        <v>133</v>
      </c>
    </row>
    <row r="180" spans="1:8">
      <c r="A180" s="38" t="s">
        <v>102</v>
      </c>
      <c r="B180" s="38">
        <v>12</v>
      </c>
      <c r="C180" s="38">
        <v>30</v>
      </c>
      <c r="D180" s="38">
        <v>5</v>
      </c>
      <c r="E180" s="38" t="s">
        <v>485</v>
      </c>
      <c r="F180" s="38" t="s">
        <v>131</v>
      </c>
      <c r="G180" s="38" t="s">
        <v>486</v>
      </c>
      <c r="H180" s="41" t="s">
        <v>133</v>
      </c>
    </row>
    <row r="181" spans="1:8">
      <c r="A181" s="38" t="s">
        <v>102</v>
      </c>
      <c r="B181" s="38">
        <v>12</v>
      </c>
      <c r="C181" s="38">
        <v>30</v>
      </c>
      <c r="D181" s="38">
        <v>6</v>
      </c>
      <c r="E181" s="38" t="s">
        <v>487</v>
      </c>
      <c r="F181" s="38" t="s">
        <v>131</v>
      </c>
      <c r="G181" s="38" t="s">
        <v>488</v>
      </c>
      <c r="H181" s="41" t="s">
        <v>133</v>
      </c>
    </row>
    <row r="182" spans="1:8">
      <c r="A182" s="38" t="s">
        <v>102</v>
      </c>
      <c r="B182" s="38">
        <v>12</v>
      </c>
      <c r="C182" s="38">
        <v>31</v>
      </c>
      <c r="D182" s="38">
        <v>1</v>
      </c>
      <c r="E182" s="38" t="s">
        <v>489</v>
      </c>
      <c r="F182" s="38" t="s">
        <v>131</v>
      </c>
      <c r="G182" s="38" t="s">
        <v>490</v>
      </c>
      <c r="H182" s="41" t="s">
        <v>133</v>
      </c>
    </row>
    <row r="183" spans="1:8">
      <c r="A183" s="38" t="s">
        <v>102</v>
      </c>
      <c r="B183" s="38">
        <v>12</v>
      </c>
      <c r="C183" s="38">
        <v>31</v>
      </c>
      <c r="D183" s="38">
        <v>2</v>
      </c>
      <c r="E183" s="38" t="s">
        <v>491</v>
      </c>
      <c r="F183" s="38" t="s">
        <v>131</v>
      </c>
      <c r="G183" s="38" t="s">
        <v>492</v>
      </c>
      <c r="H183" s="41" t="s">
        <v>133</v>
      </c>
    </row>
    <row r="184" spans="1:8">
      <c r="A184" s="38" t="s">
        <v>102</v>
      </c>
      <c r="B184" s="38">
        <v>12</v>
      </c>
      <c r="C184" s="38">
        <v>31</v>
      </c>
      <c r="D184" s="38">
        <v>3</v>
      </c>
      <c r="E184" s="38" t="s">
        <v>493</v>
      </c>
      <c r="F184" s="38" t="s">
        <v>131</v>
      </c>
      <c r="G184" s="38" t="s">
        <v>494</v>
      </c>
      <c r="H184" s="41" t="s">
        <v>133</v>
      </c>
    </row>
    <row r="185" spans="1:8">
      <c r="A185" s="38" t="s">
        <v>102</v>
      </c>
      <c r="B185" s="38">
        <v>12</v>
      </c>
      <c r="C185" s="38">
        <v>31</v>
      </c>
      <c r="D185" s="38">
        <v>4</v>
      </c>
      <c r="E185" s="38" t="s">
        <v>495</v>
      </c>
      <c r="F185" s="38" t="s">
        <v>131</v>
      </c>
      <c r="G185" s="38" t="s">
        <v>496</v>
      </c>
      <c r="H185" s="41" t="s">
        <v>133</v>
      </c>
    </row>
    <row r="186" spans="1:8">
      <c r="A186" s="38" t="s">
        <v>102</v>
      </c>
      <c r="B186" s="38">
        <v>12</v>
      </c>
      <c r="C186" s="38">
        <v>31</v>
      </c>
      <c r="D186" s="38">
        <v>5</v>
      </c>
      <c r="E186" s="38" t="s">
        <v>497</v>
      </c>
      <c r="F186" s="38" t="s">
        <v>131</v>
      </c>
      <c r="G186" s="38" t="s">
        <v>496</v>
      </c>
      <c r="H186" s="41" t="s">
        <v>133</v>
      </c>
    </row>
    <row r="187" spans="1:8">
      <c r="A187" s="38" t="s">
        <v>102</v>
      </c>
      <c r="B187" s="38">
        <v>12</v>
      </c>
      <c r="C187" s="38">
        <v>31</v>
      </c>
      <c r="D187" s="38">
        <v>6</v>
      </c>
      <c r="E187" s="38" t="s">
        <v>498</v>
      </c>
      <c r="F187" s="38" t="s">
        <v>131</v>
      </c>
      <c r="G187" s="38" t="s">
        <v>499</v>
      </c>
      <c r="H187" s="41" t="s">
        <v>133</v>
      </c>
    </row>
    <row r="188" spans="1:8">
      <c r="A188" s="38" t="s">
        <v>102</v>
      </c>
      <c r="B188" s="38">
        <v>12</v>
      </c>
      <c r="C188" s="38">
        <v>32</v>
      </c>
      <c r="D188" s="38">
        <v>1</v>
      </c>
      <c r="E188" s="38" t="s">
        <v>500</v>
      </c>
      <c r="F188" s="38" t="s">
        <v>131</v>
      </c>
      <c r="G188" s="38" t="s">
        <v>501</v>
      </c>
      <c r="H188" s="41" t="s">
        <v>133</v>
      </c>
    </row>
    <row r="189" spans="1:8">
      <c r="A189" s="38" t="s">
        <v>102</v>
      </c>
      <c r="B189" s="38">
        <v>12</v>
      </c>
      <c r="C189" s="38">
        <v>32</v>
      </c>
      <c r="D189" s="38">
        <v>2</v>
      </c>
      <c r="E189" s="38" t="s">
        <v>502</v>
      </c>
      <c r="F189" s="38" t="s">
        <v>131</v>
      </c>
      <c r="G189" s="38" t="s">
        <v>503</v>
      </c>
      <c r="H189" s="41" t="s">
        <v>133</v>
      </c>
    </row>
    <row r="190" spans="1:8">
      <c r="A190" s="38" t="s">
        <v>102</v>
      </c>
      <c r="B190" s="38">
        <v>12</v>
      </c>
      <c r="C190" s="38">
        <v>32</v>
      </c>
      <c r="D190" s="38">
        <v>3</v>
      </c>
      <c r="E190" s="38" t="s">
        <v>504</v>
      </c>
      <c r="F190" s="38" t="s">
        <v>131</v>
      </c>
      <c r="G190" s="38" t="s">
        <v>505</v>
      </c>
      <c r="H190" s="41" t="s">
        <v>133</v>
      </c>
    </row>
    <row r="191" spans="1:8">
      <c r="A191" s="38" t="s">
        <v>102</v>
      </c>
      <c r="B191" s="38">
        <v>12</v>
      </c>
      <c r="C191" s="38">
        <v>32</v>
      </c>
      <c r="D191" s="38">
        <v>4</v>
      </c>
      <c r="E191" s="38" t="s">
        <v>506</v>
      </c>
      <c r="F191" s="38" t="s">
        <v>131</v>
      </c>
      <c r="G191" s="38" t="s">
        <v>507</v>
      </c>
      <c r="H191" s="41" t="s">
        <v>133</v>
      </c>
    </row>
    <row r="192" spans="1:8">
      <c r="A192" s="38" t="s">
        <v>102</v>
      </c>
      <c r="B192" s="38">
        <v>12</v>
      </c>
      <c r="C192" s="38">
        <v>32</v>
      </c>
      <c r="D192" s="38">
        <v>5</v>
      </c>
      <c r="E192" s="38" t="s">
        <v>508</v>
      </c>
      <c r="F192" s="38" t="s">
        <v>131</v>
      </c>
      <c r="G192" s="38" t="s">
        <v>509</v>
      </c>
      <c r="H192" s="41" t="s">
        <v>133</v>
      </c>
    </row>
    <row r="193" spans="1:8">
      <c r="A193" s="38" t="s">
        <v>102</v>
      </c>
      <c r="B193" s="38">
        <v>12</v>
      </c>
      <c r="C193" s="38">
        <v>32</v>
      </c>
      <c r="D193" s="38">
        <v>6</v>
      </c>
      <c r="E193" s="38" t="s">
        <v>510</v>
      </c>
      <c r="F193" s="38" t="s">
        <v>131</v>
      </c>
      <c r="G193" s="38" t="s">
        <v>503</v>
      </c>
      <c r="H193" s="41" t="s">
        <v>133</v>
      </c>
    </row>
    <row r="194" spans="1:8">
      <c r="A194" s="38" t="s">
        <v>102</v>
      </c>
      <c r="B194" s="38">
        <v>12</v>
      </c>
      <c r="C194" s="38">
        <v>33</v>
      </c>
      <c r="D194" s="38">
        <v>1</v>
      </c>
      <c r="E194" s="38" t="s">
        <v>511</v>
      </c>
      <c r="F194" s="38" t="s">
        <v>131</v>
      </c>
      <c r="G194" s="38" t="s">
        <v>512</v>
      </c>
      <c r="H194" s="41" t="s">
        <v>133</v>
      </c>
    </row>
    <row r="195" spans="1:8">
      <c r="A195" s="38" t="s">
        <v>102</v>
      </c>
      <c r="B195" s="38">
        <v>12</v>
      </c>
      <c r="C195" s="38">
        <v>33</v>
      </c>
      <c r="D195" s="38">
        <v>2</v>
      </c>
      <c r="E195" s="38" t="s">
        <v>513</v>
      </c>
      <c r="F195" s="38" t="s">
        <v>131</v>
      </c>
      <c r="G195" s="38" t="s">
        <v>505</v>
      </c>
      <c r="H195" s="41" t="s">
        <v>133</v>
      </c>
    </row>
    <row r="196" spans="1:8">
      <c r="A196" s="38" t="s">
        <v>102</v>
      </c>
      <c r="B196" s="38">
        <v>12</v>
      </c>
      <c r="C196" s="38">
        <v>33</v>
      </c>
      <c r="D196" s="38">
        <v>3</v>
      </c>
      <c r="E196" s="38" t="s">
        <v>514</v>
      </c>
      <c r="F196" s="38" t="s">
        <v>131</v>
      </c>
      <c r="G196" s="38" t="s">
        <v>515</v>
      </c>
      <c r="H196" s="41" t="s">
        <v>133</v>
      </c>
    </row>
    <row r="197" spans="1:8">
      <c r="A197" s="38" t="s">
        <v>102</v>
      </c>
      <c r="B197" s="38">
        <v>12</v>
      </c>
      <c r="C197" s="38">
        <v>33</v>
      </c>
      <c r="D197" s="38">
        <v>4</v>
      </c>
      <c r="E197" s="38" t="s">
        <v>516</v>
      </c>
      <c r="F197" s="38" t="s">
        <v>131</v>
      </c>
      <c r="G197" s="38" t="s">
        <v>503</v>
      </c>
      <c r="H197" s="41" t="s">
        <v>133</v>
      </c>
    </row>
    <row r="198" spans="1:8">
      <c r="A198" s="38" t="s">
        <v>102</v>
      </c>
      <c r="B198" s="38">
        <v>12</v>
      </c>
      <c r="C198" s="38">
        <v>33</v>
      </c>
      <c r="D198" s="38">
        <v>5</v>
      </c>
      <c r="E198" s="38" t="s">
        <v>517</v>
      </c>
      <c r="F198" s="38" t="s">
        <v>131</v>
      </c>
      <c r="G198" s="38" t="s">
        <v>518</v>
      </c>
      <c r="H198" s="41" t="s">
        <v>133</v>
      </c>
    </row>
    <row r="199" spans="1:8">
      <c r="A199" s="38" t="s">
        <v>102</v>
      </c>
      <c r="B199" s="38">
        <v>12</v>
      </c>
      <c r="C199" s="38">
        <v>33</v>
      </c>
      <c r="D199" s="38">
        <v>6</v>
      </c>
      <c r="E199" s="38" t="s">
        <v>519</v>
      </c>
      <c r="F199" s="38" t="s">
        <v>131</v>
      </c>
      <c r="G199" s="38" t="s">
        <v>503</v>
      </c>
      <c r="H199" s="41" t="s">
        <v>133</v>
      </c>
    </row>
    <row r="200" spans="1:8">
      <c r="A200" s="38" t="s">
        <v>102</v>
      </c>
      <c r="B200" s="38">
        <v>12</v>
      </c>
      <c r="C200" s="38">
        <v>34</v>
      </c>
      <c r="D200" s="38">
        <v>1</v>
      </c>
      <c r="E200" s="38" t="s">
        <v>520</v>
      </c>
      <c r="F200" s="38" t="s">
        <v>131</v>
      </c>
      <c r="G200" s="38" t="s">
        <v>503</v>
      </c>
      <c r="H200" s="41" t="s">
        <v>133</v>
      </c>
    </row>
    <row r="201" spans="1:8">
      <c r="A201" s="38" t="s">
        <v>102</v>
      </c>
      <c r="B201" s="38">
        <v>12</v>
      </c>
      <c r="C201" s="38">
        <v>34</v>
      </c>
      <c r="D201" s="38">
        <v>2</v>
      </c>
      <c r="E201" s="38" t="s">
        <v>521</v>
      </c>
      <c r="F201" s="38" t="s">
        <v>131</v>
      </c>
      <c r="G201" s="38" t="s">
        <v>503</v>
      </c>
      <c r="H201" s="41" t="s">
        <v>133</v>
      </c>
    </row>
    <row r="202" spans="1:8">
      <c r="A202" s="38" t="s">
        <v>102</v>
      </c>
      <c r="B202" s="38">
        <v>12</v>
      </c>
      <c r="C202" s="38">
        <v>34</v>
      </c>
      <c r="D202" s="38">
        <v>3</v>
      </c>
      <c r="E202" s="38" t="s">
        <v>522</v>
      </c>
      <c r="F202" s="38" t="s">
        <v>131</v>
      </c>
      <c r="G202" s="38" t="s">
        <v>503</v>
      </c>
      <c r="H202" s="41" t="s">
        <v>133</v>
      </c>
    </row>
    <row r="203" spans="1:8">
      <c r="A203" s="38" t="s">
        <v>102</v>
      </c>
      <c r="B203" s="38">
        <v>12</v>
      </c>
      <c r="C203" s="38">
        <v>34</v>
      </c>
      <c r="D203" s="38">
        <v>4</v>
      </c>
      <c r="E203" s="38" t="s">
        <v>523</v>
      </c>
      <c r="F203" s="38" t="s">
        <v>131</v>
      </c>
      <c r="G203" s="38" t="s">
        <v>503</v>
      </c>
      <c r="H203" s="41" t="s">
        <v>133</v>
      </c>
    </row>
    <row r="204" spans="1:8">
      <c r="A204" s="38" t="s">
        <v>102</v>
      </c>
      <c r="B204" s="38">
        <v>12</v>
      </c>
      <c r="C204" s="38">
        <v>34</v>
      </c>
      <c r="D204" s="38">
        <v>5</v>
      </c>
      <c r="E204" s="38" t="s">
        <v>524</v>
      </c>
      <c r="F204" s="38" t="s">
        <v>131</v>
      </c>
      <c r="G204" s="38" t="s">
        <v>503</v>
      </c>
      <c r="H204" s="41" t="s">
        <v>133</v>
      </c>
    </row>
    <row r="205" spans="1:8">
      <c r="A205" s="38" t="s">
        <v>102</v>
      </c>
      <c r="B205" s="38">
        <v>12</v>
      </c>
      <c r="C205" s="38">
        <v>34</v>
      </c>
      <c r="D205" s="38">
        <v>6</v>
      </c>
      <c r="E205" s="38" t="s">
        <v>525</v>
      </c>
      <c r="F205" s="38" t="s">
        <v>131</v>
      </c>
      <c r="G205" s="38" t="s">
        <v>503</v>
      </c>
      <c r="H205" s="41" t="s">
        <v>133</v>
      </c>
    </row>
    <row r="206" spans="1:8">
      <c r="A206" s="38" t="s">
        <v>102</v>
      </c>
      <c r="B206" s="38">
        <v>12</v>
      </c>
      <c r="C206" s="38">
        <v>35</v>
      </c>
      <c r="D206" s="38">
        <v>1</v>
      </c>
      <c r="E206" s="38" t="s">
        <v>526</v>
      </c>
      <c r="F206" s="38" t="s">
        <v>131</v>
      </c>
      <c r="G206" s="38" t="s">
        <v>527</v>
      </c>
      <c r="H206" s="41" t="s">
        <v>133</v>
      </c>
    </row>
    <row r="207" spans="1:8">
      <c r="A207" s="38" t="s">
        <v>102</v>
      </c>
      <c r="B207" s="38">
        <v>12</v>
      </c>
      <c r="C207" s="38">
        <v>35</v>
      </c>
      <c r="D207" s="38">
        <v>2</v>
      </c>
      <c r="E207" s="38" t="s">
        <v>528</v>
      </c>
      <c r="F207" s="38" t="s">
        <v>131</v>
      </c>
      <c r="G207" s="38" t="s">
        <v>503</v>
      </c>
      <c r="H207" s="41" t="s">
        <v>133</v>
      </c>
    </row>
    <row r="208" spans="1:8">
      <c r="A208" s="38" t="s">
        <v>102</v>
      </c>
      <c r="B208" s="38">
        <v>12</v>
      </c>
      <c r="C208" s="38">
        <v>35</v>
      </c>
      <c r="D208" s="38">
        <v>3</v>
      </c>
      <c r="E208" s="38" t="s">
        <v>529</v>
      </c>
      <c r="F208" s="38" t="s">
        <v>131</v>
      </c>
      <c r="G208" s="38" t="s">
        <v>503</v>
      </c>
      <c r="H208" s="41" t="s">
        <v>133</v>
      </c>
    </row>
    <row r="209" spans="1:8">
      <c r="A209" s="38" t="s">
        <v>102</v>
      </c>
      <c r="B209" s="38">
        <v>12</v>
      </c>
      <c r="C209" s="38">
        <v>35</v>
      </c>
      <c r="D209" s="38">
        <v>4</v>
      </c>
      <c r="E209" s="38" t="s">
        <v>530</v>
      </c>
      <c r="F209" s="38" t="s">
        <v>131</v>
      </c>
      <c r="G209" s="38" t="s">
        <v>518</v>
      </c>
      <c r="H209" s="41" t="s">
        <v>133</v>
      </c>
    </row>
    <row r="210" spans="1:8">
      <c r="A210" s="38" t="s">
        <v>102</v>
      </c>
      <c r="B210" s="38">
        <v>12</v>
      </c>
      <c r="C210" s="38">
        <v>35</v>
      </c>
      <c r="D210" s="38">
        <v>5</v>
      </c>
      <c r="E210" s="38" t="s">
        <v>531</v>
      </c>
      <c r="F210" s="38" t="s">
        <v>131</v>
      </c>
      <c r="G210" s="38" t="s">
        <v>503</v>
      </c>
      <c r="H210" s="41" t="s">
        <v>133</v>
      </c>
    </row>
    <row r="211" spans="1:8">
      <c r="A211" s="38" t="s">
        <v>102</v>
      </c>
      <c r="B211" s="38">
        <v>12</v>
      </c>
      <c r="C211" s="38">
        <v>35</v>
      </c>
      <c r="D211" s="38">
        <v>6</v>
      </c>
      <c r="E211" s="38" t="s">
        <v>532</v>
      </c>
      <c r="F211" s="38" t="s">
        <v>131</v>
      </c>
      <c r="G211" s="38" t="s">
        <v>503</v>
      </c>
      <c r="H211" s="41" t="s">
        <v>133</v>
      </c>
    </row>
    <row r="212" spans="1:8">
      <c r="A212" s="38" t="s">
        <v>102</v>
      </c>
      <c r="B212" s="38">
        <v>12</v>
      </c>
      <c r="C212" s="38">
        <v>36</v>
      </c>
      <c r="D212" s="38">
        <v>1</v>
      </c>
      <c r="E212" s="38" t="s">
        <v>533</v>
      </c>
      <c r="F212" s="38" t="s">
        <v>131</v>
      </c>
      <c r="G212" s="38" t="s">
        <v>534</v>
      </c>
      <c r="H212" s="41" t="s">
        <v>133</v>
      </c>
    </row>
    <row r="213" spans="1:8">
      <c r="A213" s="38" t="s">
        <v>102</v>
      </c>
      <c r="B213" s="38">
        <v>12</v>
      </c>
      <c r="C213" s="38">
        <v>36</v>
      </c>
      <c r="D213" s="38">
        <v>2</v>
      </c>
      <c r="E213" s="38" t="s">
        <v>535</v>
      </c>
      <c r="F213" s="38" t="s">
        <v>131</v>
      </c>
      <c r="G213" s="38" t="s">
        <v>536</v>
      </c>
      <c r="H213" s="41" t="s">
        <v>133</v>
      </c>
    </row>
    <row r="214" spans="1:8">
      <c r="A214" s="38" t="s">
        <v>102</v>
      </c>
      <c r="B214" s="38">
        <v>12</v>
      </c>
      <c r="C214" s="38">
        <v>36</v>
      </c>
      <c r="D214" s="38">
        <v>3</v>
      </c>
      <c r="E214" s="38" t="s">
        <v>537</v>
      </c>
      <c r="F214" s="38" t="s">
        <v>131</v>
      </c>
      <c r="G214" s="38" t="s">
        <v>534</v>
      </c>
      <c r="H214" s="41" t="s">
        <v>133</v>
      </c>
    </row>
    <row r="215" spans="1:8">
      <c r="A215" s="38" t="s">
        <v>102</v>
      </c>
      <c r="B215" s="38">
        <v>12</v>
      </c>
      <c r="C215" s="38">
        <v>36</v>
      </c>
      <c r="D215" s="38">
        <v>4</v>
      </c>
      <c r="E215" s="38" t="s">
        <v>538</v>
      </c>
      <c r="F215" s="38" t="s">
        <v>131</v>
      </c>
      <c r="G215" s="38" t="s">
        <v>539</v>
      </c>
      <c r="H215" s="41" t="s">
        <v>133</v>
      </c>
    </row>
    <row r="216" spans="1:8">
      <c r="A216" s="38" t="s">
        <v>102</v>
      </c>
      <c r="B216" s="38">
        <v>12</v>
      </c>
      <c r="C216" s="38">
        <v>36</v>
      </c>
      <c r="D216" s="38">
        <v>5</v>
      </c>
      <c r="E216" s="38" t="s">
        <v>540</v>
      </c>
      <c r="F216" s="38" t="s">
        <v>131</v>
      </c>
      <c r="G216" s="38" t="s">
        <v>541</v>
      </c>
      <c r="H216" s="41" t="s">
        <v>133</v>
      </c>
    </row>
    <row r="217" spans="1:8">
      <c r="A217" s="38" t="s">
        <v>102</v>
      </c>
      <c r="B217" s="38">
        <v>12</v>
      </c>
      <c r="C217" s="38">
        <v>36</v>
      </c>
      <c r="D217" s="38">
        <v>6</v>
      </c>
      <c r="E217" s="38" t="s">
        <v>542</v>
      </c>
      <c r="F217" s="38" t="s">
        <v>131</v>
      </c>
      <c r="G217" s="38" t="s">
        <v>539</v>
      </c>
      <c r="H217" s="41" t="s">
        <v>133</v>
      </c>
    </row>
    <row r="218" spans="1:8">
      <c r="A218" s="38" t="s">
        <v>102</v>
      </c>
      <c r="B218" s="38">
        <v>12</v>
      </c>
      <c r="C218" s="38">
        <v>37</v>
      </c>
      <c r="D218" s="38">
        <v>1</v>
      </c>
      <c r="E218" s="38" t="s">
        <v>543</v>
      </c>
      <c r="F218" s="38" t="s">
        <v>131</v>
      </c>
      <c r="G218" s="38" t="s">
        <v>539</v>
      </c>
      <c r="H218" s="41" t="s">
        <v>133</v>
      </c>
    </row>
    <row r="219" spans="1:8">
      <c r="A219" s="38" t="s">
        <v>102</v>
      </c>
      <c r="B219" s="38">
        <v>12</v>
      </c>
      <c r="C219" s="38">
        <v>37</v>
      </c>
      <c r="D219" s="38">
        <v>2</v>
      </c>
      <c r="E219" s="38" t="s">
        <v>544</v>
      </c>
      <c r="F219" s="38" t="s">
        <v>131</v>
      </c>
      <c r="G219" s="38" t="s">
        <v>545</v>
      </c>
      <c r="H219" s="41" t="s">
        <v>133</v>
      </c>
    </row>
    <row r="220" spans="1:8">
      <c r="A220" s="38" t="s">
        <v>102</v>
      </c>
      <c r="B220" s="38">
        <v>12</v>
      </c>
      <c r="C220" s="38">
        <v>37</v>
      </c>
      <c r="D220" s="38">
        <v>3</v>
      </c>
      <c r="E220" s="38" t="s">
        <v>546</v>
      </c>
      <c r="F220" s="38" t="s">
        <v>131</v>
      </c>
      <c r="G220" s="38" t="s">
        <v>547</v>
      </c>
      <c r="H220" s="41" t="s">
        <v>133</v>
      </c>
    </row>
    <row r="221" spans="1:8">
      <c r="A221" s="38" t="s">
        <v>102</v>
      </c>
      <c r="B221" s="38">
        <v>12</v>
      </c>
      <c r="C221" s="38">
        <v>37</v>
      </c>
      <c r="D221" s="38">
        <v>4</v>
      </c>
      <c r="E221" s="38" t="s">
        <v>548</v>
      </c>
      <c r="F221" s="38" t="s">
        <v>131</v>
      </c>
      <c r="G221" s="38" t="s">
        <v>549</v>
      </c>
      <c r="H221" s="41" t="s">
        <v>133</v>
      </c>
    </row>
    <row r="222" spans="1:8">
      <c r="A222" s="38" t="s">
        <v>102</v>
      </c>
      <c r="B222" s="38">
        <v>12</v>
      </c>
      <c r="C222" s="38">
        <v>37</v>
      </c>
      <c r="D222" s="38">
        <v>5</v>
      </c>
      <c r="E222" s="38" t="s">
        <v>550</v>
      </c>
      <c r="F222" s="38" t="s">
        <v>131</v>
      </c>
      <c r="G222" s="38" t="s">
        <v>551</v>
      </c>
      <c r="H222" s="41" t="s">
        <v>133</v>
      </c>
    </row>
    <row r="223" spans="1:8">
      <c r="A223" s="38" t="s">
        <v>102</v>
      </c>
      <c r="B223" s="38">
        <v>12</v>
      </c>
      <c r="C223" s="38">
        <v>37</v>
      </c>
      <c r="D223" s="38">
        <v>6</v>
      </c>
      <c r="E223" s="38" t="s">
        <v>552</v>
      </c>
      <c r="F223" s="38" t="s">
        <v>131</v>
      </c>
      <c r="G223" s="38" t="s">
        <v>547</v>
      </c>
      <c r="H223" s="41" t="s">
        <v>133</v>
      </c>
    </row>
    <row r="224" spans="1:8">
      <c r="A224" s="38" t="s">
        <v>102</v>
      </c>
      <c r="B224" s="38">
        <v>12</v>
      </c>
      <c r="C224" s="38">
        <v>38</v>
      </c>
      <c r="D224" s="38">
        <v>1</v>
      </c>
      <c r="E224" s="38" t="s">
        <v>553</v>
      </c>
      <c r="F224" s="38" t="s">
        <v>131</v>
      </c>
      <c r="G224" s="38" t="s">
        <v>547</v>
      </c>
      <c r="H224" s="41" t="s">
        <v>133</v>
      </c>
    </row>
    <row r="225" spans="1:8">
      <c r="A225" s="38" t="s">
        <v>102</v>
      </c>
      <c r="B225" s="38">
        <v>12</v>
      </c>
      <c r="C225" s="38">
        <v>38</v>
      </c>
      <c r="D225" s="38">
        <v>2</v>
      </c>
      <c r="E225" s="38" t="s">
        <v>554</v>
      </c>
      <c r="F225" s="38" t="s">
        <v>131</v>
      </c>
      <c r="G225" s="38" t="s">
        <v>555</v>
      </c>
      <c r="H225" s="41" t="s">
        <v>133</v>
      </c>
    </row>
    <row r="226" spans="1:8">
      <c r="A226" s="38" t="s">
        <v>102</v>
      </c>
      <c r="B226" s="38">
        <v>12</v>
      </c>
      <c r="C226" s="38">
        <v>38</v>
      </c>
      <c r="D226" s="38">
        <v>3</v>
      </c>
      <c r="E226" s="38" t="s">
        <v>556</v>
      </c>
      <c r="F226" s="38" t="s">
        <v>131</v>
      </c>
      <c r="G226" s="38" t="s">
        <v>557</v>
      </c>
      <c r="H226" s="41" t="s">
        <v>133</v>
      </c>
    </row>
    <row r="227" spans="1:8">
      <c r="A227" s="38" t="s">
        <v>102</v>
      </c>
      <c r="B227" s="38">
        <v>12</v>
      </c>
      <c r="C227" s="38">
        <v>38</v>
      </c>
      <c r="D227" s="38">
        <v>4</v>
      </c>
      <c r="E227" s="38" t="s">
        <v>558</v>
      </c>
      <c r="F227" s="38" t="s">
        <v>131</v>
      </c>
      <c r="G227" s="38" t="s">
        <v>559</v>
      </c>
      <c r="H227" s="41" t="s">
        <v>133</v>
      </c>
    </row>
    <row r="228" spans="1:8">
      <c r="A228" s="38" t="s">
        <v>102</v>
      </c>
      <c r="B228" s="38">
        <v>12</v>
      </c>
      <c r="C228" s="38">
        <v>38</v>
      </c>
      <c r="D228" s="38">
        <v>5</v>
      </c>
      <c r="E228" s="38" t="s">
        <v>560</v>
      </c>
      <c r="F228" s="38" t="s">
        <v>131</v>
      </c>
      <c r="G228" s="38" t="s">
        <v>561</v>
      </c>
      <c r="H228" s="41" t="s">
        <v>133</v>
      </c>
    </row>
    <row r="229" spans="1:8">
      <c r="A229" s="38" t="s">
        <v>102</v>
      </c>
      <c r="B229" s="38">
        <v>12</v>
      </c>
      <c r="C229" s="38">
        <v>38</v>
      </c>
      <c r="D229" s="38">
        <v>6</v>
      </c>
      <c r="E229" s="38" t="s">
        <v>562</v>
      </c>
      <c r="F229" s="38" t="s">
        <v>131</v>
      </c>
      <c r="G229" s="38" t="s">
        <v>563</v>
      </c>
      <c r="H229" s="41" t="s">
        <v>133</v>
      </c>
    </row>
    <row r="230" spans="1:8">
      <c r="A230" s="38" t="s">
        <v>102</v>
      </c>
      <c r="B230" s="38">
        <v>12</v>
      </c>
      <c r="C230" s="38">
        <v>39</v>
      </c>
      <c r="D230" s="38">
        <v>1</v>
      </c>
      <c r="E230" s="38" t="s">
        <v>564</v>
      </c>
      <c r="F230" s="38" t="s">
        <v>131</v>
      </c>
      <c r="G230" s="38" t="s">
        <v>565</v>
      </c>
      <c r="H230" s="41" t="s">
        <v>133</v>
      </c>
    </row>
    <row r="231" spans="1:8">
      <c r="A231" s="38" t="s">
        <v>102</v>
      </c>
      <c r="B231" s="38">
        <v>12</v>
      </c>
      <c r="C231" s="38">
        <v>39</v>
      </c>
      <c r="D231" s="38">
        <v>2</v>
      </c>
      <c r="E231" s="38" t="s">
        <v>566</v>
      </c>
      <c r="F231" s="38" t="s">
        <v>131</v>
      </c>
      <c r="G231" s="38" t="s">
        <v>567</v>
      </c>
      <c r="H231" s="41" t="s">
        <v>133</v>
      </c>
    </row>
    <row r="232" spans="1:8">
      <c r="A232" s="38" t="s">
        <v>102</v>
      </c>
      <c r="B232" s="38">
        <v>12</v>
      </c>
      <c r="C232" s="38">
        <v>39</v>
      </c>
      <c r="D232" s="38">
        <v>3</v>
      </c>
      <c r="E232" s="38" t="s">
        <v>568</v>
      </c>
      <c r="F232" s="38" t="s">
        <v>131</v>
      </c>
      <c r="G232" s="38" t="s">
        <v>569</v>
      </c>
      <c r="H232" s="41" t="s">
        <v>133</v>
      </c>
    </row>
    <row r="233" spans="1:8">
      <c r="A233" s="38" t="s">
        <v>102</v>
      </c>
      <c r="B233" s="38">
        <v>12</v>
      </c>
      <c r="C233" s="38">
        <v>39</v>
      </c>
      <c r="D233" s="38">
        <v>4</v>
      </c>
      <c r="E233" s="38" t="s">
        <v>570</v>
      </c>
      <c r="F233" s="38" t="s">
        <v>131</v>
      </c>
      <c r="G233" s="38" t="s">
        <v>571</v>
      </c>
      <c r="H233" s="41" t="s">
        <v>133</v>
      </c>
    </row>
    <row r="234" spans="1:8">
      <c r="A234" s="38" t="s">
        <v>102</v>
      </c>
      <c r="B234" s="38">
        <v>12</v>
      </c>
      <c r="C234" s="38">
        <v>39</v>
      </c>
      <c r="D234" s="38">
        <v>5</v>
      </c>
      <c r="E234" s="38" t="s">
        <v>572</v>
      </c>
      <c r="F234" s="38" t="s">
        <v>131</v>
      </c>
      <c r="G234" s="38" t="s">
        <v>573</v>
      </c>
      <c r="H234" s="41" t="s">
        <v>133</v>
      </c>
    </row>
    <row r="235" spans="1:8">
      <c r="A235" s="38" t="s">
        <v>102</v>
      </c>
      <c r="B235" s="38">
        <v>12</v>
      </c>
      <c r="C235" s="38">
        <v>39</v>
      </c>
      <c r="D235" s="38">
        <v>6</v>
      </c>
      <c r="E235" s="38" t="s">
        <v>574</v>
      </c>
      <c r="F235" s="38" t="s">
        <v>131</v>
      </c>
      <c r="G235" s="38" t="s">
        <v>575</v>
      </c>
      <c r="H235" s="41" t="s">
        <v>133</v>
      </c>
    </row>
    <row r="236" spans="1:8">
      <c r="A236" s="38" t="s">
        <v>102</v>
      </c>
      <c r="B236" s="38">
        <v>12</v>
      </c>
      <c r="C236" s="38">
        <v>40</v>
      </c>
      <c r="D236" s="38">
        <v>1</v>
      </c>
      <c r="E236" s="38" t="s">
        <v>576</v>
      </c>
      <c r="F236" s="38" t="s">
        <v>131</v>
      </c>
      <c r="G236" s="38" t="s">
        <v>577</v>
      </c>
      <c r="H236" s="41" t="s">
        <v>133</v>
      </c>
    </row>
    <row r="237" spans="1:8">
      <c r="A237" s="38" t="s">
        <v>102</v>
      </c>
      <c r="B237" s="38">
        <v>12</v>
      </c>
      <c r="C237" s="38">
        <v>40</v>
      </c>
      <c r="D237" s="38">
        <v>2</v>
      </c>
      <c r="E237" s="38" t="s">
        <v>578</v>
      </c>
      <c r="F237" s="38" t="s">
        <v>131</v>
      </c>
      <c r="G237" s="38" t="s">
        <v>579</v>
      </c>
      <c r="H237" s="41" t="s">
        <v>133</v>
      </c>
    </row>
    <row r="238" spans="1:8">
      <c r="A238" s="38" t="s">
        <v>102</v>
      </c>
      <c r="B238" s="38">
        <v>12</v>
      </c>
      <c r="C238" s="38">
        <v>40</v>
      </c>
      <c r="D238" s="38">
        <v>3</v>
      </c>
      <c r="E238" s="38" t="s">
        <v>580</v>
      </c>
      <c r="F238" s="38" t="s">
        <v>131</v>
      </c>
      <c r="G238" s="38" t="s">
        <v>581</v>
      </c>
      <c r="H238" s="41" t="s">
        <v>133</v>
      </c>
    </row>
    <row r="239" spans="1:8">
      <c r="A239" s="38" t="s">
        <v>102</v>
      </c>
      <c r="B239" s="38">
        <v>12</v>
      </c>
      <c r="C239" s="38">
        <v>40</v>
      </c>
      <c r="D239" s="38">
        <v>4</v>
      </c>
      <c r="E239" s="38" t="s">
        <v>582</v>
      </c>
      <c r="F239" s="38" t="s">
        <v>131</v>
      </c>
      <c r="G239" s="38" t="s">
        <v>583</v>
      </c>
      <c r="H239" s="41" t="s">
        <v>133</v>
      </c>
    </row>
    <row r="240" spans="1:8">
      <c r="A240" s="38" t="s">
        <v>102</v>
      </c>
      <c r="B240" s="38">
        <v>12</v>
      </c>
      <c r="C240" s="38">
        <v>40</v>
      </c>
      <c r="D240" s="38">
        <v>5</v>
      </c>
      <c r="E240" s="38" t="s">
        <v>584</v>
      </c>
      <c r="F240" s="38" t="s">
        <v>131</v>
      </c>
      <c r="G240" s="38" t="s">
        <v>585</v>
      </c>
      <c r="H240" s="41" t="s">
        <v>133</v>
      </c>
    </row>
    <row r="241" spans="1:8">
      <c r="A241" s="38" t="s">
        <v>102</v>
      </c>
      <c r="B241" s="38">
        <v>12</v>
      </c>
      <c r="C241" s="38">
        <v>40</v>
      </c>
      <c r="D241" s="38">
        <v>6</v>
      </c>
      <c r="E241" s="38" t="s">
        <v>586</v>
      </c>
      <c r="F241" s="38" t="s">
        <v>131</v>
      </c>
      <c r="G241" s="38" t="s">
        <v>587</v>
      </c>
      <c r="H241" s="41" t="s">
        <v>133</v>
      </c>
    </row>
    <row r="242" spans="1:8">
      <c r="A242" s="38" t="s">
        <v>102</v>
      </c>
      <c r="B242" s="38">
        <v>12</v>
      </c>
      <c r="C242" s="38">
        <v>41</v>
      </c>
      <c r="D242" s="38">
        <v>1</v>
      </c>
      <c r="E242" s="38" t="s">
        <v>588</v>
      </c>
      <c r="F242" s="38" t="s">
        <v>131</v>
      </c>
      <c r="G242" s="38" t="s">
        <v>589</v>
      </c>
      <c r="H242" s="41" t="s">
        <v>133</v>
      </c>
    </row>
    <row r="243" spans="1:8">
      <c r="A243" s="38" t="s">
        <v>102</v>
      </c>
      <c r="B243" s="38">
        <v>12</v>
      </c>
      <c r="C243" s="38">
        <v>41</v>
      </c>
      <c r="D243" s="38">
        <v>2</v>
      </c>
      <c r="E243" s="38" t="s">
        <v>590</v>
      </c>
      <c r="F243" s="38" t="s">
        <v>131</v>
      </c>
      <c r="G243" s="38" t="s">
        <v>591</v>
      </c>
      <c r="H243" s="41" t="s">
        <v>133</v>
      </c>
    </row>
    <row r="244" spans="1:8">
      <c r="A244" s="38" t="s">
        <v>102</v>
      </c>
      <c r="B244" s="38">
        <v>12</v>
      </c>
      <c r="C244" s="38">
        <v>41</v>
      </c>
      <c r="D244" s="38">
        <v>3</v>
      </c>
      <c r="E244" s="38" t="s">
        <v>592</v>
      </c>
      <c r="F244" s="38" t="s">
        <v>131</v>
      </c>
      <c r="G244" s="38" t="s">
        <v>593</v>
      </c>
      <c r="H244" s="41" t="s">
        <v>133</v>
      </c>
    </row>
    <row r="245" spans="1:8">
      <c r="A245" s="38" t="s">
        <v>102</v>
      </c>
      <c r="B245" s="38">
        <v>12</v>
      </c>
      <c r="C245" s="38">
        <v>41</v>
      </c>
      <c r="D245" s="38">
        <v>4</v>
      </c>
      <c r="E245" s="38" t="s">
        <v>594</v>
      </c>
      <c r="F245" s="38" t="s">
        <v>131</v>
      </c>
      <c r="G245" s="38" t="s">
        <v>595</v>
      </c>
      <c r="H245" s="41" t="s">
        <v>133</v>
      </c>
    </row>
    <row r="246" spans="1:8">
      <c r="A246" s="38" t="s">
        <v>102</v>
      </c>
      <c r="B246" s="38">
        <v>12</v>
      </c>
      <c r="C246" s="38">
        <v>41</v>
      </c>
      <c r="D246" s="38">
        <v>5</v>
      </c>
      <c r="E246" s="38" t="s">
        <v>596</v>
      </c>
      <c r="F246" s="38" t="s">
        <v>131</v>
      </c>
      <c r="G246" s="38" t="s">
        <v>597</v>
      </c>
      <c r="H246" s="41" t="s">
        <v>133</v>
      </c>
    </row>
    <row r="247" spans="1:8">
      <c r="A247" s="38" t="s">
        <v>102</v>
      </c>
      <c r="B247" s="38">
        <v>12</v>
      </c>
      <c r="C247" s="38">
        <v>41</v>
      </c>
      <c r="D247" s="38">
        <v>6</v>
      </c>
      <c r="E247" s="38" t="s">
        <v>598</v>
      </c>
      <c r="F247" s="38" t="s">
        <v>131</v>
      </c>
      <c r="G247" s="38" t="s">
        <v>599</v>
      </c>
      <c r="H247" s="41" t="s">
        <v>133</v>
      </c>
    </row>
    <row r="248" spans="1:8">
      <c r="A248" s="38" t="s">
        <v>102</v>
      </c>
      <c r="B248" s="38">
        <v>12</v>
      </c>
      <c r="C248" s="38">
        <v>42</v>
      </c>
      <c r="D248" s="38">
        <v>1</v>
      </c>
      <c r="E248" s="38" t="s">
        <v>600</v>
      </c>
      <c r="F248" s="38" t="s">
        <v>131</v>
      </c>
      <c r="G248" s="38" t="s">
        <v>601</v>
      </c>
      <c r="H248" s="41" t="s">
        <v>133</v>
      </c>
    </row>
    <row r="249" spans="1:8">
      <c r="A249" s="38" t="s">
        <v>102</v>
      </c>
      <c r="B249" s="38">
        <v>12</v>
      </c>
      <c r="C249" s="38">
        <v>42</v>
      </c>
      <c r="D249" s="38">
        <v>2</v>
      </c>
      <c r="E249" s="38" t="s">
        <v>602</v>
      </c>
      <c r="F249" s="38" t="s">
        <v>131</v>
      </c>
      <c r="G249" s="38" t="s">
        <v>603</v>
      </c>
      <c r="H249" s="41" t="s">
        <v>133</v>
      </c>
    </row>
    <row r="250" spans="1:8">
      <c r="A250" s="38" t="s">
        <v>102</v>
      </c>
      <c r="B250" s="38">
        <v>12</v>
      </c>
      <c r="C250" s="38">
        <v>42</v>
      </c>
      <c r="D250" s="38">
        <v>3</v>
      </c>
      <c r="E250" s="38" t="s">
        <v>604</v>
      </c>
      <c r="F250" s="38" t="s">
        <v>131</v>
      </c>
      <c r="G250" s="38" t="s">
        <v>605</v>
      </c>
      <c r="H250" s="41" t="s">
        <v>133</v>
      </c>
    </row>
    <row r="251" spans="1:8">
      <c r="A251" s="38" t="s">
        <v>102</v>
      </c>
      <c r="B251" s="38">
        <v>12</v>
      </c>
      <c r="C251" s="38">
        <v>42</v>
      </c>
      <c r="D251" s="38">
        <v>4</v>
      </c>
      <c r="E251" s="38" t="s">
        <v>606</v>
      </c>
      <c r="F251" s="38" t="s">
        <v>131</v>
      </c>
      <c r="G251" s="38" t="s">
        <v>607</v>
      </c>
      <c r="H251" s="41" t="s">
        <v>133</v>
      </c>
    </row>
    <row r="252" spans="1:8">
      <c r="A252" s="38" t="s">
        <v>102</v>
      </c>
      <c r="B252" s="38">
        <v>12</v>
      </c>
      <c r="C252" s="38">
        <v>42</v>
      </c>
      <c r="D252" s="38">
        <v>5</v>
      </c>
      <c r="E252" s="38" t="s">
        <v>608</v>
      </c>
      <c r="F252" s="38" t="s">
        <v>131</v>
      </c>
      <c r="G252" s="38" t="s">
        <v>609</v>
      </c>
      <c r="H252" s="41" t="s">
        <v>133</v>
      </c>
    </row>
    <row r="253" spans="1:8">
      <c r="A253" s="38" t="s">
        <v>102</v>
      </c>
      <c r="B253" s="38">
        <v>12</v>
      </c>
      <c r="C253" s="38">
        <v>42</v>
      </c>
      <c r="D253" s="38">
        <v>6</v>
      </c>
      <c r="E253" s="38" t="s">
        <v>610</v>
      </c>
      <c r="F253" s="38" t="s">
        <v>131</v>
      </c>
      <c r="G253" s="38" t="s">
        <v>611</v>
      </c>
      <c r="H253" s="41" t="s">
        <v>133</v>
      </c>
    </row>
    <row r="254" spans="1:8">
      <c r="A254" s="38" t="s">
        <v>102</v>
      </c>
      <c r="B254" s="38">
        <v>12</v>
      </c>
      <c r="C254" s="38">
        <v>43</v>
      </c>
      <c r="D254" s="38">
        <v>1</v>
      </c>
      <c r="E254" s="38" t="s">
        <v>612</v>
      </c>
      <c r="F254" s="38" t="s">
        <v>131</v>
      </c>
      <c r="G254" s="38" t="s">
        <v>613</v>
      </c>
      <c r="H254" s="41" t="s">
        <v>133</v>
      </c>
    </row>
    <row r="255" spans="1:8">
      <c r="A255" s="38" t="s">
        <v>102</v>
      </c>
      <c r="B255" s="38">
        <v>12</v>
      </c>
      <c r="C255" s="38">
        <v>43</v>
      </c>
      <c r="D255" s="38">
        <v>2</v>
      </c>
      <c r="E255" s="38" t="s">
        <v>614</v>
      </c>
      <c r="F255" s="38" t="s">
        <v>131</v>
      </c>
      <c r="G255" s="38" t="s">
        <v>615</v>
      </c>
      <c r="H255" s="41" t="s">
        <v>133</v>
      </c>
    </row>
    <row r="256" spans="1:8">
      <c r="A256" s="38" t="s">
        <v>102</v>
      </c>
      <c r="B256" s="38">
        <v>12</v>
      </c>
      <c r="C256" s="38">
        <v>43</v>
      </c>
      <c r="D256" s="38">
        <v>3</v>
      </c>
      <c r="E256" s="38" t="s">
        <v>616</v>
      </c>
      <c r="F256" s="38" t="s">
        <v>131</v>
      </c>
      <c r="G256" s="38" t="s">
        <v>617</v>
      </c>
      <c r="H256" s="41" t="s">
        <v>133</v>
      </c>
    </row>
    <row r="257" spans="1:8">
      <c r="A257" s="38" t="s">
        <v>102</v>
      </c>
      <c r="B257" s="38">
        <v>12</v>
      </c>
      <c r="C257" s="38">
        <v>43</v>
      </c>
      <c r="D257" s="38">
        <v>4</v>
      </c>
      <c r="E257" s="38" t="s">
        <v>618</v>
      </c>
      <c r="F257" s="38" t="s">
        <v>131</v>
      </c>
      <c r="G257" s="38" t="s">
        <v>619</v>
      </c>
      <c r="H257" s="41" t="s">
        <v>133</v>
      </c>
    </row>
    <row r="258" spans="1:8">
      <c r="A258" s="38" t="s">
        <v>102</v>
      </c>
      <c r="B258" s="38">
        <v>12</v>
      </c>
      <c r="C258" s="38">
        <v>43</v>
      </c>
      <c r="D258" s="38">
        <v>5</v>
      </c>
      <c r="E258" s="38" t="s">
        <v>620</v>
      </c>
      <c r="F258" s="38" t="s">
        <v>131</v>
      </c>
      <c r="G258" s="38" t="s">
        <v>621</v>
      </c>
      <c r="H258" s="41" t="s">
        <v>133</v>
      </c>
    </row>
    <row r="259" spans="1:8">
      <c r="A259" s="38" t="s">
        <v>102</v>
      </c>
      <c r="B259" s="38">
        <v>12</v>
      </c>
      <c r="C259" s="38">
        <v>43</v>
      </c>
      <c r="D259" s="38">
        <v>6</v>
      </c>
      <c r="E259" s="38" t="s">
        <v>622</v>
      </c>
      <c r="F259" s="38" t="s">
        <v>131</v>
      </c>
      <c r="G259" s="38" t="s">
        <v>623</v>
      </c>
      <c r="H259" s="41" t="s">
        <v>133</v>
      </c>
    </row>
    <row r="260" spans="1:8">
      <c r="A260" s="38" t="s">
        <v>102</v>
      </c>
      <c r="B260" s="38">
        <v>12</v>
      </c>
      <c r="C260" s="38">
        <v>44</v>
      </c>
      <c r="D260" s="38">
        <v>1</v>
      </c>
      <c r="E260" s="38" t="s">
        <v>624</v>
      </c>
      <c r="F260" s="38" t="s">
        <v>131</v>
      </c>
      <c r="G260" s="38" t="s">
        <v>625</v>
      </c>
      <c r="H260" s="41" t="s">
        <v>133</v>
      </c>
    </row>
    <row r="261" spans="1:8">
      <c r="A261" s="38" t="s">
        <v>102</v>
      </c>
      <c r="B261" s="38">
        <v>12</v>
      </c>
      <c r="C261" s="38">
        <v>44</v>
      </c>
      <c r="D261" s="38">
        <v>2</v>
      </c>
      <c r="E261" s="38" t="s">
        <v>626</v>
      </c>
      <c r="F261" s="38" t="s">
        <v>131</v>
      </c>
      <c r="G261" s="38" t="s">
        <v>627</v>
      </c>
      <c r="H261" s="41" t="s">
        <v>133</v>
      </c>
    </row>
    <row r="262" spans="1:8">
      <c r="A262" s="38" t="s">
        <v>102</v>
      </c>
      <c r="B262" s="38">
        <v>12</v>
      </c>
      <c r="C262" s="38">
        <v>44</v>
      </c>
      <c r="D262" s="38">
        <v>3</v>
      </c>
      <c r="E262" s="38" t="s">
        <v>628</v>
      </c>
      <c r="F262" s="38" t="s">
        <v>131</v>
      </c>
      <c r="G262" s="38" t="s">
        <v>629</v>
      </c>
      <c r="H262" s="41" t="s">
        <v>133</v>
      </c>
    </row>
    <row r="263" spans="1:8">
      <c r="A263" s="38" t="s">
        <v>102</v>
      </c>
      <c r="B263" s="38">
        <v>12</v>
      </c>
      <c r="C263" s="38">
        <v>44</v>
      </c>
      <c r="D263" s="38">
        <v>4</v>
      </c>
      <c r="E263" s="38" t="s">
        <v>630</v>
      </c>
      <c r="F263" s="38" t="s">
        <v>131</v>
      </c>
      <c r="G263" s="38" t="s">
        <v>631</v>
      </c>
      <c r="H263" s="41" t="s">
        <v>133</v>
      </c>
    </row>
    <row r="264" spans="1:8">
      <c r="A264" s="38" t="s">
        <v>102</v>
      </c>
      <c r="B264" s="38">
        <v>12</v>
      </c>
      <c r="C264" s="38">
        <v>44</v>
      </c>
      <c r="D264" s="38">
        <v>5</v>
      </c>
      <c r="E264" s="38" t="s">
        <v>632</v>
      </c>
      <c r="F264" s="38" t="s">
        <v>131</v>
      </c>
      <c r="G264" s="38" t="s">
        <v>633</v>
      </c>
      <c r="H264" s="41" t="s">
        <v>133</v>
      </c>
    </row>
    <row r="265" spans="1:8">
      <c r="A265" s="38" t="s">
        <v>102</v>
      </c>
      <c r="B265" s="38">
        <v>12</v>
      </c>
      <c r="C265" s="38">
        <v>44</v>
      </c>
      <c r="D265" s="38">
        <v>6</v>
      </c>
      <c r="E265" s="38" t="s">
        <v>634</v>
      </c>
      <c r="F265" s="38" t="s">
        <v>131</v>
      </c>
      <c r="G265" s="38" t="s">
        <v>635</v>
      </c>
      <c r="H265" s="41" t="s">
        <v>133</v>
      </c>
    </row>
    <row r="266" spans="1:8">
      <c r="A266" s="38" t="s">
        <v>102</v>
      </c>
      <c r="B266" s="38">
        <v>12</v>
      </c>
      <c r="C266" s="38">
        <v>45</v>
      </c>
      <c r="D266" s="38">
        <v>1</v>
      </c>
      <c r="E266" s="38" t="s">
        <v>636</v>
      </c>
      <c r="F266" s="38" t="s">
        <v>131</v>
      </c>
      <c r="G266" s="38" t="s">
        <v>637</v>
      </c>
      <c r="H266" s="41" t="s">
        <v>133</v>
      </c>
    </row>
    <row r="267" spans="1:8">
      <c r="A267" s="38" t="s">
        <v>102</v>
      </c>
      <c r="B267" s="38">
        <v>12</v>
      </c>
      <c r="C267" s="38">
        <v>45</v>
      </c>
      <c r="D267" s="38">
        <v>2</v>
      </c>
      <c r="E267" s="38" t="s">
        <v>638</v>
      </c>
      <c r="F267" s="38" t="s">
        <v>131</v>
      </c>
      <c r="G267" s="38" t="s">
        <v>639</v>
      </c>
      <c r="H267" s="41" t="s">
        <v>133</v>
      </c>
    </row>
    <row r="268" spans="1:8">
      <c r="A268" s="38" t="s">
        <v>102</v>
      </c>
      <c r="B268" s="38">
        <v>12</v>
      </c>
      <c r="C268" s="38">
        <v>45</v>
      </c>
      <c r="D268" s="38">
        <v>3</v>
      </c>
      <c r="E268" s="38" t="s">
        <v>640</v>
      </c>
      <c r="F268" s="38" t="s">
        <v>131</v>
      </c>
      <c r="G268" s="38" t="s">
        <v>641</v>
      </c>
      <c r="H268" s="41" t="s">
        <v>133</v>
      </c>
    </row>
    <row r="269" spans="1:8">
      <c r="A269" s="38" t="s">
        <v>102</v>
      </c>
      <c r="B269" s="38">
        <v>12</v>
      </c>
      <c r="C269" s="38">
        <v>45</v>
      </c>
      <c r="D269" s="38">
        <v>4</v>
      </c>
      <c r="E269" s="38" t="s">
        <v>642</v>
      </c>
      <c r="F269" s="38" t="s">
        <v>131</v>
      </c>
      <c r="G269" s="38" t="s">
        <v>643</v>
      </c>
      <c r="H269" s="41" t="s">
        <v>133</v>
      </c>
    </row>
    <row r="270" spans="1:8">
      <c r="A270" s="38" t="s">
        <v>102</v>
      </c>
      <c r="B270" s="38">
        <v>12</v>
      </c>
      <c r="C270" s="38">
        <v>45</v>
      </c>
      <c r="D270" s="38">
        <v>5</v>
      </c>
      <c r="E270" s="38" t="s">
        <v>644</v>
      </c>
      <c r="F270" s="38" t="s">
        <v>131</v>
      </c>
      <c r="G270" s="38" t="s">
        <v>645</v>
      </c>
      <c r="H270" s="41" t="s">
        <v>133</v>
      </c>
    </row>
    <row r="271" spans="1:8">
      <c r="A271" s="38" t="s">
        <v>102</v>
      </c>
      <c r="B271" s="38">
        <v>12</v>
      </c>
      <c r="C271" s="38">
        <v>45</v>
      </c>
      <c r="D271" s="38">
        <v>6</v>
      </c>
      <c r="E271" s="38" t="s">
        <v>646</v>
      </c>
      <c r="F271" s="38" t="s">
        <v>131</v>
      </c>
      <c r="G271" s="38" t="s">
        <v>647</v>
      </c>
      <c r="H271" s="41" t="s">
        <v>133</v>
      </c>
    </row>
    <row r="272" spans="1:8">
      <c r="A272" s="38" t="s">
        <v>102</v>
      </c>
      <c r="B272" s="38">
        <v>12</v>
      </c>
      <c r="C272" s="38">
        <v>46</v>
      </c>
      <c r="D272" s="38">
        <v>1</v>
      </c>
      <c r="E272" s="38" t="s">
        <v>648</v>
      </c>
      <c r="F272" s="38" t="s">
        <v>131</v>
      </c>
      <c r="G272" s="38" t="s">
        <v>649</v>
      </c>
      <c r="H272" s="41" t="s">
        <v>133</v>
      </c>
    </row>
    <row r="273" spans="1:8">
      <c r="A273" s="38" t="s">
        <v>102</v>
      </c>
      <c r="B273" s="38">
        <v>12</v>
      </c>
      <c r="C273" s="38">
        <v>46</v>
      </c>
      <c r="D273" s="38">
        <v>2</v>
      </c>
      <c r="E273" s="38" t="s">
        <v>650</v>
      </c>
      <c r="F273" s="38" t="s">
        <v>131</v>
      </c>
      <c r="G273" s="38" t="s">
        <v>651</v>
      </c>
      <c r="H273" s="41" t="s">
        <v>133</v>
      </c>
    </row>
    <row r="274" spans="1:8">
      <c r="A274" s="38" t="s">
        <v>102</v>
      </c>
      <c r="B274" s="38">
        <v>12</v>
      </c>
      <c r="C274" s="38">
        <v>46</v>
      </c>
      <c r="D274" s="38">
        <v>3</v>
      </c>
      <c r="E274" s="38" t="s">
        <v>652</v>
      </c>
      <c r="F274" s="38" t="s">
        <v>131</v>
      </c>
      <c r="G274" s="38" t="s">
        <v>653</v>
      </c>
      <c r="H274" s="41" t="s">
        <v>133</v>
      </c>
    </row>
    <row r="275" spans="1:8">
      <c r="A275" s="38" t="s">
        <v>102</v>
      </c>
      <c r="B275" s="38">
        <v>12</v>
      </c>
      <c r="C275" s="38">
        <v>46</v>
      </c>
      <c r="D275" s="38">
        <v>4</v>
      </c>
      <c r="E275" s="38" t="s">
        <v>654</v>
      </c>
      <c r="F275" s="38" t="s">
        <v>131</v>
      </c>
      <c r="G275" s="38" t="s">
        <v>655</v>
      </c>
      <c r="H275" s="41" t="s">
        <v>133</v>
      </c>
    </row>
    <row r="276" spans="1:8">
      <c r="A276" s="38" t="s">
        <v>102</v>
      </c>
      <c r="B276" s="38">
        <v>12</v>
      </c>
      <c r="C276" s="38">
        <v>46</v>
      </c>
      <c r="D276" s="38">
        <v>5</v>
      </c>
      <c r="E276" s="38" t="s">
        <v>656</v>
      </c>
      <c r="F276" s="38" t="s">
        <v>131</v>
      </c>
      <c r="G276" s="38" t="s">
        <v>657</v>
      </c>
      <c r="H276" s="41" t="s">
        <v>133</v>
      </c>
    </row>
    <row r="277" spans="1:8">
      <c r="A277" s="38" t="s">
        <v>102</v>
      </c>
      <c r="B277" s="38">
        <v>12</v>
      </c>
      <c r="C277" s="38">
        <v>46</v>
      </c>
      <c r="D277" s="38">
        <v>6</v>
      </c>
      <c r="E277" s="38" t="s">
        <v>658</v>
      </c>
      <c r="F277" s="38" t="s">
        <v>131</v>
      </c>
      <c r="G277" s="38" t="s">
        <v>659</v>
      </c>
      <c r="H277" s="41" t="s">
        <v>133</v>
      </c>
    </row>
    <row r="278" spans="1:8">
      <c r="A278" s="38" t="s">
        <v>102</v>
      </c>
      <c r="B278" s="38">
        <v>12</v>
      </c>
      <c r="C278" s="38">
        <v>47</v>
      </c>
      <c r="D278" s="38">
        <v>1</v>
      </c>
      <c r="E278" s="41" t="s">
        <v>660</v>
      </c>
      <c r="F278" s="41" t="s">
        <v>131</v>
      </c>
      <c r="G278" s="41" t="s">
        <v>661</v>
      </c>
      <c r="H278" s="41" t="s">
        <v>133</v>
      </c>
    </row>
    <row r="279" spans="1:8">
      <c r="A279" s="38" t="s">
        <v>102</v>
      </c>
      <c r="B279" s="38">
        <v>12</v>
      </c>
      <c r="C279" s="38">
        <v>47</v>
      </c>
      <c r="D279" s="38">
        <v>2</v>
      </c>
      <c r="E279" s="41" t="s">
        <v>662</v>
      </c>
      <c r="F279" s="41" t="s">
        <v>131</v>
      </c>
      <c r="G279" s="41" t="s">
        <v>663</v>
      </c>
      <c r="H279" s="41" t="s">
        <v>133</v>
      </c>
    </row>
    <row r="280" spans="1:8">
      <c r="A280" s="38" t="s">
        <v>102</v>
      </c>
      <c r="B280" s="38">
        <v>12</v>
      </c>
      <c r="C280" s="38">
        <v>47</v>
      </c>
      <c r="D280" s="38">
        <v>3</v>
      </c>
      <c r="E280" s="41" t="s">
        <v>664</v>
      </c>
      <c r="F280" s="41" t="s">
        <v>131</v>
      </c>
      <c r="G280" s="41" t="s">
        <v>665</v>
      </c>
      <c r="H280" s="41" t="s">
        <v>133</v>
      </c>
    </row>
    <row r="281" spans="1:8">
      <c r="A281" s="38" t="s">
        <v>102</v>
      </c>
      <c r="B281" s="38">
        <v>12</v>
      </c>
      <c r="C281" s="38">
        <v>47</v>
      </c>
      <c r="D281" s="38">
        <v>4</v>
      </c>
      <c r="E281" s="41" t="s">
        <v>666</v>
      </c>
      <c r="F281" s="41" t="s">
        <v>131</v>
      </c>
      <c r="G281" s="41" t="s">
        <v>667</v>
      </c>
      <c r="H281" s="41" t="s">
        <v>133</v>
      </c>
    </row>
    <row r="282" spans="1:8">
      <c r="A282" s="38" t="s">
        <v>102</v>
      </c>
      <c r="B282" s="38">
        <v>12</v>
      </c>
      <c r="C282" s="38">
        <v>47</v>
      </c>
      <c r="D282" s="38">
        <v>5</v>
      </c>
      <c r="E282" s="41" t="s">
        <v>668</v>
      </c>
      <c r="F282" s="41" t="s">
        <v>131</v>
      </c>
      <c r="G282" s="41" t="s">
        <v>669</v>
      </c>
      <c r="H282" s="41" t="s">
        <v>133</v>
      </c>
    </row>
    <row r="283" spans="1:8">
      <c r="A283" s="38" t="s">
        <v>102</v>
      </c>
      <c r="B283" s="38">
        <v>12</v>
      </c>
      <c r="C283" s="38">
        <v>47</v>
      </c>
      <c r="D283" s="38">
        <v>6</v>
      </c>
      <c r="E283" s="41" t="s">
        <v>670</v>
      </c>
      <c r="F283" s="41" t="s">
        <v>131</v>
      </c>
      <c r="G283" s="41" t="s">
        <v>671</v>
      </c>
      <c r="H283" s="41" t="s">
        <v>133</v>
      </c>
    </row>
    <row r="284" spans="1:8">
      <c r="A284" s="38" t="s">
        <v>102</v>
      </c>
      <c r="B284" s="38">
        <v>12</v>
      </c>
      <c r="C284" s="38">
        <v>48</v>
      </c>
      <c r="D284" s="38">
        <v>1</v>
      </c>
      <c r="E284" s="41" t="s">
        <v>672</v>
      </c>
      <c r="F284" s="41" t="s">
        <v>131</v>
      </c>
      <c r="G284" s="41" t="s">
        <v>673</v>
      </c>
      <c r="H284" s="41" t="s">
        <v>133</v>
      </c>
    </row>
    <row r="285" spans="1:8">
      <c r="A285" s="38" t="s">
        <v>102</v>
      </c>
      <c r="B285" s="38">
        <v>12</v>
      </c>
      <c r="C285" s="38">
        <v>48</v>
      </c>
      <c r="D285" s="38">
        <v>2</v>
      </c>
      <c r="E285" s="41" t="s">
        <v>674</v>
      </c>
      <c r="F285" s="41" t="s">
        <v>131</v>
      </c>
      <c r="G285" s="41" t="s">
        <v>675</v>
      </c>
      <c r="H285" s="41" t="s">
        <v>133</v>
      </c>
    </row>
    <row r="286" spans="1:8">
      <c r="A286" s="38" t="s">
        <v>102</v>
      </c>
      <c r="B286" s="38">
        <v>12</v>
      </c>
      <c r="C286" s="38">
        <v>48</v>
      </c>
      <c r="D286" s="38">
        <v>3</v>
      </c>
      <c r="E286" s="41" t="s">
        <v>676</v>
      </c>
      <c r="F286" s="41" t="s">
        <v>131</v>
      </c>
      <c r="G286" s="41" t="s">
        <v>677</v>
      </c>
      <c r="H286" s="41" t="s">
        <v>133</v>
      </c>
    </row>
    <row r="287" spans="1:8">
      <c r="A287" s="38" t="s">
        <v>102</v>
      </c>
      <c r="B287" s="38">
        <v>12</v>
      </c>
      <c r="C287" s="38">
        <v>48</v>
      </c>
      <c r="D287" s="38">
        <v>4</v>
      </c>
      <c r="E287" s="41" t="s">
        <v>678</v>
      </c>
      <c r="F287" s="41" t="s">
        <v>131</v>
      </c>
      <c r="G287" s="41" t="s">
        <v>679</v>
      </c>
      <c r="H287" s="41" t="s">
        <v>133</v>
      </c>
    </row>
    <row r="288" spans="1:8">
      <c r="A288" s="38" t="s">
        <v>102</v>
      </c>
      <c r="B288" s="38">
        <v>12</v>
      </c>
      <c r="C288" s="38">
        <v>48</v>
      </c>
      <c r="D288" s="38">
        <v>5</v>
      </c>
      <c r="E288" s="41" t="s">
        <v>680</v>
      </c>
      <c r="F288" s="41" t="s">
        <v>131</v>
      </c>
      <c r="G288" s="41" t="s">
        <v>681</v>
      </c>
      <c r="H288" s="41" t="s">
        <v>133</v>
      </c>
    </row>
    <row r="289" spans="1:8">
      <c r="A289" s="38" t="s">
        <v>102</v>
      </c>
      <c r="B289" s="38">
        <v>12</v>
      </c>
      <c r="C289" s="38">
        <v>48</v>
      </c>
      <c r="D289" s="38">
        <v>6</v>
      </c>
      <c r="E289" s="41" t="s">
        <v>682</v>
      </c>
      <c r="F289" s="41" t="s">
        <v>131</v>
      </c>
      <c r="G289" s="41" t="s">
        <v>683</v>
      </c>
      <c r="H289" s="41" t="s">
        <v>133</v>
      </c>
    </row>
    <row r="290" spans="1:8">
      <c r="A290" s="38" t="s">
        <v>102</v>
      </c>
      <c r="B290" s="38">
        <v>12</v>
      </c>
      <c r="C290" s="38">
        <v>49</v>
      </c>
      <c r="D290" s="38">
        <v>1</v>
      </c>
      <c r="E290" s="41" t="s">
        <v>684</v>
      </c>
      <c r="F290" s="41" t="s">
        <v>131</v>
      </c>
      <c r="G290" s="41" t="s">
        <v>685</v>
      </c>
      <c r="H290" s="41" t="s">
        <v>133</v>
      </c>
    </row>
    <row r="291" spans="1:8">
      <c r="A291" s="38" t="s">
        <v>102</v>
      </c>
      <c r="B291" s="38">
        <v>12</v>
      </c>
      <c r="C291" s="38">
        <v>49</v>
      </c>
      <c r="D291" s="38">
        <v>2</v>
      </c>
      <c r="E291" s="41" t="s">
        <v>686</v>
      </c>
      <c r="F291" s="41" t="s">
        <v>131</v>
      </c>
      <c r="G291" s="41" t="s">
        <v>687</v>
      </c>
      <c r="H291" s="41" t="s">
        <v>133</v>
      </c>
    </row>
    <row r="292" spans="1:8">
      <c r="A292" s="38" t="s">
        <v>102</v>
      </c>
      <c r="B292" s="38">
        <v>12</v>
      </c>
      <c r="C292" s="38">
        <v>49</v>
      </c>
      <c r="D292" s="38">
        <v>3</v>
      </c>
      <c r="E292" s="41" t="s">
        <v>688</v>
      </c>
      <c r="F292" s="41" t="s">
        <v>131</v>
      </c>
      <c r="G292" s="41" t="s">
        <v>689</v>
      </c>
      <c r="H292" s="41" t="s">
        <v>133</v>
      </c>
    </row>
    <row r="293" spans="1:8">
      <c r="A293" s="38" t="s">
        <v>102</v>
      </c>
      <c r="B293" s="38">
        <v>12</v>
      </c>
      <c r="C293" s="38">
        <v>49</v>
      </c>
      <c r="D293" s="38">
        <v>4</v>
      </c>
      <c r="E293" s="41" t="s">
        <v>690</v>
      </c>
      <c r="F293" s="41" t="s">
        <v>131</v>
      </c>
      <c r="G293" s="41" t="s">
        <v>691</v>
      </c>
      <c r="H293" s="41" t="s">
        <v>133</v>
      </c>
    </row>
    <row r="294" spans="1:8">
      <c r="A294" s="38" t="s">
        <v>102</v>
      </c>
      <c r="B294" s="38">
        <v>12</v>
      </c>
      <c r="C294" s="38">
        <v>49</v>
      </c>
      <c r="D294" s="38">
        <v>5</v>
      </c>
      <c r="E294" s="41" t="s">
        <v>692</v>
      </c>
      <c r="F294" s="41" t="s">
        <v>131</v>
      </c>
      <c r="G294" s="41" t="s">
        <v>693</v>
      </c>
      <c r="H294" s="41" t="s">
        <v>133</v>
      </c>
    </row>
    <row r="295" spans="1:8">
      <c r="A295" s="38" t="s">
        <v>102</v>
      </c>
      <c r="B295" s="38">
        <v>12</v>
      </c>
      <c r="C295" s="38">
        <v>49</v>
      </c>
      <c r="D295" s="38">
        <v>6</v>
      </c>
      <c r="E295" s="41" t="s">
        <v>694</v>
      </c>
      <c r="F295" s="41" t="s">
        <v>131</v>
      </c>
      <c r="G295" s="41" t="s">
        <v>695</v>
      </c>
      <c r="H295" s="41" t="s">
        <v>133</v>
      </c>
    </row>
    <row r="296" spans="1:8">
      <c r="A296" s="38" t="s">
        <v>102</v>
      </c>
      <c r="B296" s="38">
        <v>12</v>
      </c>
      <c r="C296" s="38">
        <v>50</v>
      </c>
      <c r="D296" s="38">
        <v>1</v>
      </c>
      <c r="E296" s="41" t="s">
        <v>696</v>
      </c>
      <c r="F296" s="41" t="s">
        <v>131</v>
      </c>
      <c r="G296" s="41" t="s">
        <v>697</v>
      </c>
      <c r="H296" s="41" t="s">
        <v>133</v>
      </c>
    </row>
    <row r="297" spans="1:8">
      <c r="A297" s="38" t="s">
        <v>102</v>
      </c>
      <c r="B297" s="38">
        <v>12</v>
      </c>
      <c r="C297" s="38">
        <v>50</v>
      </c>
      <c r="D297" s="38">
        <v>2</v>
      </c>
      <c r="E297" s="41" t="s">
        <v>698</v>
      </c>
      <c r="F297" s="41" t="s">
        <v>131</v>
      </c>
      <c r="G297" s="41" t="s">
        <v>699</v>
      </c>
      <c r="H297" s="41" t="s">
        <v>133</v>
      </c>
    </row>
    <row r="298" spans="1:8">
      <c r="A298" s="38" t="s">
        <v>102</v>
      </c>
      <c r="B298" s="38">
        <v>12</v>
      </c>
      <c r="C298" s="38">
        <v>50</v>
      </c>
      <c r="D298" s="38">
        <v>3</v>
      </c>
      <c r="E298" s="41" t="s">
        <v>700</v>
      </c>
      <c r="F298" s="41" t="s">
        <v>131</v>
      </c>
      <c r="G298" s="41" t="s">
        <v>701</v>
      </c>
      <c r="H298" s="41" t="s">
        <v>133</v>
      </c>
    </row>
    <row r="299" spans="1:8">
      <c r="A299" s="38" t="s">
        <v>102</v>
      </c>
      <c r="B299" s="38">
        <v>12</v>
      </c>
      <c r="C299" s="38">
        <v>50</v>
      </c>
      <c r="D299" s="38">
        <v>4</v>
      </c>
      <c r="E299" s="41" t="s">
        <v>702</v>
      </c>
      <c r="F299" s="41" t="s">
        <v>131</v>
      </c>
      <c r="G299" s="41" t="s">
        <v>703</v>
      </c>
      <c r="H299" s="41" t="s">
        <v>133</v>
      </c>
    </row>
    <row r="300" spans="1:8">
      <c r="A300" s="38" t="s">
        <v>102</v>
      </c>
      <c r="B300" s="38">
        <v>12</v>
      </c>
      <c r="C300" s="38">
        <v>50</v>
      </c>
      <c r="D300" s="38">
        <v>5</v>
      </c>
      <c r="E300" s="41" t="s">
        <v>704</v>
      </c>
      <c r="F300" s="41" t="s">
        <v>131</v>
      </c>
      <c r="G300" s="41" t="s">
        <v>705</v>
      </c>
      <c r="H300" s="41" t="s">
        <v>133</v>
      </c>
    </row>
    <row r="301" spans="1:8">
      <c r="A301" s="38" t="s">
        <v>102</v>
      </c>
      <c r="B301" s="38">
        <v>12</v>
      </c>
      <c r="C301" s="38">
        <v>50</v>
      </c>
      <c r="D301" s="38">
        <v>6</v>
      </c>
      <c r="E301" s="41" t="s">
        <v>706</v>
      </c>
      <c r="F301" s="41" t="s">
        <v>131</v>
      </c>
      <c r="G301" s="41" t="s">
        <v>137</v>
      </c>
      <c r="H301" s="41" t="s">
        <v>133</v>
      </c>
    </row>
    <row r="302" spans="1:8">
      <c r="A302" s="38" t="s">
        <v>102</v>
      </c>
      <c r="B302" s="38">
        <v>12</v>
      </c>
      <c r="C302" s="38">
        <v>52</v>
      </c>
      <c r="D302" s="38">
        <v>1</v>
      </c>
      <c r="E302" s="41" t="s">
        <v>707</v>
      </c>
      <c r="F302" s="41" t="s">
        <v>131</v>
      </c>
      <c r="G302" s="41" t="s">
        <v>708</v>
      </c>
      <c r="H302" s="41" t="s">
        <v>133</v>
      </c>
    </row>
    <row r="303" spans="1:8">
      <c r="A303" s="38" t="s">
        <v>102</v>
      </c>
      <c r="B303" s="38">
        <v>12</v>
      </c>
      <c r="C303" s="38">
        <v>52</v>
      </c>
      <c r="D303" s="38">
        <v>2</v>
      </c>
      <c r="E303" s="41" t="s">
        <v>709</v>
      </c>
      <c r="F303" s="41" t="s">
        <v>131</v>
      </c>
      <c r="G303" s="41" t="s">
        <v>710</v>
      </c>
      <c r="H303" s="41" t="s">
        <v>133</v>
      </c>
    </row>
    <row r="304" spans="1:8">
      <c r="A304" s="38" t="s">
        <v>102</v>
      </c>
      <c r="B304" s="38">
        <v>12</v>
      </c>
      <c r="C304" s="38">
        <v>52</v>
      </c>
      <c r="D304" s="38">
        <v>3</v>
      </c>
      <c r="E304" s="41" t="s">
        <v>711</v>
      </c>
      <c r="F304" s="41" t="s">
        <v>131</v>
      </c>
      <c r="G304" s="41" t="s">
        <v>712</v>
      </c>
      <c r="H304" s="41" t="s">
        <v>133</v>
      </c>
    </row>
    <row r="305" spans="1:8">
      <c r="A305" s="38" t="s">
        <v>102</v>
      </c>
      <c r="B305" s="38">
        <v>12</v>
      </c>
      <c r="C305" s="38">
        <v>52</v>
      </c>
      <c r="D305" s="38">
        <v>4</v>
      </c>
      <c r="E305" s="41" t="s">
        <v>713</v>
      </c>
      <c r="F305" s="41" t="s">
        <v>131</v>
      </c>
      <c r="G305" s="41" t="s">
        <v>714</v>
      </c>
      <c r="H305" s="41" t="s">
        <v>133</v>
      </c>
    </row>
    <row r="306" spans="1:8">
      <c r="A306" s="38" t="s">
        <v>102</v>
      </c>
      <c r="B306" s="38">
        <v>12</v>
      </c>
      <c r="C306" s="38">
        <v>52</v>
      </c>
      <c r="D306" s="38">
        <v>5</v>
      </c>
      <c r="E306" s="41" t="s">
        <v>715</v>
      </c>
      <c r="F306" s="41" t="s">
        <v>131</v>
      </c>
      <c r="G306" s="41" t="s">
        <v>716</v>
      </c>
      <c r="H306" s="41" t="s">
        <v>133</v>
      </c>
    </row>
    <row r="307" spans="1:8">
      <c r="A307" s="38" t="s">
        <v>102</v>
      </c>
      <c r="B307" s="38">
        <v>12</v>
      </c>
      <c r="C307" s="38">
        <v>52</v>
      </c>
      <c r="D307" s="38">
        <v>6</v>
      </c>
      <c r="E307" s="41" t="s">
        <v>717</v>
      </c>
      <c r="F307" s="41" t="s">
        <v>131</v>
      </c>
      <c r="G307" s="41" t="s">
        <v>718</v>
      </c>
      <c r="H307" s="41" t="s">
        <v>133</v>
      </c>
    </row>
    <row r="308" spans="1:8">
      <c r="A308" s="38" t="s">
        <v>102</v>
      </c>
      <c r="B308" s="38">
        <v>12</v>
      </c>
      <c r="C308" s="38">
        <v>53</v>
      </c>
      <c r="D308" s="38">
        <v>1</v>
      </c>
      <c r="E308" s="41" t="s">
        <v>719</v>
      </c>
      <c r="F308" s="41" t="s">
        <v>131</v>
      </c>
      <c r="G308" s="41" t="s">
        <v>720</v>
      </c>
      <c r="H308" s="41" t="s">
        <v>133</v>
      </c>
    </row>
    <row r="309" spans="1:8">
      <c r="A309" s="38" t="s">
        <v>102</v>
      </c>
      <c r="B309" s="38">
        <v>12</v>
      </c>
      <c r="C309" s="38">
        <v>53</v>
      </c>
      <c r="D309" s="38">
        <v>2</v>
      </c>
      <c r="E309" s="41" t="s">
        <v>721</v>
      </c>
      <c r="F309" s="41" t="s">
        <v>131</v>
      </c>
      <c r="G309" s="41" t="s">
        <v>722</v>
      </c>
      <c r="H309" s="41" t="s">
        <v>133</v>
      </c>
    </row>
    <row r="310" spans="1:8">
      <c r="A310" s="38" t="s">
        <v>102</v>
      </c>
      <c r="B310" s="38">
        <v>12</v>
      </c>
      <c r="C310" s="38">
        <v>53</v>
      </c>
      <c r="D310" s="38">
        <v>3</v>
      </c>
      <c r="E310" s="41" t="s">
        <v>723</v>
      </c>
      <c r="F310" s="41" t="s">
        <v>131</v>
      </c>
      <c r="G310" s="41" t="s">
        <v>724</v>
      </c>
      <c r="H310" s="41" t="s">
        <v>133</v>
      </c>
    </row>
    <row r="311" spans="1:8">
      <c r="A311" s="38" t="s">
        <v>102</v>
      </c>
      <c r="B311" s="38">
        <v>12</v>
      </c>
      <c r="C311" s="38">
        <v>53</v>
      </c>
      <c r="D311" s="38">
        <v>4</v>
      </c>
      <c r="E311" s="41" t="s">
        <v>725</v>
      </c>
      <c r="F311" s="41" t="s">
        <v>131</v>
      </c>
      <c r="G311" s="41" t="s">
        <v>726</v>
      </c>
      <c r="H311" s="41" t="s">
        <v>133</v>
      </c>
    </row>
    <row r="312" spans="1:8">
      <c r="A312" s="38" t="s">
        <v>102</v>
      </c>
      <c r="B312" s="38">
        <v>12</v>
      </c>
      <c r="C312" s="38">
        <v>53</v>
      </c>
      <c r="D312" s="38">
        <v>5</v>
      </c>
      <c r="E312" s="41" t="s">
        <v>727</v>
      </c>
      <c r="F312" s="41" t="s">
        <v>131</v>
      </c>
      <c r="G312" s="41" t="s">
        <v>728</v>
      </c>
      <c r="H312" s="41" t="s">
        <v>133</v>
      </c>
    </row>
    <row r="313" spans="1:8">
      <c r="A313" s="38" t="s">
        <v>102</v>
      </c>
      <c r="B313" s="38">
        <v>12</v>
      </c>
      <c r="C313" s="38">
        <v>53</v>
      </c>
      <c r="D313" s="38">
        <v>6</v>
      </c>
      <c r="E313" s="41" t="s">
        <v>729</v>
      </c>
      <c r="F313" s="41" t="s">
        <v>131</v>
      </c>
      <c r="G313" s="41" t="s">
        <v>730</v>
      </c>
      <c r="H313" s="41" t="s">
        <v>133</v>
      </c>
    </row>
    <row r="314" spans="1:8">
      <c r="A314" s="38" t="s">
        <v>102</v>
      </c>
      <c r="B314" s="38">
        <v>12</v>
      </c>
      <c r="C314" s="38">
        <v>54</v>
      </c>
      <c r="D314" s="38">
        <v>1</v>
      </c>
      <c r="E314" s="41" t="s">
        <v>731</v>
      </c>
      <c r="F314" s="41" t="s">
        <v>131</v>
      </c>
      <c r="G314" s="41" t="s">
        <v>732</v>
      </c>
      <c r="H314" s="41" t="s">
        <v>133</v>
      </c>
    </row>
    <row r="315" spans="1:8">
      <c r="A315" s="38" t="s">
        <v>102</v>
      </c>
      <c r="B315" s="38">
        <v>12</v>
      </c>
      <c r="C315" s="38">
        <v>54</v>
      </c>
      <c r="D315" s="38">
        <v>2</v>
      </c>
      <c r="E315" s="41" t="s">
        <v>733</v>
      </c>
      <c r="F315" s="41" t="s">
        <v>131</v>
      </c>
      <c r="G315" s="41" t="s">
        <v>734</v>
      </c>
      <c r="H315" s="41" t="s">
        <v>133</v>
      </c>
    </row>
    <row r="316" spans="1:8">
      <c r="A316" s="38" t="s">
        <v>102</v>
      </c>
      <c r="B316" s="38">
        <v>12</v>
      </c>
      <c r="C316" s="38">
        <v>54</v>
      </c>
      <c r="D316" s="38">
        <v>3</v>
      </c>
      <c r="E316" s="41" t="s">
        <v>735</v>
      </c>
      <c r="F316" s="41" t="s">
        <v>131</v>
      </c>
      <c r="G316" s="41" t="s">
        <v>736</v>
      </c>
      <c r="H316" s="41" t="s">
        <v>133</v>
      </c>
    </row>
    <row r="317" spans="1:8">
      <c r="A317" s="38" t="s">
        <v>102</v>
      </c>
      <c r="B317" s="38">
        <v>12</v>
      </c>
      <c r="C317" s="38">
        <v>54</v>
      </c>
      <c r="D317" s="38">
        <v>4</v>
      </c>
      <c r="E317" s="41" t="s">
        <v>737</v>
      </c>
      <c r="F317" s="41" t="s">
        <v>131</v>
      </c>
      <c r="G317" s="41" t="s">
        <v>738</v>
      </c>
      <c r="H317" s="41" t="s">
        <v>133</v>
      </c>
    </row>
    <row r="318" spans="1:8">
      <c r="A318" s="38" t="s">
        <v>102</v>
      </c>
      <c r="B318" s="38">
        <v>12</v>
      </c>
      <c r="C318" s="38">
        <v>54</v>
      </c>
      <c r="D318" s="38">
        <v>5</v>
      </c>
      <c r="E318" s="41" t="s">
        <v>739</v>
      </c>
      <c r="F318" s="41" t="s">
        <v>131</v>
      </c>
      <c r="G318" s="41" t="s">
        <v>740</v>
      </c>
      <c r="H318" s="41" t="s">
        <v>133</v>
      </c>
    </row>
    <row r="319" spans="1:8">
      <c r="A319" s="38" t="s">
        <v>102</v>
      </c>
      <c r="B319" s="38">
        <v>12</v>
      </c>
      <c r="C319" s="38">
        <v>54</v>
      </c>
      <c r="D319" s="38">
        <v>6</v>
      </c>
      <c r="E319" s="41" t="s">
        <v>741</v>
      </c>
      <c r="F319" s="41" t="s">
        <v>131</v>
      </c>
      <c r="G319" s="41" t="s">
        <v>742</v>
      </c>
      <c r="H319" s="41" t="s">
        <v>133</v>
      </c>
    </row>
    <row r="320" spans="1:8">
      <c r="A320" s="38" t="s">
        <v>102</v>
      </c>
      <c r="B320" s="38">
        <v>12</v>
      </c>
      <c r="C320" s="38">
        <v>55</v>
      </c>
      <c r="D320" s="38">
        <v>1</v>
      </c>
      <c r="E320" s="41" t="s">
        <v>743</v>
      </c>
      <c r="F320" s="41" t="s">
        <v>131</v>
      </c>
      <c r="G320" s="41" t="s">
        <v>744</v>
      </c>
      <c r="H320" s="41" t="s">
        <v>133</v>
      </c>
    </row>
    <row r="321" spans="1:8">
      <c r="A321" s="38" t="s">
        <v>102</v>
      </c>
      <c r="B321" s="38">
        <v>12</v>
      </c>
      <c r="C321" s="38">
        <v>55</v>
      </c>
      <c r="D321" s="38">
        <v>2</v>
      </c>
      <c r="E321" s="41" t="s">
        <v>745</v>
      </c>
      <c r="F321" s="41" t="s">
        <v>131</v>
      </c>
      <c r="G321" s="41" t="s">
        <v>746</v>
      </c>
      <c r="H321" s="41" t="s">
        <v>133</v>
      </c>
    </row>
    <row r="322" spans="1:8">
      <c r="A322" s="38" t="s">
        <v>102</v>
      </c>
      <c r="B322" s="38">
        <v>12</v>
      </c>
      <c r="C322" s="38">
        <v>55</v>
      </c>
      <c r="D322" s="38">
        <v>3</v>
      </c>
      <c r="E322" s="41" t="s">
        <v>747</v>
      </c>
      <c r="F322" s="41" t="s">
        <v>131</v>
      </c>
      <c r="G322" s="41" t="s">
        <v>748</v>
      </c>
      <c r="H322" s="41" t="s">
        <v>133</v>
      </c>
    </row>
    <row r="323" spans="1:8">
      <c r="A323" s="38" t="s">
        <v>102</v>
      </c>
      <c r="B323" s="38">
        <v>12</v>
      </c>
      <c r="C323" s="38">
        <v>55</v>
      </c>
      <c r="D323" s="38">
        <v>4</v>
      </c>
      <c r="E323" s="41" t="s">
        <v>749</v>
      </c>
      <c r="F323" s="41" t="s">
        <v>131</v>
      </c>
      <c r="G323" s="41" t="s">
        <v>750</v>
      </c>
      <c r="H323" s="41" t="s">
        <v>133</v>
      </c>
    </row>
    <row r="324" spans="1:8">
      <c r="A324" s="38" t="s">
        <v>102</v>
      </c>
      <c r="B324" s="38">
        <v>12</v>
      </c>
      <c r="C324" s="38">
        <v>55</v>
      </c>
      <c r="D324" s="38">
        <v>5</v>
      </c>
      <c r="E324" s="41" t="s">
        <v>751</v>
      </c>
      <c r="F324" s="41" t="s">
        <v>131</v>
      </c>
      <c r="G324" s="41" t="s">
        <v>752</v>
      </c>
      <c r="H324" s="41" t="s">
        <v>133</v>
      </c>
    </row>
    <row r="325" spans="1:8">
      <c r="A325" s="38" t="s">
        <v>102</v>
      </c>
      <c r="B325" s="38">
        <v>12</v>
      </c>
      <c r="C325" s="38">
        <v>55</v>
      </c>
      <c r="D325" s="38">
        <v>6</v>
      </c>
      <c r="E325" s="41" t="s">
        <v>753</v>
      </c>
      <c r="F325" s="41" t="s">
        <v>131</v>
      </c>
      <c r="G325" s="41" t="s">
        <v>754</v>
      </c>
      <c r="H325" s="41" t="s">
        <v>133</v>
      </c>
    </row>
    <row r="326" spans="1:8">
      <c r="H326" s="41"/>
    </row>
    <row r="327" spans="1:8">
      <c r="H327" s="41"/>
    </row>
    <row r="328" spans="1:8">
      <c r="H328" s="41"/>
    </row>
    <row r="329" spans="1:8">
      <c r="H329" s="41"/>
    </row>
    <row r="330" spans="1:8">
      <c r="H330" s="41"/>
    </row>
    <row r="331" spans="1:8">
      <c r="H331" s="41"/>
    </row>
    <row r="332" spans="1:8">
      <c r="H332" s="41"/>
    </row>
    <row r="333" spans="1:8">
      <c r="H333" s="41"/>
    </row>
    <row r="334" spans="1:8">
      <c r="H334" s="41"/>
    </row>
    <row r="335" spans="1:8">
      <c r="H335" s="41"/>
    </row>
    <row r="336" spans="1:8">
      <c r="H336" s="41"/>
    </row>
    <row r="337" spans="8:8">
      <c r="H337" s="41"/>
    </row>
    <row r="338" spans="8:8">
      <c r="H338" s="41"/>
    </row>
    <row r="339" spans="8:8">
      <c r="H339" s="41"/>
    </row>
    <row r="340" spans="8:8">
      <c r="H340" s="41"/>
    </row>
    <row r="341" spans="8:8">
      <c r="H341" s="41"/>
    </row>
    <row r="342" spans="8:8">
      <c r="H342" s="41"/>
    </row>
    <row r="343" spans="8:8">
      <c r="H343" s="41"/>
    </row>
    <row r="344" spans="8:8">
      <c r="H344" s="41"/>
    </row>
    <row r="345" spans="8:8">
      <c r="H345" s="41"/>
    </row>
    <row r="346" spans="8:8">
      <c r="H346" s="41"/>
    </row>
    <row r="347" spans="8:8">
      <c r="H347" s="41"/>
    </row>
    <row r="348" spans="8:8">
      <c r="H348" s="41"/>
    </row>
    <row r="349" spans="8:8">
      <c r="H349" s="41"/>
    </row>
    <row r="350" spans="8:8">
      <c r="H350" s="41"/>
    </row>
    <row r="351" spans="8:8">
      <c r="H351" s="41"/>
    </row>
    <row r="352" spans="8:8">
      <c r="H352" s="41"/>
    </row>
    <row r="353" spans="8:8">
      <c r="H353" s="41"/>
    </row>
    <row r="354" spans="8:8">
      <c r="H354" s="41"/>
    </row>
    <row r="355" spans="8:8">
      <c r="H355" s="41"/>
    </row>
    <row r="356" spans="8:8">
      <c r="H356" s="41"/>
    </row>
    <row r="357" spans="8:8">
      <c r="H357" s="41"/>
    </row>
    <row r="358" spans="8:8">
      <c r="H358" s="41"/>
    </row>
    <row r="359" spans="8:8">
      <c r="H359" s="41"/>
    </row>
    <row r="360" spans="8:8">
      <c r="H360" s="41"/>
    </row>
    <row r="361" spans="8:8">
      <c r="H361" s="41"/>
    </row>
    <row r="362" spans="8:8">
      <c r="H362" s="41"/>
    </row>
    <row r="363" spans="8:8">
      <c r="H363" s="41"/>
    </row>
    <row r="364" spans="8:8">
      <c r="H364" s="41"/>
    </row>
    <row r="365" spans="8:8">
      <c r="H365" s="41"/>
    </row>
    <row r="366" spans="8:8">
      <c r="H366" s="41"/>
    </row>
    <row r="367" spans="8:8">
      <c r="H367" s="41"/>
    </row>
    <row r="368" spans="8:8">
      <c r="H368" s="41"/>
    </row>
    <row r="369" spans="8:8">
      <c r="H369" s="41"/>
    </row>
    <row r="370" spans="8:8">
      <c r="H370" s="41"/>
    </row>
    <row r="371" spans="8:8">
      <c r="H371" s="41"/>
    </row>
    <row r="372" spans="8:8">
      <c r="H372" s="41"/>
    </row>
    <row r="373" spans="8:8">
      <c r="H373" s="41"/>
    </row>
    <row r="374" spans="8:8">
      <c r="H374" s="41"/>
    </row>
    <row r="375" spans="8:8">
      <c r="H375" s="41"/>
    </row>
    <row r="376" spans="8:8">
      <c r="H376" s="41"/>
    </row>
    <row r="377" spans="8:8">
      <c r="H377" s="41"/>
    </row>
    <row r="378" spans="8:8">
      <c r="H378" s="41"/>
    </row>
    <row r="379" spans="8:8">
      <c r="H379" s="41"/>
    </row>
    <row r="380" spans="8:8">
      <c r="H380" s="41"/>
    </row>
    <row r="381" spans="8:8">
      <c r="H381" s="41"/>
    </row>
    <row r="382" spans="8:8">
      <c r="H382" s="41"/>
    </row>
    <row r="383" spans="8:8">
      <c r="H383" s="41"/>
    </row>
    <row r="384" spans="8:8">
      <c r="H384" s="41"/>
    </row>
    <row r="385" spans="8:8">
      <c r="H385" s="41"/>
    </row>
    <row r="386" spans="8:8">
      <c r="H386" s="41"/>
    </row>
    <row r="387" spans="8:8">
      <c r="H387" s="41"/>
    </row>
    <row r="388" spans="8:8">
      <c r="H388" s="41"/>
    </row>
    <row r="389" spans="8:8">
      <c r="H389" s="41"/>
    </row>
    <row r="390" spans="8:8">
      <c r="H390" s="41"/>
    </row>
    <row r="391" spans="8:8">
      <c r="H391" s="41"/>
    </row>
    <row r="392" spans="8:8">
      <c r="H392" s="41"/>
    </row>
    <row r="393" spans="8:8">
      <c r="H393" s="41"/>
    </row>
    <row r="394" spans="8:8">
      <c r="H394" s="41"/>
    </row>
    <row r="395" spans="8:8">
      <c r="H395" s="41"/>
    </row>
    <row r="396" spans="8:8">
      <c r="H396" s="41"/>
    </row>
    <row r="397" spans="8:8">
      <c r="H397" s="41"/>
    </row>
    <row r="398" spans="8:8">
      <c r="H398" s="41"/>
    </row>
    <row r="399" spans="8:8">
      <c r="H399" s="41"/>
    </row>
    <row r="400" spans="8:8">
      <c r="H400" s="41"/>
    </row>
    <row r="401" spans="8:8">
      <c r="H401" s="41"/>
    </row>
    <row r="402" spans="8:8">
      <c r="H402" s="41"/>
    </row>
    <row r="403" spans="8:8">
      <c r="H403" s="41"/>
    </row>
    <row r="404" spans="8:8">
      <c r="H404" s="41"/>
    </row>
    <row r="405" spans="8:8">
      <c r="H405" s="41"/>
    </row>
    <row r="406" spans="8:8">
      <c r="H406" s="41"/>
    </row>
    <row r="407" spans="8:8">
      <c r="H407" s="41"/>
    </row>
    <row r="408" spans="8:8">
      <c r="H408" s="41"/>
    </row>
    <row r="409" spans="8:8">
      <c r="H409" s="41"/>
    </row>
    <row r="410" spans="8:8">
      <c r="H410" s="41"/>
    </row>
    <row r="411" spans="8:8">
      <c r="H411" s="41"/>
    </row>
    <row r="412" spans="8:8">
      <c r="H412" s="41"/>
    </row>
    <row r="413" spans="8:8">
      <c r="H413" s="41"/>
    </row>
    <row r="414" spans="8:8">
      <c r="H414" s="41"/>
    </row>
    <row r="415" spans="8:8">
      <c r="H415" s="41"/>
    </row>
    <row r="416" spans="8:8">
      <c r="H416" s="41"/>
    </row>
    <row r="417" spans="8:8">
      <c r="H417" s="41"/>
    </row>
    <row r="418" spans="8:8">
      <c r="H418" s="41"/>
    </row>
    <row r="419" spans="8:8">
      <c r="H419" s="41"/>
    </row>
    <row r="420" spans="8:8">
      <c r="H420" s="41"/>
    </row>
    <row r="421" spans="8:8">
      <c r="H421" s="41"/>
    </row>
    <row r="422" spans="8:8">
      <c r="H422" s="41"/>
    </row>
    <row r="423" spans="8:8">
      <c r="H423" s="41"/>
    </row>
    <row r="424" spans="8:8">
      <c r="H424" s="41"/>
    </row>
    <row r="425" spans="8:8">
      <c r="H425" s="41"/>
    </row>
    <row r="426" spans="8:8">
      <c r="H426" s="41"/>
    </row>
    <row r="427" spans="8:8">
      <c r="H427" s="41"/>
    </row>
    <row r="428" spans="8:8">
      <c r="H428" s="41"/>
    </row>
    <row r="429" spans="8:8">
      <c r="H429" s="41"/>
    </row>
    <row r="430" spans="8:8">
      <c r="H430" s="41"/>
    </row>
    <row r="431" spans="8:8">
      <c r="H431" s="41"/>
    </row>
    <row r="432" spans="8:8">
      <c r="H432" s="41"/>
    </row>
    <row r="433" spans="5:8">
      <c r="H433" s="41"/>
    </row>
    <row r="434" spans="5:8">
      <c r="H434" s="41"/>
    </row>
    <row r="435" spans="5:8">
      <c r="H435" s="41"/>
    </row>
    <row r="436" spans="5:8">
      <c r="H436" s="41"/>
    </row>
    <row r="437" spans="5:8">
      <c r="H437" s="41"/>
    </row>
    <row r="438" spans="5:8">
      <c r="E438" s="41"/>
      <c r="F438" s="41"/>
      <c r="G438" s="41"/>
      <c r="H438" s="41"/>
    </row>
    <row r="439" spans="5:8">
      <c r="E439" s="41"/>
      <c r="F439" s="41"/>
      <c r="G439" s="41"/>
      <c r="H439" s="41"/>
    </row>
    <row r="440" spans="5:8">
      <c r="E440" s="41"/>
      <c r="F440" s="41"/>
      <c r="G440" s="41"/>
      <c r="H440" s="41"/>
    </row>
    <row r="441" spans="5:8">
      <c r="E441" s="41"/>
      <c r="F441" s="41"/>
      <c r="G441" s="41"/>
      <c r="H441" s="41"/>
    </row>
    <row r="442" spans="5:8">
      <c r="E442" s="41"/>
      <c r="F442" s="41"/>
      <c r="G442" s="41"/>
      <c r="H442" s="41"/>
    </row>
    <row r="443" spans="5:8">
      <c r="E443" s="41"/>
      <c r="F443" s="41"/>
      <c r="G443" s="41"/>
      <c r="H443" s="41"/>
    </row>
    <row r="444" spans="5:8">
      <c r="E444" s="41"/>
      <c r="F444" s="41"/>
      <c r="G444" s="41"/>
      <c r="H444" s="41"/>
    </row>
    <row r="445" spans="5:8">
      <c r="E445" s="41"/>
      <c r="F445" s="41"/>
      <c r="G445" s="41"/>
      <c r="H445" s="41"/>
    </row>
    <row r="446" spans="5:8">
      <c r="E446" s="41"/>
      <c r="F446" s="41"/>
      <c r="G446" s="41"/>
      <c r="H446" s="41"/>
    </row>
    <row r="447" spans="5:8">
      <c r="E447" s="41"/>
      <c r="F447" s="41"/>
      <c r="G447" s="41"/>
      <c r="H447" s="41"/>
    </row>
    <row r="448" spans="5:8">
      <c r="E448" s="41"/>
      <c r="F448" s="41"/>
      <c r="G448" s="41"/>
      <c r="H448" s="41"/>
    </row>
    <row r="449" spans="5:8">
      <c r="E449" s="41"/>
      <c r="F449" s="41"/>
      <c r="G449" s="41"/>
      <c r="H449" s="41"/>
    </row>
    <row r="450" spans="5:8">
      <c r="E450" s="41"/>
      <c r="F450" s="41"/>
      <c r="G450" s="41"/>
      <c r="H450" s="41"/>
    </row>
    <row r="451" spans="5:8">
      <c r="E451" s="41"/>
      <c r="F451" s="41"/>
      <c r="G451" s="41"/>
      <c r="H451" s="41"/>
    </row>
    <row r="452" spans="5:8">
      <c r="E452" s="41"/>
      <c r="F452" s="41"/>
      <c r="G452" s="41"/>
      <c r="H452" s="41"/>
    </row>
    <row r="453" spans="5:8">
      <c r="E453" s="41"/>
      <c r="F453" s="41"/>
      <c r="G453" s="41"/>
      <c r="H453" s="41"/>
    </row>
    <row r="454" spans="5:8">
      <c r="E454" s="41"/>
      <c r="F454" s="41"/>
      <c r="G454" s="41"/>
      <c r="H454" s="41"/>
    </row>
    <row r="455" spans="5:8">
      <c r="E455" s="41"/>
      <c r="F455" s="41"/>
      <c r="G455" s="41"/>
      <c r="H455" s="41"/>
    </row>
    <row r="456" spans="5:8">
      <c r="E456" s="41"/>
      <c r="F456" s="41"/>
      <c r="G456" s="41"/>
      <c r="H456" s="41"/>
    </row>
    <row r="457" spans="5:8">
      <c r="E457" s="41"/>
      <c r="F457" s="41"/>
      <c r="G457" s="41"/>
      <c r="H457" s="41"/>
    </row>
    <row r="458" spans="5:8">
      <c r="E458" s="41"/>
      <c r="F458" s="41"/>
      <c r="G458" s="41"/>
      <c r="H458" s="41"/>
    </row>
    <row r="459" spans="5:8">
      <c r="E459" s="41"/>
      <c r="F459" s="41"/>
      <c r="G459" s="41"/>
      <c r="H459" s="41"/>
    </row>
    <row r="460" spans="5:8">
      <c r="E460" s="41"/>
      <c r="F460" s="41"/>
      <c r="G460" s="41"/>
      <c r="H460" s="41"/>
    </row>
    <row r="461" spans="5:8">
      <c r="E461" s="41"/>
      <c r="F461" s="41"/>
      <c r="G461" s="41"/>
      <c r="H461" s="41"/>
    </row>
    <row r="462" spans="5:8">
      <c r="E462" s="41"/>
      <c r="F462" s="41"/>
      <c r="G462" s="41"/>
      <c r="H462" s="41"/>
    </row>
    <row r="463" spans="5:8">
      <c r="E463" s="41"/>
      <c r="F463" s="41"/>
      <c r="G463" s="41"/>
      <c r="H463" s="41"/>
    </row>
    <row r="464" spans="5:8">
      <c r="E464" s="41"/>
      <c r="F464" s="41"/>
      <c r="G464" s="41"/>
      <c r="H464" s="41"/>
    </row>
    <row r="465" spans="5:8">
      <c r="E465" s="41"/>
      <c r="F465" s="41"/>
      <c r="G465" s="41"/>
      <c r="H465" s="41"/>
    </row>
    <row r="466" spans="5:8">
      <c r="E466" s="41"/>
      <c r="F466" s="41"/>
      <c r="G466" s="41"/>
      <c r="H466" s="41"/>
    </row>
    <row r="467" spans="5:8">
      <c r="E467" s="41"/>
      <c r="F467" s="41"/>
      <c r="G467" s="41"/>
      <c r="H467" s="41"/>
    </row>
    <row r="468" spans="5:8">
      <c r="E468" s="41"/>
      <c r="F468" s="41"/>
      <c r="G468" s="41"/>
      <c r="H468" s="41"/>
    </row>
    <row r="469" spans="5:8">
      <c r="E469" s="41"/>
      <c r="F469" s="41"/>
      <c r="G469" s="41"/>
      <c r="H469" s="41"/>
    </row>
    <row r="470" spans="5:8">
      <c r="E470" s="41"/>
      <c r="F470" s="41"/>
      <c r="G470" s="41"/>
      <c r="H470" s="41"/>
    </row>
    <row r="471" spans="5:8">
      <c r="E471" s="41"/>
      <c r="F471" s="41"/>
      <c r="G471" s="41"/>
      <c r="H471" s="41"/>
    </row>
    <row r="472" spans="5:8">
      <c r="E472" s="41"/>
      <c r="F472" s="41"/>
      <c r="G472" s="41"/>
      <c r="H472" s="41"/>
    </row>
    <row r="473" spans="5:8">
      <c r="E473" s="41"/>
      <c r="F473" s="41"/>
      <c r="G473" s="41"/>
      <c r="H473" s="41"/>
    </row>
    <row r="474" spans="5:8">
      <c r="E474" s="41"/>
      <c r="F474" s="41"/>
      <c r="G474" s="41"/>
      <c r="H474" s="41"/>
    </row>
    <row r="475" spans="5:8">
      <c r="E475" s="41"/>
      <c r="F475" s="41"/>
      <c r="G475" s="41"/>
      <c r="H475" s="41"/>
    </row>
    <row r="476" spans="5:8">
      <c r="E476" s="41"/>
      <c r="F476" s="41"/>
      <c r="G476" s="41"/>
      <c r="H476" s="41"/>
    </row>
    <row r="477" spans="5:8">
      <c r="E477" s="41"/>
      <c r="F477" s="41"/>
      <c r="G477" s="41"/>
      <c r="H477" s="41"/>
    </row>
    <row r="478" spans="5:8">
      <c r="E478" s="41"/>
      <c r="F478" s="41"/>
      <c r="G478" s="41"/>
      <c r="H478" s="41"/>
    </row>
    <row r="479" spans="5:8">
      <c r="E479" s="41"/>
      <c r="F479" s="41"/>
      <c r="G479" s="41"/>
      <c r="H479" s="41"/>
    </row>
    <row r="480" spans="5:8">
      <c r="E480" s="41"/>
      <c r="F480" s="41"/>
      <c r="G480" s="41"/>
      <c r="H480" s="41"/>
    </row>
    <row r="481" spans="5:8">
      <c r="E481" s="41"/>
      <c r="F481" s="41"/>
      <c r="G481" s="41"/>
      <c r="H481" s="41"/>
    </row>
    <row r="482" spans="5:8">
      <c r="E482" s="41"/>
      <c r="F482" s="41"/>
      <c r="G482" s="41"/>
      <c r="H482" s="41"/>
    </row>
    <row r="483" spans="5:8">
      <c r="E483" s="41"/>
      <c r="F483" s="41"/>
      <c r="G483" s="41"/>
      <c r="H483" s="41"/>
    </row>
    <row r="484" spans="5:8">
      <c r="E484" s="41"/>
      <c r="F484" s="41"/>
      <c r="G484" s="41"/>
      <c r="H484" s="41"/>
    </row>
    <row r="485" spans="5:8">
      <c r="E485" s="41"/>
      <c r="F485" s="41"/>
      <c r="G485" s="41"/>
      <c r="H485" s="41"/>
    </row>
    <row r="486" spans="5:8">
      <c r="H486" s="41"/>
    </row>
    <row r="487" spans="5:8">
      <c r="H487" s="41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6640-2EB3-49B1-90EC-A1AF44952B4F}">
  <dimension ref="A1:T49"/>
  <sheetViews>
    <sheetView zoomScale="70" zoomScaleNormal="70" workbookViewId="0">
      <selection activeCell="G10" sqref="G10"/>
    </sheetView>
  </sheetViews>
  <sheetFormatPr defaultRowHeight="14.5"/>
  <cols>
    <col min="3" max="4" width="11.54296875" customWidth="1"/>
    <col min="5" max="5" width="5.7265625" customWidth="1"/>
    <col min="6" max="7" width="11.54296875" customWidth="1"/>
    <col min="8" max="8" width="5.7265625" customWidth="1"/>
    <col min="9" max="10" width="11.54296875" customWidth="1"/>
    <col min="11" max="11" width="5.7265625" customWidth="1"/>
    <col min="12" max="13" width="11.54296875" customWidth="1"/>
    <col min="14" max="14" width="5.7265625" customWidth="1"/>
    <col min="15" max="16" width="11.54296875" customWidth="1"/>
    <col min="17" max="17" width="5.7265625" customWidth="1"/>
    <col min="18" max="18" width="11.5429687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>
      <c r="A2" s="1"/>
      <c r="B2" s="1"/>
      <c r="C2" s="1"/>
      <c r="D2" s="1"/>
      <c r="E2" s="221" t="s">
        <v>839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3">
      <c r="A4" s="1"/>
      <c r="B4" s="1"/>
      <c r="C4" s="4" t="s">
        <v>59</v>
      </c>
      <c r="D4" s="25"/>
      <c r="E4" s="25"/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3">
      <c r="A5" s="1"/>
      <c r="B5" s="1"/>
      <c r="C5" s="4" t="s">
        <v>835</v>
      </c>
      <c r="D5" s="25"/>
      <c r="E5" s="25"/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3.5">
      <c r="A6" s="1"/>
      <c r="B6" s="1"/>
      <c r="C6" s="4" t="s">
        <v>57</v>
      </c>
      <c r="D6" s="25"/>
      <c r="E6" s="25"/>
      <c r="F6" s="20"/>
      <c r="G6" s="1"/>
      <c r="H6" s="1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3">
      <c r="A7" s="1"/>
      <c r="B7" s="1"/>
      <c r="C7" s="4" t="s">
        <v>61</v>
      </c>
      <c r="D7" s="25"/>
      <c r="E7" s="25"/>
      <c r="F7" s="20"/>
      <c r="G7" s="1"/>
      <c r="H7" s="1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" thickBot="1">
      <c r="A8" s="1"/>
      <c r="B8" s="1"/>
      <c r="C8" s="6"/>
      <c r="D8" s="6"/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41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3"/>
      <c r="T9" s="1"/>
    </row>
    <row r="10" spans="1:20" s="3" customFormat="1" ht="14">
      <c r="A10" s="5"/>
      <c r="B10" s="144"/>
      <c r="C10" s="145" t="s">
        <v>2</v>
      </c>
      <c r="D10" s="145" t="s">
        <v>7</v>
      </c>
      <c r="E10" s="146"/>
      <c r="F10" s="145" t="s">
        <v>12</v>
      </c>
      <c r="G10" s="145" t="s">
        <v>17</v>
      </c>
      <c r="H10" s="146"/>
      <c r="I10" s="145" t="s">
        <v>22</v>
      </c>
      <c r="J10" s="145" t="s">
        <v>27</v>
      </c>
      <c r="K10" s="146"/>
      <c r="L10" s="145" t="s">
        <v>32</v>
      </c>
      <c r="M10" s="145" t="s">
        <v>37</v>
      </c>
      <c r="N10" s="146"/>
      <c r="O10" s="145" t="s">
        <v>42</v>
      </c>
      <c r="P10" s="145" t="s">
        <v>47</v>
      </c>
      <c r="Q10" s="146"/>
      <c r="R10" s="145" t="s">
        <v>52</v>
      </c>
      <c r="S10" s="147"/>
      <c r="T10" s="5"/>
    </row>
    <row r="11" spans="1:20" s="3" customFormat="1" ht="14">
      <c r="A11" s="5"/>
      <c r="B11" s="144"/>
      <c r="C11" s="146"/>
      <c r="D11" s="146"/>
      <c r="E11" s="146"/>
      <c r="F11" s="146"/>
      <c r="G11" s="146"/>
      <c r="H11" s="145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7"/>
      <c r="T11" s="5"/>
    </row>
    <row r="12" spans="1:20" s="3" customFormat="1" ht="14">
      <c r="A12" s="5"/>
      <c r="B12" s="144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7"/>
      <c r="T12" s="5"/>
    </row>
    <row r="13" spans="1:20" s="3" customFormat="1" ht="14">
      <c r="A13" s="5"/>
      <c r="B13" s="144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7"/>
      <c r="T13" s="5"/>
    </row>
    <row r="14" spans="1:20" s="3" customFormat="1" ht="14">
      <c r="A14" s="5"/>
      <c r="B14" s="144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7"/>
      <c r="T14" s="5"/>
    </row>
    <row r="15" spans="1:20" s="3" customFormat="1" ht="14">
      <c r="A15" s="5"/>
      <c r="B15" s="144"/>
      <c r="C15" s="145" t="s">
        <v>3</v>
      </c>
      <c r="D15" s="145" t="s">
        <v>8</v>
      </c>
      <c r="E15" s="146"/>
      <c r="F15" s="145" t="s">
        <v>13</v>
      </c>
      <c r="G15" s="145" t="s">
        <v>18</v>
      </c>
      <c r="H15" s="146"/>
      <c r="I15" s="145" t="s">
        <v>23</v>
      </c>
      <c r="J15" s="145" t="s">
        <v>28</v>
      </c>
      <c r="K15" s="146"/>
      <c r="L15" s="145" t="s">
        <v>33</v>
      </c>
      <c r="M15" s="145" t="s">
        <v>38</v>
      </c>
      <c r="N15" s="146"/>
      <c r="O15" s="145" t="s">
        <v>43</v>
      </c>
      <c r="P15" s="145" t="s">
        <v>48</v>
      </c>
      <c r="Q15" s="146"/>
      <c r="R15" s="145" t="s">
        <v>53</v>
      </c>
      <c r="S15" s="147"/>
      <c r="T15" s="5"/>
    </row>
    <row r="16" spans="1:20" s="3" customFormat="1" ht="14">
      <c r="A16" s="5"/>
      <c r="B16" s="144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7"/>
      <c r="T16" s="5"/>
    </row>
    <row r="17" spans="1:20" s="3" customFormat="1" ht="14">
      <c r="A17" s="5"/>
      <c r="B17" s="144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7"/>
      <c r="T17" s="5"/>
    </row>
    <row r="18" spans="1:20" s="3" customFormat="1" ht="14">
      <c r="A18" s="5"/>
      <c r="B18" s="144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7"/>
      <c r="T18" s="5"/>
    </row>
    <row r="19" spans="1:20" s="3" customFormat="1" ht="14">
      <c r="A19" s="5"/>
      <c r="B19" s="144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7"/>
      <c r="T19" s="5"/>
    </row>
    <row r="20" spans="1:20" s="3" customFormat="1" ht="14">
      <c r="A20" s="5"/>
      <c r="B20" s="144"/>
      <c r="C20" s="145" t="s">
        <v>4</v>
      </c>
      <c r="D20" s="145" t="s">
        <v>9</v>
      </c>
      <c r="E20" s="146"/>
      <c r="F20" s="145" t="s">
        <v>14</v>
      </c>
      <c r="G20" s="145" t="s">
        <v>19</v>
      </c>
      <c r="H20" s="146"/>
      <c r="I20" s="145" t="s">
        <v>24</v>
      </c>
      <c r="J20" s="145" t="s">
        <v>29</v>
      </c>
      <c r="K20" s="146"/>
      <c r="L20" s="145" t="s">
        <v>34</v>
      </c>
      <c r="M20" s="145" t="s">
        <v>39</v>
      </c>
      <c r="N20" s="146"/>
      <c r="O20" s="145" t="s">
        <v>44</v>
      </c>
      <c r="P20" s="145" t="s">
        <v>49</v>
      </c>
      <c r="Q20" s="146"/>
      <c r="R20" s="145" t="s">
        <v>54</v>
      </c>
      <c r="S20" s="147"/>
      <c r="T20" s="5"/>
    </row>
    <row r="21" spans="1:20" s="3" customFormat="1" ht="14">
      <c r="A21" s="5"/>
      <c r="B21" s="144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7"/>
      <c r="T21" s="5"/>
    </row>
    <row r="22" spans="1:20" s="3" customFormat="1" ht="14">
      <c r="A22" s="5"/>
      <c r="B22" s="144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7"/>
      <c r="T22" s="5"/>
    </row>
    <row r="23" spans="1:20" s="3" customFormat="1" ht="14">
      <c r="A23" s="5"/>
      <c r="B23" s="144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7"/>
      <c r="T23" s="5"/>
    </row>
    <row r="24" spans="1:20" s="3" customFormat="1" ht="14">
      <c r="A24" s="5"/>
      <c r="B24" s="144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7"/>
      <c r="T24" s="5"/>
    </row>
    <row r="25" spans="1:20" s="3" customFormat="1" ht="14">
      <c r="A25" s="5"/>
      <c r="B25" s="144"/>
      <c r="C25" s="145" t="s">
        <v>5</v>
      </c>
      <c r="D25" s="145" t="s">
        <v>10</v>
      </c>
      <c r="E25" s="146"/>
      <c r="F25" s="145" t="s">
        <v>15</v>
      </c>
      <c r="G25" s="145" t="s">
        <v>20</v>
      </c>
      <c r="H25" s="146"/>
      <c r="I25" s="145" t="s">
        <v>25</v>
      </c>
      <c r="J25" s="145" t="s">
        <v>30</v>
      </c>
      <c r="K25" s="146"/>
      <c r="L25" s="145" t="s">
        <v>35</v>
      </c>
      <c r="M25" s="145" t="s">
        <v>40</v>
      </c>
      <c r="N25" s="146"/>
      <c r="O25" s="145" t="s">
        <v>45</v>
      </c>
      <c r="P25" s="145" t="s">
        <v>50</v>
      </c>
      <c r="Q25" s="146"/>
      <c r="R25" s="145" t="s">
        <v>55</v>
      </c>
      <c r="S25" s="147"/>
      <c r="T25" s="5"/>
    </row>
    <row r="26" spans="1:20" s="3" customFormat="1" ht="14">
      <c r="A26" s="5"/>
      <c r="B26" s="144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7"/>
      <c r="T26" s="5"/>
    </row>
    <row r="27" spans="1:20" s="3" customFormat="1" ht="14">
      <c r="A27" s="5"/>
      <c r="B27" s="144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7"/>
      <c r="T27" s="5"/>
    </row>
    <row r="28" spans="1:20" s="3" customFormat="1" ht="14">
      <c r="A28" s="5"/>
      <c r="B28" s="144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7"/>
      <c r="T28" s="5"/>
    </row>
    <row r="29" spans="1:20" s="3" customFormat="1" ht="14">
      <c r="A29" s="5"/>
      <c r="B29" s="144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7"/>
      <c r="T29" s="5"/>
    </row>
    <row r="30" spans="1:20" s="3" customFormat="1" ht="14">
      <c r="A30" s="5"/>
      <c r="B30" s="144"/>
      <c r="C30" s="145" t="s">
        <v>6</v>
      </c>
      <c r="D30" s="145" t="s">
        <v>11</v>
      </c>
      <c r="E30" s="146"/>
      <c r="F30" s="145" t="s">
        <v>16</v>
      </c>
      <c r="G30" s="145" t="s">
        <v>21</v>
      </c>
      <c r="H30" s="146"/>
      <c r="I30" s="145" t="s">
        <v>26</v>
      </c>
      <c r="J30" s="145" t="s">
        <v>31</v>
      </c>
      <c r="K30" s="146"/>
      <c r="L30" s="145" t="s">
        <v>36</v>
      </c>
      <c r="M30" s="145" t="s">
        <v>41</v>
      </c>
      <c r="N30" s="146"/>
      <c r="O30" s="145" t="s">
        <v>46</v>
      </c>
      <c r="P30" s="145" t="s">
        <v>51</v>
      </c>
      <c r="Q30" s="146"/>
      <c r="R30" s="145" t="s">
        <v>56</v>
      </c>
      <c r="S30" s="147"/>
      <c r="T30" s="5"/>
    </row>
    <row r="31" spans="1:20" s="3" customFormat="1" ht="14">
      <c r="A31" s="5"/>
      <c r="B31" s="144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7"/>
      <c r="T31" s="5"/>
    </row>
    <row r="32" spans="1:20" s="3" customFormat="1" ht="14">
      <c r="A32" s="5"/>
      <c r="B32" s="144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7"/>
      <c r="T32" s="5"/>
    </row>
    <row r="33" spans="1:20" s="3" customFormat="1" ht="14">
      <c r="A33" s="5"/>
      <c r="B33" s="144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7"/>
      <c r="T33" s="5"/>
    </row>
    <row r="34" spans="1:20" s="3" customFormat="1" ht="14">
      <c r="A34" s="5"/>
      <c r="B34" s="144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7"/>
      <c r="T34" s="5"/>
    </row>
    <row r="35" spans="1:20" s="3" customFormat="1" ht="14">
      <c r="A35" s="5"/>
      <c r="B35" s="144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7"/>
      <c r="T35" s="5"/>
    </row>
    <row r="36" spans="1:20" ht="15" thickBot="1">
      <c r="A36" s="1"/>
      <c r="B36" s="148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50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mergeCells count="1">
    <mergeCell ref="E2:P2"/>
  </mergeCells>
  <pageMargins left="0.7" right="0.7" top="0.75" bottom="0.75" header="0.3" footer="0.3"/>
  <pageSetup paperSize="1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7A5C-4BC5-4AE2-B2FA-7A643652D030}">
  <sheetPr>
    <pageSetUpPr fitToPage="1"/>
  </sheetPr>
  <dimension ref="A1:CE89"/>
  <sheetViews>
    <sheetView topLeftCell="A4" zoomScale="54" zoomScaleNormal="54" workbookViewId="0">
      <selection activeCell="AJ4" sqref="AJ4"/>
    </sheetView>
  </sheetViews>
  <sheetFormatPr defaultRowHeight="14.5"/>
  <cols>
    <col min="1" max="1" width="12.453125" style="1" customWidth="1"/>
    <col min="2" max="40" width="4.54296875" customWidth="1"/>
    <col min="41" max="42" width="1.54296875" customWidth="1"/>
    <col min="43" max="81" width="4.54296875" customWidth="1"/>
    <col min="82" max="82" width="8.54296875" style="1"/>
  </cols>
  <sheetData>
    <row r="1" spans="2:83" ht="38.6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24" t="s">
        <v>838</v>
      </c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225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E1" s="1"/>
    </row>
    <row r="2" spans="2:83" s="1" customFormat="1" ht="20.5">
      <c r="B2" s="23" t="s">
        <v>60</v>
      </c>
      <c r="C2" s="23"/>
      <c r="D2" s="23"/>
      <c r="E2" s="23"/>
      <c r="F2" s="23"/>
      <c r="G2" s="23"/>
      <c r="H2" s="23"/>
      <c r="I2" s="23"/>
      <c r="J2" s="21"/>
      <c r="K2" s="9"/>
      <c r="L2" s="22"/>
      <c r="M2" s="9"/>
      <c r="N2" s="9"/>
      <c r="O2" s="9"/>
      <c r="P2" s="9"/>
      <c r="Q2" s="9"/>
      <c r="R2" s="21"/>
      <c r="S2" s="21"/>
      <c r="T2" s="21"/>
      <c r="U2" s="21"/>
      <c r="V2" s="21"/>
      <c r="W2" s="9"/>
      <c r="X2" s="9"/>
      <c r="AA2" s="9"/>
      <c r="AB2" s="9"/>
      <c r="AC2" s="22"/>
      <c r="AD2" s="9"/>
      <c r="AE2" s="5"/>
      <c r="AF2" s="5"/>
      <c r="AG2" s="5"/>
      <c r="AH2" s="6"/>
      <c r="AI2" s="6"/>
      <c r="AM2" s="7"/>
    </row>
    <row r="3" spans="2:83" s="1" customFormat="1" ht="20.5">
      <c r="B3" s="23" t="s">
        <v>836</v>
      </c>
      <c r="C3" s="23"/>
      <c r="D3" s="23"/>
      <c r="E3" s="23"/>
      <c r="F3" s="23"/>
      <c r="G3" s="23"/>
      <c r="H3" s="23"/>
      <c r="I3" s="23"/>
      <c r="J3" s="9"/>
      <c r="K3" s="9"/>
      <c r="L3" s="9"/>
      <c r="M3" s="9"/>
      <c r="N3" s="9"/>
      <c r="O3" s="9"/>
      <c r="P3" s="9"/>
      <c r="Q3" s="21"/>
      <c r="R3" s="21"/>
      <c r="S3" s="21"/>
      <c r="T3" s="21"/>
      <c r="U3" s="21"/>
      <c r="V3" s="21"/>
      <c r="W3" s="21"/>
      <c r="X3" s="21"/>
      <c r="AA3" s="9"/>
      <c r="AB3" s="9"/>
      <c r="AC3" s="9"/>
      <c r="AD3" s="9"/>
      <c r="AE3" s="5"/>
      <c r="AF3" s="8"/>
      <c r="AG3" s="8"/>
      <c r="AH3" s="8"/>
      <c r="AK3" s="9"/>
    </row>
    <row r="4" spans="2:83" s="1" customFormat="1" ht="23.5">
      <c r="B4" s="24" t="s">
        <v>63</v>
      </c>
      <c r="C4" s="23"/>
      <c r="D4" s="23"/>
      <c r="E4" s="23"/>
      <c r="F4" s="23"/>
      <c r="G4" s="23"/>
      <c r="H4" s="23"/>
      <c r="I4" s="23"/>
      <c r="J4" s="9"/>
      <c r="K4" s="9"/>
      <c r="L4" s="9"/>
      <c r="M4" s="9"/>
      <c r="N4" s="9"/>
      <c r="O4" s="9"/>
      <c r="P4" s="9"/>
      <c r="Q4" s="21"/>
      <c r="R4" s="21"/>
      <c r="S4" s="21"/>
      <c r="T4" s="21"/>
      <c r="U4" s="21"/>
      <c r="V4" s="21"/>
      <c r="W4" s="21"/>
      <c r="X4" s="21"/>
      <c r="AA4" s="9"/>
      <c r="AB4" s="9"/>
      <c r="AC4" s="9"/>
      <c r="AD4" s="9"/>
      <c r="AE4" s="5"/>
      <c r="AF4" s="8"/>
      <c r="AG4" s="8"/>
      <c r="AH4" s="8"/>
      <c r="AK4" s="9"/>
    </row>
    <row r="5" spans="2:83" s="1" customFormat="1" ht="20.5">
      <c r="B5" s="23" t="s">
        <v>58</v>
      </c>
      <c r="C5" s="23"/>
      <c r="D5" s="23"/>
      <c r="E5" s="23"/>
      <c r="F5" s="23"/>
      <c r="G5" s="23"/>
      <c r="H5" s="23"/>
      <c r="I5" s="23"/>
      <c r="J5" s="9"/>
      <c r="K5" s="9"/>
      <c r="L5" s="9"/>
      <c r="M5" s="9"/>
      <c r="N5" s="9"/>
      <c r="O5" s="9"/>
      <c r="P5" s="9"/>
      <c r="Q5" s="21"/>
      <c r="R5" s="21"/>
      <c r="S5" s="21"/>
      <c r="T5" s="21"/>
      <c r="U5" s="21"/>
      <c r="V5" s="21"/>
      <c r="W5" s="21"/>
      <c r="X5" s="21"/>
      <c r="AA5" s="9"/>
      <c r="AB5" s="9"/>
      <c r="AC5" s="9"/>
      <c r="AD5" s="9"/>
      <c r="AE5" s="5"/>
      <c r="AF5" s="8"/>
      <c r="AG5" s="8"/>
      <c r="AH5" s="8"/>
      <c r="AK5" s="9"/>
    </row>
    <row r="6" spans="2:83" s="1" customFormat="1">
      <c r="B6" s="6"/>
      <c r="C6" s="6"/>
      <c r="D6" s="6"/>
      <c r="E6" s="6"/>
      <c r="F6" s="6"/>
      <c r="G6" s="6"/>
      <c r="H6" s="6"/>
      <c r="AI6" s="10"/>
    </row>
    <row r="7" spans="2:83" ht="21">
      <c r="B7" s="222" t="s">
        <v>0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14"/>
      <c r="AP7" s="15"/>
      <c r="AQ7" s="222" t="s">
        <v>1</v>
      </c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0"/>
      <c r="BQ7" s="220"/>
      <c r="BR7" s="220"/>
      <c r="BS7" s="220"/>
      <c r="BT7" s="220"/>
      <c r="BU7" s="220"/>
      <c r="BV7" s="220"/>
      <c r="BW7" s="220"/>
      <c r="BX7" s="220"/>
      <c r="BY7" s="220"/>
      <c r="BZ7" s="220"/>
      <c r="CA7" s="220"/>
      <c r="CB7" s="220"/>
      <c r="CC7" s="220"/>
    </row>
    <row r="8" spans="2:83" ht="16" thickBot="1">
      <c r="B8" s="19" t="s">
        <v>62</v>
      </c>
      <c r="C8" s="19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9" t="s">
        <v>69</v>
      </c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9" t="s">
        <v>75</v>
      </c>
      <c r="AD8" s="2"/>
      <c r="AE8" s="2"/>
      <c r="AF8" s="2"/>
      <c r="AG8" s="1"/>
      <c r="AH8" s="1"/>
      <c r="AI8" s="1"/>
      <c r="AJ8" s="1"/>
      <c r="AK8" s="1"/>
      <c r="AL8" s="1"/>
      <c r="AM8" s="1"/>
      <c r="AN8" s="1"/>
      <c r="AO8" s="1"/>
      <c r="AP8" s="1"/>
      <c r="AQ8" s="19" t="s">
        <v>77</v>
      </c>
      <c r="AR8" s="2"/>
      <c r="AS8" s="2"/>
      <c r="AT8" s="2"/>
      <c r="AU8" s="1"/>
      <c r="AV8" s="1"/>
      <c r="AW8" s="1"/>
      <c r="AX8" s="1"/>
      <c r="AY8" s="1"/>
      <c r="AZ8" s="1"/>
      <c r="BA8" s="1"/>
      <c r="BB8" s="1"/>
      <c r="BC8" s="1"/>
      <c r="BD8" s="1"/>
      <c r="BE8" s="19" t="s">
        <v>87</v>
      </c>
      <c r="BF8" s="2"/>
      <c r="BG8" s="2"/>
      <c r="BH8" s="2"/>
      <c r="BI8" s="1"/>
      <c r="BJ8" s="1"/>
      <c r="BK8" s="1"/>
      <c r="BL8" s="1"/>
      <c r="BM8" s="1"/>
      <c r="BN8" s="1"/>
      <c r="BO8" s="1"/>
      <c r="BP8" s="1"/>
      <c r="BQ8" s="1"/>
      <c r="BR8" s="19" t="s">
        <v>88</v>
      </c>
      <c r="BS8" s="2"/>
      <c r="BT8" s="2"/>
      <c r="BU8" s="2"/>
      <c r="BV8" s="1"/>
      <c r="BW8" s="1"/>
      <c r="BX8" s="1"/>
      <c r="BY8" s="1"/>
      <c r="BZ8" s="1"/>
      <c r="CA8" s="1"/>
      <c r="CB8" s="1"/>
      <c r="CC8" s="1"/>
    </row>
    <row r="9" spans="2:83">
      <c r="B9" s="28"/>
      <c r="C9" s="29"/>
      <c r="D9" s="30"/>
      <c r="E9" s="31"/>
      <c r="F9" s="28"/>
      <c r="G9" s="29"/>
      <c r="H9" s="30"/>
      <c r="I9" s="31"/>
      <c r="J9" s="28"/>
      <c r="K9" s="29"/>
      <c r="L9" s="30"/>
      <c r="M9" s="31"/>
      <c r="N9" s="11"/>
      <c r="O9" s="28"/>
      <c r="P9" s="29"/>
      <c r="Q9" s="30"/>
      <c r="R9" s="31"/>
      <c r="S9" s="28"/>
      <c r="T9" s="29"/>
      <c r="U9" s="30"/>
      <c r="V9" s="31"/>
      <c r="W9" s="28"/>
      <c r="X9" s="29"/>
      <c r="Y9" s="30"/>
      <c r="Z9" s="31"/>
      <c r="AA9" s="1"/>
      <c r="AB9" s="12"/>
      <c r="AC9" s="30"/>
      <c r="AD9" s="31"/>
      <c r="AE9" s="28"/>
      <c r="AF9" s="29"/>
      <c r="AG9" s="30"/>
      <c r="AH9" s="31"/>
      <c r="AI9" s="28"/>
      <c r="AJ9" s="29"/>
      <c r="AK9" s="30"/>
      <c r="AL9" s="31"/>
      <c r="AM9" s="28"/>
      <c r="AN9" s="29"/>
      <c r="AO9" s="16"/>
      <c r="AP9" s="11"/>
      <c r="AQ9" s="30"/>
      <c r="AR9" s="31"/>
      <c r="AS9" s="28"/>
      <c r="AT9" s="29"/>
      <c r="AU9" s="30"/>
      <c r="AV9" s="31"/>
      <c r="AW9" s="28"/>
      <c r="AX9" s="29"/>
      <c r="AY9" s="30"/>
      <c r="AZ9" s="31"/>
      <c r="BA9" s="28"/>
      <c r="BB9" s="29"/>
      <c r="BC9" s="1"/>
      <c r="BD9" s="13"/>
      <c r="BE9" s="30"/>
      <c r="BF9" s="31"/>
      <c r="BG9" s="28"/>
      <c r="BH9" s="29"/>
      <c r="BI9" s="30"/>
      <c r="BJ9" s="31"/>
      <c r="BK9" s="28"/>
      <c r="BL9" s="29"/>
      <c r="BM9" s="30"/>
      <c r="BN9" s="31"/>
      <c r="BO9" s="28"/>
      <c r="BP9" s="29"/>
      <c r="BQ9" s="11"/>
      <c r="BR9" s="30"/>
      <c r="BS9" s="31"/>
      <c r="BT9" s="28"/>
      <c r="BU9" s="29"/>
      <c r="BV9" s="30"/>
      <c r="BW9" s="31"/>
      <c r="BX9" s="28"/>
      <c r="BY9" s="29"/>
      <c r="BZ9" s="30"/>
      <c r="CA9" s="31"/>
      <c r="CB9" s="28"/>
      <c r="CC9" s="29"/>
    </row>
    <row r="10" spans="2:83" ht="15" thickBot="1">
      <c r="B10" s="27">
        <v>3</v>
      </c>
      <c r="C10" s="32"/>
      <c r="D10" s="33"/>
      <c r="E10" s="34"/>
      <c r="F10" s="27">
        <v>2</v>
      </c>
      <c r="G10" s="32"/>
      <c r="H10" s="33"/>
      <c r="I10" s="34"/>
      <c r="J10" s="27">
        <v>1</v>
      </c>
      <c r="K10" s="32"/>
      <c r="L10" s="33"/>
      <c r="M10" s="34"/>
      <c r="N10" s="1"/>
      <c r="O10" s="27">
        <v>16</v>
      </c>
      <c r="P10" s="32"/>
      <c r="Q10" s="33"/>
      <c r="R10" s="34"/>
      <c r="S10" s="27">
        <v>17</v>
      </c>
      <c r="T10" s="32"/>
      <c r="U10" s="33"/>
      <c r="V10" s="34"/>
      <c r="W10" s="27">
        <v>18</v>
      </c>
      <c r="X10" s="32"/>
      <c r="Y10" s="33"/>
      <c r="Z10" s="34"/>
      <c r="AA10" s="1"/>
      <c r="AB10" s="1"/>
      <c r="AC10" s="33"/>
      <c r="AD10" s="34"/>
      <c r="AE10" s="27">
        <v>3</v>
      </c>
      <c r="AF10" s="32"/>
      <c r="AG10" s="33"/>
      <c r="AH10" s="34"/>
      <c r="AI10" s="27">
        <v>2</v>
      </c>
      <c r="AJ10" s="32"/>
      <c r="AK10" s="33"/>
      <c r="AL10" s="34"/>
      <c r="AM10" s="27">
        <v>1</v>
      </c>
      <c r="AN10" s="32"/>
      <c r="AO10" s="16"/>
      <c r="AP10" s="1"/>
      <c r="AQ10" s="33"/>
      <c r="AR10" s="34"/>
      <c r="AS10" s="27">
        <v>16</v>
      </c>
      <c r="AT10" s="32"/>
      <c r="AU10" s="33"/>
      <c r="AV10" s="34"/>
      <c r="AW10" s="27">
        <v>17</v>
      </c>
      <c r="AX10" s="32"/>
      <c r="AY10" s="33"/>
      <c r="AZ10" s="34"/>
      <c r="BA10" s="27">
        <v>18</v>
      </c>
      <c r="BB10" s="32"/>
      <c r="BC10" s="1"/>
      <c r="BD10" s="1"/>
      <c r="BE10" s="33"/>
      <c r="BF10" s="34"/>
      <c r="BG10" s="27">
        <v>3</v>
      </c>
      <c r="BH10" s="32"/>
      <c r="BI10" s="33"/>
      <c r="BJ10" s="34"/>
      <c r="BK10" s="27">
        <v>2</v>
      </c>
      <c r="BL10" s="32"/>
      <c r="BM10" s="33"/>
      <c r="BN10" s="34"/>
      <c r="BO10" s="27">
        <v>1</v>
      </c>
      <c r="BP10" s="32"/>
      <c r="BQ10" s="1"/>
      <c r="BR10" s="33"/>
      <c r="BS10" s="34"/>
      <c r="BT10" s="27">
        <v>16</v>
      </c>
      <c r="BU10" s="32"/>
      <c r="BV10" s="33"/>
      <c r="BW10" s="34"/>
      <c r="BX10" s="27">
        <v>17</v>
      </c>
      <c r="BY10" s="32"/>
      <c r="BZ10" s="33"/>
      <c r="CA10" s="34"/>
      <c r="CB10" s="27">
        <v>18</v>
      </c>
      <c r="CC10" s="32"/>
    </row>
    <row r="11" spans="2:83">
      <c r="B11" s="30"/>
      <c r="C11" s="31"/>
      <c r="D11" s="28"/>
      <c r="E11" s="29"/>
      <c r="F11" s="30"/>
      <c r="G11" s="31"/>
      <c r="H11" s="28"/>
      <c r="I11" s="29"/>
      <c r="J11" s="30"/>
      <c r="K11" s="31"/>
      <c r="L11" s="28"/>
      <c r="M11" s="29"/>
      <c r="N11" s="1"/>
      <c r="O11" s="30"/>
      <c r="P11" s="31"/>
      <c r="Q11" s="28"/>
      <c r="R11" s="29"/>
      <c r="S11" s="30"/>
      <c r="T11" s="31"/>
      <c r="U11" s="28"/>
      <c r="V11" s="29"/>
      <c r="W11" s="30"/>
      <c r="X11" s="31"/>
      <c r="Y11" s="28"/>
      <c r="Z11" s="29"/>
      <c r="AA11" s="1"/>
      <c r="AB11" s="1"/>
      <c r="AC11" s="28"/>
      <c r="AD11" s="29"/>
      <c r="AE11" s="30"/>
      <c r="AF11" s="31"/>
      <c r="AG11" s="28"/>
      <c r="AH11" s="29"/>
      <c r="AI11" s="30"/>
      <c r="AJ11" s="31"/>
      <c r="AK11" s="28"/>
      <c r="AL11" s="29"/>
      <c r="AM11" s="30"/>
      <c r="AN11" s="31"/>
      <c r="AO11" s="16"/>
      <c r="AP11" s="1"/>
      <c r="AQ11" s="28"/>
      <c r="AR11" s="29"/>
      <c r="AS11" s="30"/>
      <c r="AT11" s="31"/>
      <c r="AU11" s="28"/>
      <c r="AV11" s="29"/>
      <c r="AW11" s="30"/>
      <c r="AX11" s="31"/>
      <c r="AY11" s="28"/>
      <c r="AZ11" s="29"/>
      <c r="BA11" s="30"/>
      <c r="BB11" s="31"/>
      <c r="BC11" s="1"/>
      <c r="BD11" s="1"/>
      <c r="BE11" s="28"/>
      <c r="BF11" s="29"/>
      <c r="BG11" s="30"/>
      <c r="BH11" s="31"/>
      <c r="BI11" s="28"/>
      <c r="BJ11" s="29"/>
      <c r="BK11" s="30"/>
      <c r="BL11" s="31"/>
      <c r="BM11" s="28"/>
      <c r="BN11" s="29"/>
      <c r="BO11" s="30"/>
      <c r="BP11" s="31"/>
      <c r="BQ11" s="1"/>
      <c r="BR11" s="28"/>
      <c r="BS11" s="29"/>
      <c r="BT11" s="30"/>
      <c r="BU11" s="31"/>
      <c r="BV11" s="28"/>
      <c r="BW11" s="29"/>
      <c r="BX11" s="30"/>
      <c r="BY11" s="31"/>
      <c r="BZ11" s="28"/>
      <c r="CA11" s="29"/>
      <c r="CB11" s="30"/>
      <c r="CC11" s="31"/>
    </row>
    <row r="12" spans="2:83" ht="15" thickBot="1">
      <c r="B12" s="33"/>
      <c r="C12" s="34"/>
      <c r="D12" s="27">
        <v>6</v>
      </c>
      <c r="E12" s="32"/>
      <c r="F12" s="33"/>
      <c r="G12" s="34"/>
      <c r="H12" s="27">
        <v>5</v>
      </c>
      <c r="I12" s="32"/>
      <c r="J12" s="33"/>
      <c r="K12" s="34"/>
      <c r="L12" s="27">
        <v>4</v>
      </c>
      <c r="M12" s="32"/>
      <c r="N12" s="1"/>
      <c r="O12" s="33"/>
      <c r="P12" s="34"/>
      <c r="Q12" s="27">
        <v>13</v>
      </c>
      <c r="R12" s="32"/>
      <c r="S12" s="33"/>
      <c r="T12" s="34"/>
      <c r="U12" s="27">
        <v>14</v>
      </c>
      <c r="V12" s="32"/>
      <c r="W12" s="33"/>
      <c r="X12" s="34"/>
      <c r="Y12" s="27">
        <v>15</v>
      </c>
      <c r="Z12" s="32"/>
      <c r="AA12" s="1"/>
      <c r="AB12" s="1"/>
      <c r="AC12" s="27">
        <v>6</v>
      </c>
      <c r="AD12" s="32"/>
      <c r="AE12" s="33"/>
      <c r="AF12" s="34"/>
      <c r="AG12" s="27">
        <v>5</v>
      </c>
      <c r="AH12" s="32"/>
      <c r="AI12" s="33"/>
      <c r="AJ12" s="34"/>
      <c r="AK12" s="27">
        <v>4</v>
      </c>
      <c r="AL12" s="32"/>
      <c r="AM12" s="33"/>
      <c r="AN12" s="34"/>
      <c r="AO12" s="16"/>
      <c r="AP12" s="1"/>
      <c r="AQ12" s="27">
        <v>13</v>
      </c>
      <c r="AR12" s="32"/>
      <c r="AS12" s="33"/>
      <c r="AT12" s="34"/>
      <c r="AU12" s="27">
        <v>14</v>
      </c>
      <c r="AV12" s="32"/>
      <c r="AW12" s="33"/>
      <c r="AX12" s="34"/>
      <c r="AY12" s="27">
        <v>15</v>
      </c>
      <c r="AZ12" s="32"/>
      <c r="BA12" s="33"/>
      <c r="BB12" s="34"/>
      <c r="BC12" s="1"/>
      <c r="BD12" s="1"/>
      <c r="BE12" s="27">
        <v>6</v>
      </c>
      <c r="BF12" s="32"/>
      <c r="BG12" s="33"/>
      <c r="BH12" s="34"/>
      <c r="BI12" s="27">
        <v>5</v>
      </c>
      <c r="BJ12" s="32"/>
      <c r="BK12" s="33"/>
      <c r="BL12" s="34"/>
      <c r="BM12" s="27">
        <v>4</v>
      </c>
      <c r="BN12" s="32"/>
      <c r="BO12" s="33"/>
      <c r="BP12" s="34"/>
      <c r="BQ12" s="1"/>
      <c r="BR12" s="27">
        <v>13</v>
      </c>
      <c r="BS12" s="32"/>
      <c r="BT12" s="33"/>
      <c r="BU12" s="34"/>
      <c r="BV12" s="27">
        <v>14</v>
      </c>
      <c r="BW12" s="32"/>
      <c r="BX12" s="33"/>
      <c r="BY12" s="34"/>
      <c r="BZ12" s="27">
        <v>15</v>
      </c>
      <c r="CA12" s="32"/>
      <c r="CB12" s="33"/>
      <c r="CC12" s="34"/>
    </row>
    <row r="13" spans="2:83">
      <c r="B13" s="28"/>
      <c r="C13" s="29"/>
      <c r="D13" s="30"/>
      <c r="E13" s="31"/>
      <c r="F13" s="28"/>
      <c r="G13" s="29"/>
      <c r="H13" s="30"/>
      <c r="I13" s="31"/>
      <c r="J13" s="28"/>
      <c r="K13" s="29"/>
      <c r="L13" s="30"/>
      <c r="M13" s="31"/>
      <c r="N13" s="1"/>
      <c r="O13" s="28"/>
      <c r="P13" s="29"/>
      <c r="Q13" s="30"/>
      <c r="R13" s="31"/>
      <c r="S13" s="28"/>
      <c r="T13" s="29"/>
      <c r="U13" s="30"/>
      <c r="V13" s="31"/>
      <c r="W13" s="28"/>
      <c r="X13" s="29"/>
      <c r="Y13" s="30"/>
      <c r="Z13" s="31"/>
      <c r="AA13" s="1"/>
      <c r="AB13" s="1"/>
      <c r="AC13" s="30"/>
      <c r="AD13" s="31"/>
      <c r="AE13" s="28"/>
      <c r="AF13" s="29"/>
      <c r="AG13" s="30"/>
      <c r="AH13" s="31"/>
      <c r="AI13" s="28"/>
      <c r="AJ13" s="29"/>
      <c r="AK13" s="30"/>
      <c r="AL13" s="31"/>
      <c r="AM13" s="28"/>
      <c r="AN13" s="29"/>
      <c r="AO13" s="16"/>
      <c r="AP13" s="1"/>
      <c r="AQ13" s="30"/>
      <c r="AR13" s="31"/>
      <c r="AS13" s="28"/>
      <c r="AT13" s="29"/>
      <c r="AU13" s="30"/>
      <c r="AV13" s="31"/>
      <c r="AW13" s="28"/>
      <c r="AX13" s="29"/>
      <c r="AY13" s="30"/>
      <c r="AZ13" s="31"/>
      <c r="BA13" s="28"/>
      <c r="BB13" s="29"/>
      <c r="BC13" s="1"/>
      <c r="BD13" s="1"/>
      <c r="BE13" s="30"/>
      <c r="BF13" s="31"/>
      <c r="BG13" s="28"/>
      <c r="BH13" s="29"/>
      <c r="BI13" s="30"/>
      <c r="BJ13" s="31"/>
      <c r="BK13" s="28"/>
      <c r="BL13" s="29"/>
      <c r="BM13" s="30"/>
      <c r="BN13" s="31"/>
      <c r="BO13" s="28"/>
      <c r="BP13" s="29"/>
      <c r="BQ13" s="1"/>
      <c r="BR13" s="30"/>
      <c r="BS13" s="31"/>
      <c r="BT13" s="28"/>
      <c r="BU13" s="29"/>
      <c r="BV13" s="30"/>
      <c r="BW13" s="31"/>
      <c r="BX13" s="28"/>
      <c r="BY13" s="29"/>
      <c r="BZ13" s="30"/>
      <c r="CA13" s="31"/>
      <c r="CB13" s="28"/>
      <c r="CC13" s="29"/>
    </row>
    <row r="14" spans="2:83" ht="15" thickBot="1">
      <c r="B14" s="27">
        <v>9</v>
      </c>
      <c r="C14" s="32"/>
      <c r="D14" s="33"/>
      <c r="E14" s="34"/>
      <c r="F14" s="27">
        <v>8</v>
      </c>
      <c r="G14" s="32"/>
      <c r="H14" s="33"/>
      <c r="I14" s="34"/>
      <c r="J14" s="27">
        <v>7</v>
      </c>
      <c r="K14" s="32"/>
      <c r="L14" s="33"/>
      <c r="M14" s="34"/>
      <c r="N14" s="1"/>
      <c r="O14" s="27">
        <v>10</v>
      </c>
      <c r="P14" s="32"/>
      <c r="Q14" s="33"/>
      <c r="R14" s="34"/>
      <c r="S14" s="27">
        <v>11</v>
      </c>
      <c r="T14" s="32"/>
      <c r="U14" s="33"/>
      <c r="V14" s="34"/>
      <c r="W14" s="27">
        <v>12</v>
      </c>
      <c r="X14" s="32"/>
      <c r="Y14" s="33"/>
      <c r="Z14" s="34"/>
      <c r="AA14" s="1"/>
      <c r="AB14" s="1"/>
      <c r="AC14" s="33"/>
      <c r="AD14" s="34"/>
      <c r="AE14" s="27">
        <v>9</v>
      </c>
      <c r="AF14" s="32"/>
      <c r="AG14" s="33"/>
      <c r="AH14" s="34"/>
      <c r="AI14" s="27">
        <v>8</v>
      </c>
      <c r="AJ14" s="32"/>
      <c r="AK14" s="33"/>
      <c r="AL14" s="34"/>
      <c r="AM14" s="27">
        <v>7</v>
      </c>
      <c r="AN14" s="32"/>
      <c r="AO14" s="16"/>
      <c r="AP14" s="1"/>
      <c r="AQ14" s="33"/>
      <c r="AR14" s="34"/>
      <c r="AS14" s="27">
        <v>10</v>
      </c>
      <c r="AT14" s="32"/>
      <c r="AU14" s="33"/>
      <c r="AV14" s="34"/>
      <c r="AW14" s="27">
        <v>11</v>
      </c>
      <c r="AX14" s="32"/>
      <c r="AY14" s="33"/>
      <c r="AZ14" s="34"/>
      <c r="BA14" s="27">
        <v>12</v>
      </c>
      <c r="BB14" s="32"/>
      <c r="BC14" s="1"/>
      <c r="BD14" s="1"/>
      <c r="BE14" s="33"/>
      <c r="BF14" s="34"/>
      <c r="BG14" s="27">
        <v>9</v>
      </c>
      <c r="BH14" s="32"/>
      <c r="BI14" s="33"/>
      <c r="BJ14" s="34"/>
      <c r="BK14" s="27">
        <v>8</v>
      </c>
      <c r="BL14" s="32"/>
      <c r="BM14" s="33"/>
      <c r="BN14" s="34"/>
      <c r="BO14" s="27">
        <v>7</v>
      </c>
      <c r="BP14" s="32"/>
      <c r="BQ14" s="1"/>
      <c r="BR14" s="33"/>
      <c r="BS14" s="34"/>
      <c r="BT14" s="27">
        <v>10</v>
      </c>
      <c r="BU14" s="32"/>
      <c r="BV14" s="33"/>
      <c r="BW14" s="34"/>
      <c r="BX14" s="27">
        <v>11</v>
      </c>
      <c r="BY14" s="32"/>
      <c r="BZ14" s="33"/>
      <c r="CA14" s="34"/>
      <c r="CB14" s="27">
        <v>12</v>
      </c>
      <c r="CC14" s="32"/>
    </row>
    <row r="15" spans="2:83">
      <c r="B15" s="30"/>
      <c r="C15" s="31"/>
      <c r="D15" s="28"/>
      <c r="E15" s="29"/>
      <c r="F15" s="30"/>
      <c r="G15" s="31"/>
      <c r="H15" s="28"/>
      <c r="I15" s="29"/>
      <c r="J15" s="30"/>
      <c r="K15" s="31"/>
      <c r="L15" s="28"/>
      <c r="M15" s="29"/>
      <c r="N15" s="1"/>
      <c r="O15" s="30"/>
      <c r="P15" s="31"/>
      <c r="Q15" s="28"/>
      <c r="R15" s="29"/>
      <c r="S15" s="30"/>
      <c r="T15" s="31"/>
      <c r="U15" s="28"/>
      <c r="V15" s="29"/>
      <c r="W15" s="30"/>
      <c r="X15" s="31"/>
      <c r="Y15" s="28"/>
      <c r="Z15" s="29"/>
      <c r="AA15" s="1"/>
      <c r="AB15" s="1"/>
      <c r="AC15" s="28"/>
      <c r="AD15" s="29"/>
      <c r="AE15" s="30"/>
      <c r="AF15" s="31"/>
      <c r="AG15" s="28"/>
      <c r="AH15" s="29"/>
      <c r="AI15" s="30"/>
      <c r="AJ15" s="31"/>
      <c r="AK15" s="28"/>
      <c r="AL15" s="29"/>
      <c r="AM15" s="30"/>
      <c r="AN15" s="31"/>
      <c r="AO15" s="16"/>
      <c r="AP15" s="1"/>
      <c r="AQ15" s="28"/>
      <c r="AR15" s="29"/>
      <c r="AS15" s="30"/>
      <c r="AT15" s="31"/>
      <c r="AU15" s="28"/>
      <c r="AV15" s="29"/>
      <c r="AW15" s="30"/>
      <c r="AX15" s="31"/>
      <c r="AY15" s="28"/>
      <c r="AZ15" s="29"/>
      <c r="BA15" s="30"/>
      <c r="BB15" s="31"/>
      <c r="BC15" s="1"/>
      <c r="BD15" s="1"/>
      <c r="BE15" s="28"/>
      <c r="BF15" s="29"/>
      <c r="BG15" s="30"/>
      <c r="BH15" s="31"/>
      <c r="BI15" s="28"/>
      <c r="BJ15" s="29"/>
      <c r="BK15" s="30"/>
      <c r="BL15" s="31"/>
      <c r="BM15" s="28"/>
      <c r="BN15" s="29"/>
      <c r="BO15" s="30"/>
      <c r="BP15" s="31"/>
      <c r="BQ15" s="1"/>
      <c r="BR15" s="28"/>
      <c r="BS15" s="29"/>
      <c r="BT15" s="30"/>
      <c r="BU15" s="31"/>
      <c r="BV15" s="28"/>
      <c r="BW15" s="29"/>
      <c r="BX15" s="30"/>
      <c r="BY15" s="31"/>
      <c r="BZ15" s="28"/>
      <c r="CA15" s="29"/>
      <c r="CB15" s="30"/>
      <c r="CC15" s="31"/>
    </row>
    <row r="16" spans="2:83" ht="15" thickBot="1">
      <c r="B16" s="33"/>
      <c r="C16" s="34"/>
      <c r="D16" s="27">
        <v>12</v>
      </c>
      <c r="E16" s="32"/>
      <c r="F16" s="33"/>
      <c r="G16" s="34"/>
      <c r="H16" s="27">
        <v>11</v>
      </c>
      <c r="I16" s="32"/>
      <c r="J16" s="33"/>
      <c r="K16" s="34"/>
      <c r="L16" s="27">
        <v>10</v>
      </c>
      <c r="M16" s="32"/>
      <c r="N16" s="1"/>
      <c r="O16" s="33"/>
      <c r="P16" s="34"/>
      <c r="Q16" s="27">
        <v>7</v>
      </c>
      <c r="R16" s="32"/>
      <c r="S16" s="33"/>
      <c r="T16" s="34"/>
      <c r="U16" s="27">
        <v>8</v>
      </c>
      <c r="V16" s="32"/>
      <c r="W16" s="33"/>
      <c r="X16" s="34"/>
      <c r="Y16" s="27">
        <v>9</v>
      </c>
      <c r="Z16" s="32"/>
      <c r="AA16" s="1"/>
      <c r="AB16" s="1"/>
      <c r="AC16" s="27">
        <v>12</v>
      </c>
      <c r="AD16" s="32"/>
      <c r="AE16" s="33"/>
      <c r="AF16" s="34"/>
      <c r="AG16" s="27">
        <v>11</v>
      </c>
      <c r="AH16" s="32"/>
      <c r="AI16" s="33"/>
      <c r="AJ16" s="34"/>
      <c r="AK16" s="27">
        <v>10</v>
      </c>
      <c r="AL16" s="32"/>
      <c r="AM16" s="33"/>
      <c r="AN16" s="34"/>
      <c r="AO16" s="16"/>
      <c r="AP16" s="1"/>
      <c r="AQ16" s="27">
        <v>7</v>
      </c>
      <c r="AR16" s="32"/>
      <c r="AS16" s="33"/>
      <c r="AT16" s="34"/>
      <c r="AU16" s="27">
        <v>8</v>
      </c>
      <c r="AV16" s="32"/>
      <c r="AW16" s="33"/>
      <c r="AX16" s="34"/>
      <c r="AY16" s="27">
        <v>9</v>
      </c>
      <c r="AZ16" s="32"/>
      <c r="BA16" s="33"/>
      <c r="BB16" s="34"/>
      <c r="BC16" s="1"/>
      <c r="BD16" s="1"/>
      <c r="BE16" s="27">
        <v>12</v>
      </c>
      <c r="BF16" s="32"/>
      <c r="BG16" s="33"/>
      <c r="BH16" s="34"/>
      <c r="BI16" s="27">
        <v>11</v>
      </c>
      <c r="BJ16" s="32"/>
      <c r="BK16" s="33"/>
      <c r="BL16" s="34"/>
      <c r="BM16" s="27">
        <v>10</v>
      </c>
      <c r="BN16" s="32"/>
      <c r="BO16" s="33"/>
      <c r="BP16" s="34"/>
      <c r="BQ16" s="1"/>
      <c r="BR16" s="27">
        <v>7</v>
      </c>
      <c r="BS16" s="32"/>
      <c r="BT16" s="33"/>
      <c r="BU16" s="34"/>
      <c r="BV16" s="27">
        <v>8</v>
      </c>
      <c r="BW16" s="32"/>
      <c r="BX16" s="33"/>
      <c r="BY16" s="34"/>
      <c r="BZ16" s="27">
        <v>9</v>
      </c>
      <c r="CA16" s="32"/>
      <c r="CB16" s="33"/>
      <c r="CC16" s="34"/>
    </row>
    <row r="17" spans="2:81">
      <c r="B17" s="28"/>
      <c r="C17" s="29"/>
      <c r="D17" s="30"/>
      <c r="E17" s="31"/>
      <c r="F17" s="28"/>
      <c r="G17" s="29"/>
      <c r="H17" s="30"/>
      <c r="I17" s="31"/>
      <c r="J17" s="28"/>
      <c r="K17" s="29"/>
      <c r="L17" s="30"/>
      <c r="M17" s="31"/>
      <c r="N17" s="1"/>
      <c r="O17" s="28"/>
      <c r="P17" s="29"/>
      <c r="Q17" s="30"/>
      <c r="R17" s="31"/>
      <c r="S17" s="28"/>
      <c r="T17" s="29"/>
      <c r="U17" s="30"/>
      <c r="V17" s="31"/>
      <c r="W17" s="28"/>
      <c r="X17" s="29"/>
      <c r="Y17" s="30"/>
      <c r="Z17" s="31"/>
      <c r="AA17" s="1"/>
      <c r="AB17" s="1"/>
      <c r="AC17" s="30"/>
      <c r="AD17" s="31"/>
      <c r="AE17" s="28"/>
      <c r="AF17" s="29"/>
      <c r="AG17" s="30"/>
      <c r="AH17" s="31"/>
      <c r="AI17" s="28"/>
      <c r="AJ17" s="29"/>
      <c r="AK17" s="30"/>
      <c r="AL17" s="31"/>
      <c r="AM17" s="28"/>
      <c r="AN17" s="29"/>
      <c r="AO17" s="16"/>
      <c r="AP17" s="1"/>
      <c r="AQ17" s="30"/>
      <c r="AR17" s="31"/>
      <c r="AS17" s="28"/>
      <c r="AT17" s="29"/>
      <c r="AU17" s="30"/>
      <c r="AV17" s="31"/>
      <c r="AW17" s="28"/>
      <c r="AX17" s="29"/>
      <c r="AY17" s="30"/>
      <c r="AZ17" s="31"/>
      <c r="BA17" s="28"/>
      <c r="BB17" s="29"/>
      <c r="BC17" s="1"/>
      <c r="BD17" s="1"/>
      <c r="BE17" s="30"/>
      <c r="BF17" s="31"/>
      <c r="BG17" s="28"/>
      <c r="BH17" s="29"/>
      <c r="BI17" s="30"/>
      <c r="BJ17" s="31"/>
      <c r="BK17" s="28"/>
      <c r="BL17" s="29"/>
      <c r="BM17" s="30"/>
      <c r="BN17" s="31"/>
      <c r="BO17" s="28"/>
      <c r="BP17" s="29"/>
      <c r="BQ17" s="1"/>
      <c r="BR17" s="30"/>
      <c r="BS17" s="31"/>
      <c r="BT17" s="28"/>
      <c r="BU17" s="29"/>
      <c r="BV17" s="30"/>
      <c r="BW17" s="31"/>
      <c r="BX17" s="28"/>
      <c r="BY17" s="29"/>
      <c r="BZ17" s="30"/>
      <c r="CA17" s="31"/>
      <c r="CB17" s="28"/>
      <c r="CC17" s="29"/>
    </row>
    <row r="18" spans="2:81" ht="15" thickBot="1">
      <c r="B18" s="27">
        <v>15</v>
      </c>
      <c r="C18" s="32"/>
      <c r="D18" s="33"/>
      <c r="E18" s="34"/>
      <c r="F18" s="27">
        <v>14</v>
      </c>
      <c r="G18" s="32"/>
      <c r="H18" s="33"/>
      <c r="I18" s="34"/>
      <c r="J18" s="27">
        <v>13</v>
      </c>
      <c r="K18" s="32"/>
      <c r="L18" s="33"/>
      <c r="M18" s="34"/>
      <c r="N18" s="1"/>
      <c r="O18" s="27">
        <v>4</v>
      </c>
      <c r="P18" s="32"/>
      <c r="Q18" s="33"/>
      <c r="R18" s="34"/>
      <c r="S18" s="27">
        <v>5</v>
      </c>
      <c r="T18" s="32"/>
      <c r="U18" s="33"/>
      <c r="V18" s="34"/>
      <c r="W18" s="27">
        <v>6</v>
      </c>
      <c r="X18" s="32"/>
      <c r="Y18" s="33"/>
      <c r="Z18" s="34"/>
      <c r="AA18" s="1"/>
      <c r="AB18" s="1"/>
      <c r="AC18" s="33"/>
      <c r="AD18" s="34"/>
      <c r="AE18" s="27">
        <v>15</v>
      </c>
      <c r="AF18" s="32"/>
      <c r="AG18" s="33"/>
      <c r="AH18" s="34"/>
      <c r="AI18" s="27">
        <v>14</v>
      </c>
      <c r="AJ18" s="32"/>
      <c r="AK18" s="33"/>
      <c r="AL18" s="34"/>
      <c r="AM18" s="27">
        <v>13</v>
      </c>
      <c r="AN18" s="32"/>
      <c r="AO18" s="16"/>
      <c r="AP18" s="1"/>
      <c r="AQ18" s="33"/>
      <c r="AR18" s="34"/>
      <c r="AS18" s="27">
        <v>4</v>
      </c>
      <c r="AT18" s="32"/>
      <c r="AU18" s="33"/>
      <c r="AV18" s="34"/>
      <c r="AW18" s="27">
        <v>5</v>
      </c>
      <c r="AX18" s="32"/>
      <c r="AY18" s="33"/>
      <c r="AZ18" s="34"/>
      <c r="BA18" s="27">
        <v>6</v>
      </c>
      <c r="BB18" s="32"/>
      <c r="BC18" s="1"/>
      <c r="BD18" s="1"/>
      <c r="BE18" s="33"/>
      <c r="BF18" s="34"/>
      <c r="BG18" s="27">
        <v>15</v>
      </c>
      <c r="BH18" s="32"/>
      <c r="BI18" s="33"/>
      <c r="BJ18" s="34"/>
      <c r="BK18" s="27">
        <v>14</v>
      </c>
      <c r="BL18" s="32"/>
      <c r="BM18" s="33"/>
      <c r="BN18" s="34"/>
      <c r="BO18" s="27">
        <v>13</v>
      </c>
      <c r="BP18" s="32"/>
      <c r="BQ18" s="1"/>
      <c r="BR18" s="33"/>
      <c r="BS18" s="34"/>
      <c r="BT18" s="27">
        <v>4</v>
      </c>
      <c r="BU18" s="32"/>
      <c r="BV18" s="33"/>
      <c r="BW18" s="34"/>
      <c r="BX18" s="27">
        <v>5</v>
      </c>
      <c r="BY18" s="32"/>
      <c r="BZ18" s="33"/>
      <c r="CA18" s="34"/>
      <c r="CB18" s="27">
        <v>6</v>
      </c>
      <c r="CC18" s="32"/>
    </row>
    <row r="19" spans="2:81">
      <c r="B19" s="30"/>
      <c r="C19" s="31"/>
      <c r="D19" s="28"/>
      <c r="E19" s="29"/>
      <c r="F19" s="30"/>
      <c r="G19" s="31"/>
      <c r="H19" s="28"/>
      <c r="I19" s="29"/>
      <c r="J19" s="30"/>
      <c r="K19" s="31"/>
      <c r="L19" s="28"/>
      <c r="M19" s="29"/>
      <c r="N19" s="1"/>
      <c r="O19" s="30"/>
      <c r="P19" s="31"/>
      <c r="Q19" s="28"/>
      <c r="R19" s="29"/>
      <c r="S19" s="30"/>
      <c r="T19" s="31"/>
      <c r="U19" s="28"/>
      <c r="V19" s="29"/>
      <c r="W19" s="30"/>
      <c r="X19" s="31"/>
      <c r="Y19" s="28"/>
      <c r="Z19" s="29"/>
      <c r="AA19" s="1"/>
      <c r="AB19" s="1"/>
      <c r="AC19" s="28"/>
      <c r="AD19" s="29"/>
      <c r="AE19" s="30"/>
      <c r="AF19" s="31"/>
      <c r="AG19" s="28"/>
      <c r="AH19" s="29"/>
      <c r="AI19" s="30"/>
      <c r="AJ19" s="31"/>
      <c r="AK19" s="28"/>
      <c r="AL19" s="29"/>
      <c r="AM19" s="30"/>
      <c r="AN19" s="31"/>
      <c r="AO19" s="16"/>
      <c r="AP19" s="1"/>
      <c r="AQ19" s="28"/>
      <c r="AR19" s="29"/>
      <c r="AS19" s="30"/>
      <c r="AT19" s="31"/>
      <c r="AU19" s="28"/>
      <c r="AV19" s="29"/>
      <c r="AW19" s="30"/>
      <c r="AX19" s="31"/>
      <c r="AY19" s="28"/>
      <c r="AZ19" s="29"/>
      <c r="BA19" s="30"/>
      <c r="BB19" s="31"/>
      <c r="BC19" s="1"/>
      <c r="BD19" s="1"/>
      <c r="BE19" s="28"/>
      <c r="BF19" s="29"/>
      <c r="BG19" s="30"/>
      <c r="BH19" s="31"/>
      <c r="BI19" s="28"/>
      <c r="BJ19" s="29"/>
      <c r="BK19" s="30"/>
      <c r="BL19" s="31"/>
      <c r="BM19" s="28"/>
      <c r="BN19" s="29"/>
      <c r="BO19" s="30"/>
      <c r="BP19" s="31"/>
      <c r="BQ19" s="1"/>
      <c r="BR19" s="28"/>
      <c r="BS19" s="29"/>
      <c r="BT19" s="30"/>
      <c r="BU19" s="31"/>
      <c r="BV19" s="28"/>
      <c r="BW19" s="29"/>
      <c r="BX19" s="30"/>
      <c r="BY19" s="31"/>
      <c r="BZ19" s="28"/>
      <c r="CA19" s="29"/>
      <c r="CB19" s="30"/>
      <c r="CC19" s="31"/>
    </row>
    <row r="20" spans="2:81" ht="15" thickBot="1">
      <c r="B20" s="33"/>
      <c r="C20" s="34"/>
      <c r="D20" s="27">
        <v>18</v>
      </c>
      <c r="E20" s="32"/>
      <c r="F20" s="33"/>
      <c r="G20" s="34"/>
      <c r="H20" s="27">
        <v>17</v>
      </c>
      <c r="I20" s="32"/>
      <c r="J20" s="33"/>
      <c r="K20" s="34"/>
      <c r="L20" s="27">
        <v>16</v>
      </c>
      <c r="M20" s="32"/>
      <c r="N20" s="1"/>
      <c r="O20" s="33"/>
      <c r="P20" s="34"/>
      <c r="Q20" s="27">
        <v>1</v>
      </c>
      <c r="R20" s="32"/>
      <c r="S20" s="33"/>
      <c r="T20" s="34"/>
      <c r="U20" s="27">
        <v>2</v>
      </c>
      <c r="V20" s="32"/>
      <c r="W20" s="33"/>
      <c r="X20" s="34"/>
      <c r="Y20" s="27">
        <v>3</v>
      </c>
      <c r="Z20" s="32"/>
      <c r="AA20" s="1"/>
      <c r="AB20" s="13"/>
      <c r="AC20" s="27">
        <v>18</v>
      </c>
      <c r="AD20" s="32"/>
      <c r="AE20" s="33"/>
      <c r="AF20" s="34"/>
      <c r="AG20" s="27">
        <v>17</v>
      </c>
      <c r="AH20" s="32"/>
      <c r="AI20" s="33"/>
      <c r="AJ20" s="34"/>
      <c r="AK20" s="27">
        <v>16</v>
      </c>
      <c r="AL20" s="32"/>
      <c r="AM20" s="33"/>
      <c r="AN20" s="34"/>
      <c r="AO20" s="16"/>
      <c r="AP20" s="1"/>
      <c r="AQ20" s="27">
        <v>1</v>
      </c>
      <c r="AR20" s="32"/>
      <c r="AS20" s="33"/>
      <c r="AT20" s="34"/>
      <c r="AU20" s="27">
        <v>2</v>
      </c>
      <c r="AV20" s="32"/>
      <c r="AW20" s="33"/>
      <c r="AX20" s="34"/>
      <c r="AY20" s="27">
        <v>3</v>
      </c>
      <c r="AZ20" s="32"/>
      <c r="BA20" s="33"/>
      <c r="BB20" s="34"/>
      <c r="BC20" s="1"/>
      <c r="BD20" s="13"/>
      <c r="BE20" s="27">
        <v>18</v>
      </c>
      <c r="BF20" s="32"/>
      <c r="BG20" s="33"/>
      <c r="BH20" s="34"/>
      <c r="BI20" s="27">
        <v>17</v>
      </c>
      <c r="BJ20" s="32"/>
      <c r="BK20" s="33"/>
      <c r="BL20" s="34"/>
      <c r="BM20" s="27">
        <v>16</v>
      </c>
      <c r="BN20" s="32"/>
      <c r="BO20" s="33"/>
      <c r="BP20" s="34"/>
      <c r="BQ20" s="1"/>
      <c r="BR20" s="27">
        <v>1</v>
      </c>
      <c r="BS20" s="32"/>
      <c r="BT20" s="33"/>
      <c r="BU20" s="34"/>
      <c r="BV20" s="27">
        <v>2</v>
      </c>
      <c r="BW20" s="32"/>
      <c r="BX20" s="33"/>
      <c r="BY20" s="34"/>
      <c r="BZ20" s="27">
        <v>3</v>
      </c>
      <c r="CA20" s="32"/>
      <c r="CB20" s="33"/>
      <c r="CC20" s="34"/>
    </row>
    <row r="21" spans="2:81" ht="16" thickBot="1">
      <c r="B21" s="19" t="s">
        <v>64</v>
      </c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9" t="s">
        <v>70</v>
      </c>
      <c r="P21" s="2"/>
      <c r="Q21" s="2"/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9" t="s">
        <v>76</v>
      </c>
      <c r="AD21" s="2"/>
      <c r="AE21" s="2"/>
      <c r="AF21" s="2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9" t="s">
        <v>78</v>
      </c>
      <c r="AR21" s="2"/>
      <c r="AS21" s="2"/>
      <c r="AT21" s="2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9" t="s">
        <v>89</v>
      </c>
      <c r="BF21" s="2"/>
      <c r="BG21" s="2"/>
      <c r="BH21" s="2"/>
      <c r="BI21" s="1"/>
      <c r="BJ21" s="1"/>
      <c r="BK21" s="1"/>
      <c r="BL21" s="1"/>
      <c r="BM21" s="1"/>
      <c r="BN21" s="1"/>
      <c r="BO21" s="1"/>
      <c r="BP21" s="1"/>
      <c r="BQ21" s="1"/>
      <c r="BR21" s="19" t="s">
        <v>90</v>
      </c>
      <c r="BS21" s="2"/>
      <c r="BT21" s="2"/>
      <c r="BU21" s="2"/>
      <c r="BV21" s="1"/>
      <c r="BW21" s="1"/>
      <c r="BX21" s="1"/>
      <c r="BY21" s="1"/>
      <c r="BZ21" s="1"/>
      <c r="CA21" s="1"/>
      <c r="CB21" s="1"/>
      <c r="CC21" s="1"/>
    </row>
    <row r="22" spans="2:81">
      <c r="B22" s="30"/>
      <c r="C22" s="31"/>
      <c r="D22" s="28"/>
      <c r="E22" s="29"/>
      <c r="F22" s="30"/>
      <c r="G22" s="31"/>
      <c r="H22" s="28"/>
      <c r="I22" s="29"/>
      <c r="J22" s="30"/>
      <c r="K22" s="31"/>
      <c r="L22" s="28"/>
      <c r="M22" s="29"/>
      <c r="N22" s="11"/>
      <c r="O22" s="28"/>
      <c r="P22" s="29"/>
      <c r="Q22" s="30"/>
      <c r="R22" s="31"/>
      <c r="S22" s="28"/>
      <c r="T22" s="29"/>
      <c r="U22" s="30"/>
      <c r="V22" s="31"/>
      <c r="W22" s="28"/>
      <c r="X22" s="29"/>
      <c r="Y22" s="30"/>
      <c r="Z22" s="31"/>
      <c r="AA22" s="1"/>
      <c r="AB22" s="1"/>
      <c r="AC22" s="28"/>
      <c r="AD22" s="29"/>
      <c r="AE22" s="30"/>
      <c r="AF22" s="31"/>
      <c r="AG22" s="28"/>
      <c r="AH22" s="29"/>
      <c r="AI22" s="30"/>
      <c r="AJ22" s="31"/>
      <c r="AK22" s="28"/>
      <c r="AL22" s="29"/>
      <c r="AM22" s="30"/>
      <c r="AN22" s="31"/>
      <c r="AO22" s="16"/>
      <c r="AP22" s="1"/>
      <c r="AQ22" s="28"/>
      <c r="AR22" s="29"/>
      <c r="AS22" s="30"/>
      <c r="AT22" s="31"/>
      <c r="AU22" s="28"/>
      <c r="AV22" s="29"/>
      <c r="AW22" s="30"/>
      <c r="AX22" s="31"/>
      <c r="AY22" s="28"/>
      <c r="AZ22" s="29"/>
      <c r="BA22" s="30"/>
      <c r="BB22" s="31"/>
      <c r="BC22" s="1"/>
      <c r="BD22" s="1"/>
      <c r="BE22" s="30"/>
      <c r="BF22" s="31"/>
      <c r="BG22" s="28"/>
      <c r="BH22" s="29"/>
      <c r="BI22" s="30"/>
      <c r="BJ22" s="31"/>
      <c r="BK22" s="28"/>
      <c r="BL22" s="29"/>
      <c r="BM22" s="30"/>
      <c r="BN22" s="31"/>
      <c r="BO22" s="28"/>
      <c r="BP22" s="29"/>
      <c r="BQ22" s="11"/>
      <c r="BR22" s="30"/>
      <c r="BS22" s="31"/>
      <c r="BT22" s="28"/>
      <c r="BU22" s="29"/>
      <c r="BV22" s="30"/>
      <c r="BW22" s="31"/>
      <c r="BX22" s="28"/>
      <c r="BY22" s="29"/>
      <c r="BZ22" s="30"/>
      <c r="CA22" s="31"/>
      <c r="CB22" s="28"/>
      <c r="CC22" s="29"/>
    </row>
    <row r="23" spans="2:81" ht="15" thickBot="1">
      <c r="B23" s="33"/>
      <c r="C23" s="34"/>
      <c r="D23" s="27">
        <v>3</v>
      </c>
      <c r="E23" s="32"/>
      <c r="F23" s="33"/>
      <c r="G23" s="34"/>
      <c r="H23" s="27">
        <v>2</v>
      </c>
      <c r="I23" s="32"/>
      <c r="J23" s="33"/>
      <c r="K23" s="34"/>
      <c r="L23" s="27">
        <v>1</v>
      </c>
      <c r="M23" s="32"/>
      <c r="N23" s="1"/>
      <c r="O23" s="27">
        <v>16</v>
      </c>
      <c r="P23" s="32"/>
      <c r="Q23" s="33"/>
      <c r="R23" s="34"/>
      <c r="S23" s="27">
        <v>17</v>
      </c>
      <c r="T23" s="32"/>
      <c r="U23" s="33"/>
      <c r="V23" s="34"/>
      <c r="W23" s="27">
        <v>18</v>
      </c>
      <c r="X23" s="32"/>
      <c r="Y23" s="33"/>
      <c r="Z23" s="34"/>
      <c r="AA23" s="1"/>
      <c r="AB23" s="1"/>
      <c r="AC23" s="27">
        <v>3</v>
      </c>
      <c r="AD23" s="32"/>
      <c r="AE23" s="33"/>
      <c r="AF23" s="34"/>
      <c r="AG23" s="27">
        <v>2</v>
      </c>
      <c r="AH23" s="32"/>
      <c r="AI23" s="33"/>
      <c r="AJ23" s="34"/>
      <c r="AK23" s="27">
        <v>1</v>
      </c>
      <c r="AL23" s="32"/>
      <c r="AM23" s="33"/>
      <c r="AN23" s="34"/>
      <c r="AO23" s="16"/>
      <c r="AP23" s="1"/>
      <c r="AQ23" s="27">
        <v>16</v>
      </c>
      <c r="AR23" s="32"/>
      <c r="AS23" s="33"/>
      <c r="AT23" s="34"/>
      <c r="AU23" s="27">
        <v>17</v>
      </c>
      <c r="AV23" s="32"/>
      <c r="AW23" s="33"/>
      <c r="AX23" s="34"/>
      <c r="AY23" s="27">
        <v>18</v>
      </c>
      <c r="AZ23" s="32"/>
      <c r="BA23" s="33"/>
      <c r="BB23" s="34"/>
      <c r="BC23" s="1"/>
      <c r="BD23" s="1"/>
      <c r="BE23" s="33"/>
      <c r="BF23" s="34"/>
      <c r="BG23" s="27">
        <v>3</v>
      </c>
      <c r="BH23" s="32"/>
      <c r="BI23" s="33"/>
      <c r="BJ23" s="34"/>
      <c r="BK23" s="27">
        <v>2</v>
      </c>
      <c r="BL23" s="32"/>
      <c r="BM23" s="33"/>
      <c r="BN23" s="34"/>
      <c r="BO23" s="27">
        <v>1</v>
      </c>
      <c r="BP23" s="32"/>
      <c r="BQ23" s="1"/>
      <c r="BR23" s="33"/>
      <c r="BS23" s="34"/>
      <c r="BT23" s="27">
        <v>16</v>
      </c>
      <c r="BU23" s="32"/>
      <c r="BV23" s="33"/>
      <c r="BW23" s="34"/>
      <c r="BX23" s="27">
        <v>17</v>
      </c>
      <c r="BY23" s="32"/>
      <c r="BZ23" s="33"/>
      <c r="CA23" s="34"/>
      <c r="CB23" s="27">
        <v>18</v>
      </c>
      <c r="CC23" s="32"/>
    </row>
    <row r="24" spans="2:81">
      <c r="B24" s="28"/>
      <c r="C24" s="29"/>
      <c r="D24" s="30"/>
      <c r="E24" s="31"/>
      <c r="F24" s="28"/>
      <c r="G24" s="29"/>
      <c r="H24" s="30"/>
      <c r="I24" s="31"/>
      <c r="J24" s="28"/>
      <c r="K24" s="29"/>
      <c r="L24" s="30"/>
      <c r="M24" s="31"/>
      <c r="N24" s="1"/>
      <c r="O24" s="30"/>
      <c r="P24" s="31"/>
      <c r="Q24" s="28"/>
      <c r="R24" s="29"/>
      <c r="S24" s="30"/>
      <c r="T24" s="31"/>
      <c r="U24" s="28"/>
      <c r="V24" s="29"/>
      <c r="W24" s="30"/>
      <c r="X24" s="31"/>
      <c r="Y24" s="28"/>
      <c r="Z24" s="29"/>
      <c r="AA24" s="1"/>
      <c r="AB24" s="1"/>
      <c r="AC24" s="30"/>
      <c r="AD24" s="31"/>
      <c r="AE24" s="28"/>
      <c r="AF24" s="29"/>
      <c r="AG24" s="30"/>
      <c r="AH24" s="31"/>
      <c r="AI24" s="28"/>
      <c r="AJ24" s="29"/>
      <c r="AK24" s="30"/>
      <c r="AL24" s="31"/>
      <c r="AM24" s="28"/>
      <c r="AN24" s="29"/>
      <c r="AO24" s="16"/>
      <c r="AP24" s="1"/>
      <c r="AQ24" s="30"/>
      <c r="AR24" s="31"/>
      <c r="AS24" s="28"/>
      <c r="AT24" s="29"/>
      <c r="AU24" s="30"/>
      <c r="AV24" s="31"/>
      <c r="AW24" s="28"/>
      <c r="AX24" s="29"/>
      <c r="AY24" s="30"/>
      <c r="AZ24" s="31"/>
      <c r="BA24" s="28"/>
      <c r="BB24" s="29"/>
      <c r="BC24" s="1"/>
      <c r="BD24" s="1"/>
      <c r="BE24" s="28"/>
      <c r="BF24" s="29"/>
      <c r="BG24" s="30"/>
      <c r="BH24" s="31"/>
      <c r="BI24" s="28"/>
      <c r="BJ24" s="29"/>
      <c r="BK24" s="30"/>
      <c r="BL24" s="31"/>
      <c r="BM24" s="28"/>
      <c r="BN24" s="29"/>
      <c r="BO24" s="30"/>
      <c r="BP24" s="31"/>
      <c r="BQ24" s="1"/>
      <c r="BR24" s="28"/>
      <c r="BS24" s="29"/>
      <c r="BT24" s="30"/>
      <c r="BU24" s="31"/>
      <c r="BV24" s="28"/>
      <c r="BW24" s="29"/>
      <c r="BX24" s="30"/>
      <c r="BY24" s="31"/>
      <c r="BZ24" s="28"/>
      <c r="CA24" s="29"/>
      <c r="CB24" s="30"/>
      <c r="CC24" s="31"/>
    </row>
    <row r="25" spans="2:81" ht="15" thickBot="1">
      <c r="B25" s="27">
        <v>6</v>
      </c>
      <c r="C25" s="32"/>
      <c r="D25" s="33"/>
      <c r="E25" s="34"/>
      <c r="F25" s="27">
        <v>5</v>
      </c>
      <c r="G25" s="32"/>
      <c r="H25" s="33"/>
      <c r="I25" s="34"/>
      <c r="J25" s="27">
        <v>4</v>
      </c>
      <c r="K25" s="32"/>
      <c r="L25" s="33"/>
      <c r="M25" s="34"/>
      <c r="N25" s="1"/>
      <c r="O25" s="33"/>
      <c r="P25" s="34"/>
      <c r="Q25" s="27">
        <v>13</v>
      </c>
      <c r="R25" s="32"/>
      <c r="S25" s="33"/>
      <c r="T25" s="34"/>
      <c r="U25" s="27">
        <v>14</v>
      </c>
      <c r="V25" s="32"/>
      <c r="W25" s="33"/>
      <c r="X25" s="34"/>
      <c r="Y25" s="27">
        <v>15</v>
      </c>
      <c r="Z25" s="32"/>
      <c r="AA25" s="1"/>
      <c r="AB25" s="1"/>
      <c r="AC25" s="33"/>
      <c r="AD25" s="34"/>
      <c r="AE25" s="27">
        <v>6</v>
      </c>
      <c r="AF25" s="32"/>
      <c r="AG25" s="33"/>
      <c r="AH25" s="34"/>
      <c r="AI25" s="27">
        <v>5</v>
      </c>
      <c r="AJ25" s="32"/>
      <c r="AK25" s="33"/>
      <c r="AL25" s="34"/>
      <c r="AM25" s="27">
        <v>4</v>
      </c>
      <c r="AN25" s="32"/>
      <c r="AO25" s="16"/>
      <c r="AP25" s="1"/>
      <c r="AQ25" s="33"/>
      <c r="AR25" s="34"/>
      <c r="AS25" s="27">
        <v>13</v>
      </c>
      <c r="AT25" s="32"/>
      <c r="AU25" s="33"/>
      <c r="AV25" s="34"/>
      <c r="AW25" s="27">
        <v>14</v>
      </c>
      <c r="AX25" s="32"/>
      <c r="AY25" s="33"/>
      <c r="AZ25" s="34"/>
      <c r="BA25" s="27">
        <v>15</v>
      </c>
      <c r="BB25" s="32"/>
      <c r="BC25" s="17"/>
      <c r="BD25" s="1"/>
      <c r="BE25" s="27">
        <v>6</v>
      </c>
      <c r="BF25" s="32"/>
      <c r="BG25" s="33"/>
      <c r="BH25" s="34"/>
      <c r="BI25" s="27">
        <v>5</v>
      </c>
      <c r="BJ25" s="32"/>
      <c r="BK25" s="33"/>
      <c r="BL25" s="34"/>
      <c r="BM25" s="27">
        <v>4</v>
      </c>
      <c r="BN25" s="32"/>
      <c r="BO25" s="33"/>
      <c r="BP25" s="34"/>
      <c r="BQ25" s="1"/>
      <c r="BR25" s="27">
        <v>13</v>
      </c>
      <c r="BS25" s="32"/>
      <c r="BT25" s="33"/>
      <c r="BU25" s="34"/>
      <c r="BV25" s="27">
        <v>14</v>
      </c>
      <c r="BW25" s="32"/>
      <c r="BX25" s="33"/>
      <c r="BY25" s="34"/>
      <c r="BZ25" s="27">
        <v>15</v>
      </c>
      <c r="CA25" s="32"/>
      <c r="CB25" s="33"/>
      <c r="CC25" s="34"/>
    </row>
    <row r="26" spans="2:81">
      <c r="B26" s="30"/>
      <c r="C26" s="31"/>
      <c r="D26" s="28"/>
      <c r="E26" s="29"/>
      <c r="F26" s="30"/>
      <c r="G26" s="31"/>
      <c r="H26" s="28"/>
      <c r="I26" s="29"/>
      <c r="J26" s="30"/>
      <c r="K26" s="31"/>
      <c r="L26" s="28"/>
      <c r="M26" s="29"/>
      <c r="N26" s="1"/>
      <c r="O26" s="28"/>
      <c r="P26" s="29"/>
      <c r="Q26" s="30"/>
      <c r="R26" s="31"/>
      <c r="S26" s="28"/>
      <c r="T26" s="29"/>
      <c r="U26" s="30"/>
      <c r="V26" s="31"/>
      <c r="W26" s="28"/>
      <c r="X26" s="29"/>
      <c r="Y26" s="30"/>
      <c r="Z26" s="31"/>
      <c r="AA26" s="1"/>
      <c r="AB26" s="1"/>
      <c r="AC26" s="28"/>
      <c r="AD26" s="29"/>
      <c r="AE26" s="30"/>
      <c r="AF26" s="31"/>
      <c r="AG26" s="28"/>
      <c r="AH26" s="29"/>
      <c r="AI26" s="30"/>
      <c r="AJ26" s="31"/>
      <c r="AK26" s="28"/>
      <c r="AL26" s="29"/>
      <c r="AM26" s="30"/>
      <c r="AN26" s="31"/>
      <c r="AO26" s="16"/>
      <c r="AP26" s="1"/>
      <c r="AQ26" s="28"/>
      <c r="AR26" s="29"/>
      <c r="AS26" s="30"/>
      <c r="AT26" s="31"/>
      <c r="AU26" s="28"/>
      <c r="AV26" s="29"/>
      <c r="AW26" s="30"/>
      <c r="AX26" s="31"/>
      <c r="AY26" s="28"/>
      <c r="AZ26" s="29"/>
      <c r="BA26" s="30"/>
      <c r="BB26" s="31"/>
      <c r="BC26" s="18"/>
      <c r="BD26" s="1"/>
      <c r="BE26" s="30"/>
      <c r="BF26" s="31"/>
      <c r="BG26" s="28"/>
      <c r="BH26" s="29"/>
      <c r="BI26" s="30"/>
      <c r="BJ26" s="31"/>
      <c r="BK26" s="28"/>
      <c r="BL26" s="29"/>
      <c r="BM26" s="30"/>
      <c r="BN26" s="31"/>
      <c r="BO26" s="28"/>
      <c r="BP26" s="29"/>
      <c r="BQ26" s="1"/>
      <c r="BR26" s="30"/>
      <c r="BS26" s="31"/>
      <c r="BT26" s="28"/>
      <c r="BU26" s="29"/>
      <c r="BV26" s="30"/>
      <c r="BW26" s="31"/>
      <c r="BX26" s="28"/>
      <c r="BY26" s="29"/>
      <c r="BZ26" s="30"/>
      <c r="CA26" s="31"/>
      <c r="CB26" s="28"/>
      <c r="CC26" s="29"/>
    </row>
    <row r="27" spans="2:81" ht="15" thickBot="1">
      <c r="B27" s="33"/>
      <c r="C27" s="34"/>
      <c r="D27" s="27">
        <v>9</v>
      </c>
      <c r="E27" s="32"/>
      <c r="F27" s="33"/>
      <c r="G27" s="34"/>
      <c r="H27" s="27">
        <v>8</v>
      </c>
      <c r="I27" s="32"/>
      <c r="J27" s="33"/>
      <c r="K27" s="34"/>
      <c r="L27" s="27">
        <v>7</v>
      </c>
      <c r="M27" s="32"/>
      <c r="N27" s="1"/>
      <c r="O27" s="27">
        <v>10</v>
      </c>
      <c r="P27" s="32"/>
      <c r="Q27" s="33"/>
      <c r="R27" s="34"/>
      <c r="S27" s="27">
        <v>11</v>
      </c>
      <c r="T27" s="32"/>
      <c r="U27" s="33"/>
      <c r="V27" s="34"/>
      <c r="W27" s="27">
        <v>12</v>
      </c>
      <c r="X27" s="32"/>
      <c r="Y27" s="33"/>
      <c r="Z27" s="34"/>
      <c r="AA27" s="1"/>
      <c r="AB27" s="1"/>
      <c r="AC27" s="27">
        <v>9</v>
      </c>
      <c r="AD27" s="32"/>
      <c r="AE27" s="33"/>
      <c r="AF27" s="34"/>
      <c r="AG27" s="27">
        <v>8</v>
      </c>
      <c r="AH27" s="32"/>
      <c r="AI27" s="33"/>
      <c r="AJ27" s="34"/>
      <c r="AK27" s="27">
        <v>7</v>
      </c>
      <c r="AL27" s="32"/>
      <c r="AM27" s="33"/>
      <c r="AN27" s="34"/>
      <c r="AO27" s="16"/>
      <c r="AP27" s="1"/>
      <c r="AQ27" s="27">
        <v>10</v>
      </c>
      <c r="AR27" s="32"/>
      <c r="AS27" s="33"/>
      <c r="AT27" s="34"/>
      <c r="AU27" s="27">
        <v>11</v>
      </c>
      <c r="AV27" s="32"/>
      <c r="AW27" s="33"/>
      <c r="AX27" s="34"/>
      <c r="AY27" s="27">
        <v>12</v>
      </c>
      <c r="AZ27" s="32"/>
      <c r="BA27" s="33"/>
      <c r="BB27" s="34"/>
      <c r="BC27" s="1"/>
      <c r="BD27" s="1"/>
      <c r="BE27" s="33"/>
      <c r="BF27" s="34"/>
      <c r="BG27" s="27">
        <v>9</v>
      </c>
      <c r="BH27" s="32"/>
      <c r="BI27" s="33"/>
      <c r="BJ27" s="34"/>
      <c r="BK27" s="27">
        <v>8</v>
      </c>
      <c r="BL27" s="32"/>
      <c r="BM27" s="33"/>
      <c r="BN27" s="34"/>
      <c r="BO27" s="27">
        <v>7</v>
      </c>
      <c r="BP27" s="32"/>
      <c r="BQ27" s="1"/>
      <c r="BR27" s="33"/>
      <c r="BS27" s="34"/>
      <c r="BT27" s="27">
        <v>10</v>
      </c>
      <c r="BU27" s="32"/>
      <c r="BV27" s="33"/>
      <c r="BW27" s="34"/>
      <c r="BX27" s="27">
        <v>11</v>
      </c>
      <c r="BY27" s="32"/>
      <c r="BZ27" s="33"/>
      <c r="CA27" s="34"/>
      <c r="CB27" s="27">
        <v>12</v>
      </c>
      <c r="CC27" s="32"/>
    </row>
    <row r="28" spans="2:81" ht="15" customHeight="1">
      <c r="B28" s="28"/>
      <c r="C28" s="29"/>
      <c r="D28" s="30"/>
      <c r="E28" s="31"/>
      <c r="F28" s="28"/>
      <c r="G28" s="29"/>
      <c r="H28" s="30"/>
      <c r="I28" s="31"/>
      <c r="J28" s="28"/>
      <c r="K28" s="29"/>
      <c r="L28" s="30"/>
      <c r="M28" s="31"/>
      <c r="N28" s="1"/>
      <c r="O28" s="30"/>
      <c r="P28" s="31"/>
      <c r="Q28" s="28"/>
      <c r="R28" s="29"/>
      <c r="S28" s="30"/>
      <c r="T28" s="31"/>
      <c r="U28" s="28"/>
      <c r="V28" s="29"/>
      <c r="W28" s="30"/>
      <c r="X28" s="31"/>
      <c r="Y28" s="28"/>
      <c r="Z28" s="29"/>
      <c r="AA28" s="1"/>
      <c r="AB28" s="1"/>
      <c r="AC28" s="30"/>
      <c r="AD28" s="31"/>
      <c r="AE28" s="28"/>
      <c r="AF28" s="29"/>
      <c r="AG28" s="30"/>
      <c r="AH28" s="31"/>
      <c r="AI28" s="28"/>
      <c r="AJ28" s="29"/>
      <c r="AK28" s="30"/>
      <c r="AL28" s="31"/>
      <c r="AM28" s="28"/>
      <c r="AN28" s="29"/>
      <c r="AO28" s="16"/>
      <c r="AP28" s="1"/>
      <c r="AQ28" s="30"/>
      <c r="AR28" s="31"/>
      <c r="AS28" s="28"/>
      <c r="AT28" s="29"/>
      <c r="AU28" s="30"/>
      <c r="AV28" s="31"/>
      <c r="AW28" s="28"/>
      <c r="AX28" s="29"/>
      <c r="AY28" s="30"/>
      <c r="AZ28" s="31"/>
      <c r="BA28" s="28"/>
      <c r="BB28" s="29"/>
      <c r="BC28" s="1"/>
      <c r="BD28" s="1"/>
      <c r="BE28" s="28"/>
      <c r="BF28" s="29"/>
      <c r="BG28" s="30"/>
      <c r="BH28" s="31"/>
      <c r="BI28" s="28"/>
      <c r="BJ28" s="29"/>
      <c r="BK28" s="30"/>
      <c r="BL28" s="31"/>
      <c r="BM28" s="28"/>
      <c r="BN28" s="29"/>
      <c r="BO28" s="30"/>
      <c r="BP28" s="31"/>
      <c r="BQ28" s="1"/>
      <c r="BR28" s="28"/>
      <c r="BS28" s="29"/>
      <c r="BT28" s="30"/>
      <c r="BU28" s="31"/>
      <c r="BV28" s="28"/>
      <c r="BW28" s="29"/>
      <c r="BX28" s="30"/>
      <c r="BY28" s="31"/>
      <c r="BZ28" s="28"/>
      <c r="CA28" s="29"/>
      <c r="CB28" s="30"/>
      <c r="CC28" s="31"/>
    </row>
    <row r="29" spans="2:81" ht="15" thickBot="1">
      <c r="B29" s="27">
        <v>12</v>
      </c>
      <c r="C29" s="32"/>
      <c r="D29" s="33"/>
      <c r="E29" s="34"/>
      <c r="F29" s="27">
        <v>11</v>
      </c>
      <c r="G29" s="32"/>
      <c r="H29" s="33"/>
      <c r="I29" s="34"/>
      <c r="J29" s="27">
        <v>10</v>
      </c>
      <c r="K29" s="32"/>
      <c r="L29" s="33"/>
      <c r="M29" s="34"/>
      <c r="N29" s="1"/>
      <c r="O29" s="33"/>
      <c r="P29" s="34"/>
      <c r="Q29" s="27">
        <v>7</v>
      </c>
      <c r="R29" s="32"/>
      <c r="S29" s="33"/>
      <c r="T29" s="34"/>
      <c r="U29" s="27">
        <v>8</v>
      </c>
      <c r="V29" s="32"/>
      <c r="W29" s="33"/>
      <c r="X29" s="34"/>
      <c r="Y29" s="27">
        <v>9</v>
      </c>
      <c r="Z29" s="32"/>
      <c r="AA29" s="1"/>
      <c r="AB29" s="1"/>
      <c r="AC29" s="33"/>
      <c r="AD29" s="34"/>
      <c r="AE29" s="27">
        <v>12</v>
      </c>
      <c r="AF29" s="32"/>
      <c r="AG29" s="33"/>
      <c r="AH29" s="34"/>
      <c r="AI29" s="27">
        <v>11</v>
      </c>
      <c r="AJ29" s="32"/>
      <c r="AK29" s="33"/>
      <c r="AL29" s="34"/>
      <c r="AM29" s="27">
        <v>10</v>
      </c>
      <c r="AN29" s="32"/>
      <c r="AO29" s="16"/>
      <c r="AP29" s="1"/>
      <c r="AQ29" s="33"/>
      <c r="AR29" s="34"/>
      <c r="AS29" s="27">
        <v>7</v>
      </c>
      <c r="AT29" s="32"/>
      <c r="AU29" s="33"/>
      <c r="AV29" s="34"/>
      <c r="AW29" s="27">
        <v>8</v>
      </c>
      <c r="AX29" s="32"/>
      <c r="AY29" s="33"/>
      <c r="AZ29" s="34"/>
      <c r="BA29" s="27">
        <v>9</v>
      </c>
      <c r="BB29" s="32"/>
      <c r="BC29" s="1"/>
      <c r="BD29" s="1"/>
      <c r="BE29" s="27">
        <v>12</v>
      </c>
      <c r="BF29" s="32"/>
      <c r="BG29" s="33"/>
      <c r="BH29" s="34"/>
      <c r="BI29" s="27">
        <v>11</v>
      </c>
      <c r="BJ29" s="32"/>
      <c r="BK29" s="33"/>
      <c r="BL29" s="34"/>
      <c r="BM29" s="27">
        <v>10</v>
      </c>
      <c r="BN29" s="32"/>
      <c r="BO29" s="33"/>
      <c r="BP29" s="34"/>
      <c r="BQ29" s="1"/>
      <c r="BR29" s="27">
        <v>7</v>
      </c>
      <c r="BS29" s="32"/>
      <c r="BT29" s="33"/>
      <c r="BU29" s="34"/>
      <c r="BV29" s="27">
        <v>8</v>
      </c>
      <c r="BW29" s="32"/>
      <c r="BX29" s="33"/>
      <c r="BY29" s="34"/>
      <c r="BZ29" s="27">
        <v>9</v>
      </c>
      <c r="CA29" s="32"/>
      <c r="CB29" s="33"/>
      <c r="CC29" s="34"/>
    </row>
    <row r="30" spans="2:81">
      <c r="B30" s="30"/>
      <c r="C30" s="31"/>
      <c r="D30" s="28"/>
      <c r="E30" s="29"/>
      <c r="F30" s="30"/>
      <c r="G30" s="31"/>
      <c r="H30" s="28"/>
      <c r="I30" s="29"/>
      <c r="J30" s="30"/>
      <c r="K30" s="31"/>
      <c r="L30" s="28"/>
      <c r="M30" s="29"/>
      <c r="N30" s="1"/>
      <c r="O30" s="28"/>
      <c r="P30" s="29"/>
      <c r="Q30" s="30"/>
      <c r="R30" s="31"/>
      <c r="S30" s="28"/>
      <c r="T30" s="29"/>
      <c r="U30" s="30"/>
      <c r="V30" s="31"/>
      <c r="W30" s="28"/>
      <c r="X30" s="29"/>
      <c r="Y30" s="30"/>
      <c r="Z30" s="31"/>
      <c r="AA30" s="1"/>
      <c r="AB30" s="1"/>
      <c r="AC30" s="28"/>
      <c r="AD30" s="29"/>
      <c r="AE30" s="30"/>
      <c r="AF30" s="31"/>
      <c r="AG30" s="28"/>
      <c r="AH30" s="29"/>
      <c r="AI30" s="30"/>
      <c r="AJ30" s="31"/>
      <c r="AK30" s="28"/>
      <c r="AL30" s="29"/>
      <c r="AM30" s="30"/>
      <c r="AN30" s="31"/>
      <c r="AO30" s="16"/>
      <c r="AP30" s="1"/>
      <c r="AQ30" s="28"/>
      <c r="AR30" s="29"/>
      <c r="AS30" s="30"/>
      <c r="AT30" s="31"/>
      <c r="AU30" s="28"/>
      <c r="AV30" s="29"/>
      <c r="AW30" s="30"/>
      <c r="AX30" s="31"/>
      <c r="AY30" s="28"/>
      <c r="AZ30" s="29"/>
      <c r="BA30" s="30"/>
      <c r="BB30" s="31"/>
      <c r="BC30" s="1"/>
      <c r="BD30" s="1"/>
      <c r="BE30" s="30"/>
      <c r="BF30" s="31"/>
      <c r="BG30" s="28"/>
      <c r="BH30" s="29"/>
      <c r="BI30" s="30"/>
      <c r="BJ30" s="31"/>
      <c r="BK30" s="28"/>
      <c r="BL30" s="29"/>
      <c r="BM30" s="30"/>
      <c r="BN30" s="31"/>
      <c r="BO30" s="28"/>
      <c r="BP30" s="29"/>
      <c r="BQ30" s="1"/>
      <c r="BR30" s="30"/>
      <c r="BS30" s="31"/>
      <c r="BT30" s="28"/>
      <c r="BU30" s="29"/>
      <c r="BV30" s="30"/>
      <c r="BW30" s="31"/>
      <c r="BX30" s="28"/>
      <c r="BY30" s="29"/>
      <c r="BZ30" s="30"/>
      <c r="CA30" s="31"/>
      <c r="CB30" s="28"/>
      <c r="CC30" s="29"/>
    </row>
    <row r="31" spans="2:81" ht="15" thickBot="1">
      <c r="B31" s="33"/>
      <c r="C31" s="34"/>
      <c r="D31" s="27">
        <v>15</v>
      </c>
      <c r="E31" s="32"/>
      <c r="F31" s="33"/>
      <c r="G31" s="34"/>
      <c r="H31" s="27">
        <v>14</v>
      </c>
      <c r="I31" s="32"/>
      <c r="J31" s="33"/>
      <c r="K31" s="34"/>
      <c r="L31" s="27">
        <v>13</v>
      </c>
      <c r="M31" s="32"/>
      <c r="N31" s="1"/>
      <c r="O31" s="27">
        <v>4</v>
      </c>
      <c r="P31" s="32"/>
      <c r="Q31" s="33"/>
      <c r="R31" s="34"/>
      <c r="S31" s="27">
        <v>5</v>
      </c>
      <c r="T31" s="32"/>
      <c r="U31" s="33"/>
      <c r="V31" s="34"/>
      <c r="W31" s="27">
        <v>6</v>
      </c>
      <c r="X31" s="32"/>
      <c r="Y31" s="33"/>
      <c r="Z31" s="34"/>
      <c r="AA31" s="1"/>
      <c r="AB31" s="1"/>
      <c r="AC31" s="27">
        <v>15</v>
      </c>
      <c r="AD31" s="32"/>
      <c r="AE31" s="33"/>
      <c r="AF31" s="34"/>
      <c r="AG31" s="27">
        <v>14</v>
      </c>
      <c r="AH31" s="32"/>
      <c r="AI31" s="33"/>
      <c r="AJ31" s="34"/>
      <c r="AK31" s="27">
        <v>13</v>
      </c>
      <c r="AL31" s="32"/>
      <c r="AM31" s="33"/>
      <c r="AN31" s="34"/>
      <c r="AO31" s="16"/>
      <c r="AP31" s="1"/>
      <c r="AQ31" s="27">
        <v>4</v>
      </c>
      <c r="AR31" s="32"/>
      <c r="AS31" s="33"/>
      <c r="AT31" s="34"/>
      <c r="AU31" s="27">
        <v>5</v>
      </c>
      <c r="AV31" s="32"/>
      <c r="AW31" s="33"/>
      <c r="AX31" s="34"/>
      <c r="AY31" s="27">
        <v>6</v>
      </c>
      <c r="AZ31" s="32"/>
      <c r="BA31" s="33"/>
      <c r="BB31" s="34"/>
      <c r="BC31" s="1"/>
      <c r="BD31" s="1"/>
      <c r="BE31" s="33"/>
      <c r="BF31" s="34"/>
      <c r="BG31" s="27">
        <v>15</v>
      </c>
      <c r="BH31" s="32"/>
      <c r="BI31" s="33"/>
      <c r="BJ31" s="34"/>
      <c r="BK31" s="27">
        <v>14</v>
      </c>
      <c r="BL31" s="32"/>
      <c r="BM31" s="33"/>
      <c r="BN31" s="34"/>
      <c r="BO31" s="27">
        <v>13</v>
      </c>
      <c r="BP31" s="32"/>
      <c r="BQ31" s="1"/>
      <c r="BR31" s="33"/>
      <c r="BS31" s="34"/>
      <c r="BT31" s="27">
        <v>4</v>
      </c>
      <c r="BU31" s="32"/>
      <c r="BV31" s="33"/>
      <c r="BW31" s="34"/>
      <c r="BX31" s="27">
        <v>5</v>
      </c>
      <c r="BY31" s="32"/>
      <c r="BZ31" s="33"/>
      <c r="CA31" s="34"/>
      <c r="CB31" s="27">
        <v>6</v>
      </c>
      <c r="CC31" s="32"/>
    </row>
    <row r="32" spans="2:81">
      <c r="B32" s="28"/>
      <c r="C32" s="29"/>
      <c r="D32" s="30"/>
      <c r="E32" s="31"/>
      <c r="F32" s="28"/>
      <c r="G32" s="29"/>
      <c r="H32" s="30"/>
      <c r="I32" s="31"/>
      <c r="J32" s="28"/>
      <c r="K32" s="29"/>
      <c r="L32" s="30"/>
      <c r="M32" s="31"/>
      <c r="N32" s="1"/>
      <c r="O32" s="30"/>
      <c r="P32" s="31"/>
      <c r="Q32" s="28"/>
      <c r="R32" s="29"/>
      <c r="S32" s="30"/>
      <c r="T32" s="31"/>
      <c r="U32" s="28"/>
      <c r="V32" s="29"/>
      <c r="W32" s="30"/>
      <c r="X32" s="31"/>
      <c r="Y32" s="28"/>
      <c r="Z32" s="29"/>
      <c r="AA32" s="1"/>
      <c r="AB32" s="1"/>
      <c r="AC32" s="30"/>
      <c r="AD32" s="31"/>
      <c r="AE32" s="28"/>
      <c r="AF32" s="29"/>
      <c r="AG32" s="30"/>
      <c r="AH32" s="31"/>
      <c r="AI32" s="28"/>
      <c r="AJ32" s="29"/>
      <c r="AK32" s="30"/>
      <c r="AL32" s="31"/>
      <c r="AM32" s="28"/>
      <c r="AN32" s="29"/>
      <c r="AO32" s="16"/>
      <c r="AP32" s="1"/>
      <c r="AQ32" s="30"/>
      <c r="AR32" s="31"/>
      <c r="AS32" s="28"/>
      <c r="AT32" s="29"/>
      <c r="AU32" s="30"/>
      <c r="AV32" s="31"/>
      <c r="AW32" s="28"/>
      <c r="AX32" s="29"/>
      <c r="AY32" s="30"/>
      <c r="AZ32" s="31"/>
      <c r="BA32" s="28"/>
      <c r="BB32" s="29"/>
      <c r="BC32" s="1"/>
      <c r="BD32" s="1"/>
      <c r="BE32" s="28"/>
      <c r="BF32" s="29"/>
      <c r="BG32" s="30"/>
      <c r="BH32" s="31"/>
      <c r="BI32" s="28"/>
      <c r="BJ32" s="29"/>
      <c r="BK32" s="30"/>
      <c r="BL32" s="31"/>
      <c r="BM32" s="28"/>
      <c r="BN32" s="29"/>
      <c r="BO32" s="30"/>
      <c r="BP32" s="31"/>
      <c r="BQ32" s="1"/>
      <c r="BR32" s="28"/>
      <c r="BS32" s="29"/>
      <c r="BT32" s="30"/>
      <c r="BU32" s="31"/>
      <c r="BV32" s="28"/>
      <c r="BW32" s="29"/>
      <c r="BX32" s="30"/>
      <c r="BY32" s="31"/>
      <c r="BZ32" s="28"/>
      <c r="CA32" s="29"/>
      <c r="CB32" s="30"/>
      <c r="CC32" s="31"/>
    </row>
    <row r="33" spans="2:81" ht="15" thickBot="1">
      <c r="B33" s="27">
        <v>18</v>
      </c>
      <c r="C33" s="32"/>
      <c r="D33" s="33"/>
      <c r="E33" s="34"/>
      <c r="F33" s="27">
        <v>17</v>
      </c>
      <c r="G33" s="32"/>
      <c r="H33" s="33"/>
      <c r="I33" s="34"/>
      <c r="J33" s="27">
        <v>16</v>
      </c>
      <c r="K33" s="32"/>
      <c r="L33" s="33"/>
      <c r="M33" s="34"/>
      <c r="N33" s="1"/>
      <c r="O33" s="33"/>
      <c r="P33" s="34"/>
      <c r="Q33" s="27">
        <v>1</v>
      </c>
      <c r="R33" s="32"/>
      <c r="S33" s="33"/>
      <c r="T33" s="34"/>
      <c r="U33" s="27">
        <v>2</v>
      </c>
      <c r="V33" s="32"/>
      <c r="W33" s="33"/>
      <c r="X33" s="34"/>
      <c r="Y33" s="27">
        <v>3</v>
      </c>
      <c r="Z33" s="32"/>
      <c r="AA33" s="1"/>
      <c r="AB33" s="1"/>
      <c r="AC33" s="33"/>
      <c r="AD33" s="34"/>
      <c r="AE33" s="27">
        <v>18</v>
      </c>
      <c r="AF33" s="32"/>
      <c r="AG33" s="33"/>
      <c r="AH33" s="34"/>
      <c r="AI33" s="27">
        <v>17</v>
      </c>
      <c r="AJ33" s="32"/>
      <c r="AK33" s="33"/>
      <c r="AL33" s="34"/>
      <c r="AM33" s="27">
        <v>16</v>
      </c>
      <c r="AN33" s="32"/>
      <c r="AO33" s="16"/>
      <c r="AP33" s="1"/>
      <c r="AQ33" s="33"/>
      <c r="AR33" s="34"/>
      <c r="AS33" s="27">
        <v>1</v>
      </c>
      <c r="AT33" s="32"/>
      <c r="AU33" s="33"/>
      <c r="AV33" s="34"/>
      <c r="AW33" s="27">
        <v>2</v>
      </c>
      <c r="AX33" s="32"/>
      <c r="AY33" s="33"/>
      <c r="AZ33" s="34"/>
      <c r="BA33" s="27">
        <v>3</v>
      </c>
      <c r="BB33" s="32"/>
      <c r="BC33" s="1"/>
      <c r="BD33" s="1"/>
      <c r="BE33" s="27">
        <v>18</v>
      </c>
      <c r="BF33" s="32"/>
      <c r="BG33" s="33"/>
      <c r="BH33" s="34"/>
      <c r="BI33" s="27">
        <v>17</v>
      </c>
      <c r="BJ33" s="32"/>
      <c r="BK33" s="33"/>
      <c r="BL33" s="34"/>
      <c r="BM33" s="27">
        <v>16</v>
      </c>
      <c r="BN33" s="32"/>
      <c r="BO33" s="33"/>
      <c r="BP33" s="34"/>
      <c r="BQ33" s="1"/>
      <c r="BR33" s="27">
        <v>1</v>
      </c>
      <c r="BS33" s="32"/>
      <c r="BT33" s="33"/>
      <c r="BU33" s="34"/>
      <c r="BV33" s="27">
        <v>2</v>
      </c>
      <c r="BW33" s="32"/>
      <c r="BX33" s="33"/>
      <c r="BY33" s="34"/>
      <c r="BZ33" s="27">
        <v>3</v>
      </c>
      <c r="CA33" s="32"/>
      <c r="CB33" s="33"/>
      <c r="CC33" s="34"/>
    </row>
    <row r="34" spans="2:81" ht="16" thickBot="1">
      <c r="B34" s="19" t="s">
        <v>65</v>
      </c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9" t="s">
        <v>71</v>
      </c>
      <c r="P34" s="2"/>
      <c r="Q34" s="2"/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9" t="s">
        <v>80</v>
      </c>
      <c r="AD34" s="2"/>
      <c r="AE34" s="2"/>
      <c r="AF34" s="2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26" t="s">
        <v>79</v>
      </c>
      <c r="AR34" s="2"/>
      <c r="AS34" s="2"/>
      <c r="AT34" s="2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9" t="s">
        <v>91</v>
      </c>
      <c r="BF34" s="2"/>
      <c r="BG34" s="2"/>
      <c r="BH34" s="2"/>
      <c r="BI34" s="1"/>
      <c r="BJ34" s="1"/>
      <c r="BK34" s="1"/>
      <c r="BL34" s="1"/>
      <c r="BM34" s="1"/>
      <c r="BN34" s="1"/>
      <c r="BO34" s="1"/>
      <c r="BP34" s="1"/>
      <c r="BQ34" s="1"/>
      <c r="BR34" s="19" t="s">
        <v>92</v>
      </c>
      <c r="BS34" s="2"/>
      <c r="BT34" s="2"/>
      <c r="BU34" s="2"/>
      <c r="BV34" s="1"/>
      <c r="BW34" s="1"/>
      <c r="BX34" s="1"/>
      <c r="BY34" s="1"/>
      <c r="BZ34" s="1"/>
      <c r="CA34" s="1"/>
      <c r="CB34" s="1"/>
      <c r="CC34" s="1"/>
    </row>
    <row r="35" spans="2:81">
      <c r="B35" s="30"/>
      <c r="C35" s="31"/>
      <c r="D35" s="28"/>
      <c r="E35" s="29"/>
      <c r="F35" s="30"/>
      <c r="G35" s="31"/>
      <c r="H35" s="28"/>
      <c r="I35" s="29"/>
      <c r="J35" s="30"/>
      <c r="K35" s="31"/>
      <c r="L35" s="28"/>
      <c r="M35" s="29"/>
      <c r="N35" s="11"/>
      <c r="O35" s="30"/>
      <c r="P35" s="31"/>
      <c r="Q35" s="28"/>
      <c r="R35" s="29"/>
      <c r="S35" s="30"/>
      <c r="T35" s="31"/>
      <c r="U35" s="28"/>
      <c r="V35" s="29"/>
      <c r="W35" s="30"/>
      <c r="X35" s="31"/>
      <c r="Y35" s="28"/>
      <c r="Z35" s="29"/>
      <c r="AA35" s="1"/>
      <c r="AB35" s="1"/>
      <c r="AC35" s="28"/>
      <c r="AD35" s="29"/>
      <c r="AE35" s="30"/>
      <c r="AF35" s="31"/>
      <c r="AG35" s="28"/>
      <c r="AH35" s="29"/>
      <c r="AI35" s="30"/>
      <c r="AJ35" s="31"/>
      <c r="AK35" s="28"/>
      <c r="AL35" s="29"/>
      <c r="AM35" s="30"/>
      <c r="AN35" s="31"/>
      <c r="AO35" s="16"/>
      <c r="AP35" s="1"/>
      <c r="AQ35" s="28"/>
      <c r="AR35" s="29"/>
      <c r="AS35" s="30"/>
      <c r="AT35" s="31"/>
      <c r="AU35" s="28"/>
      <c r="AV35" s="29"/>
      <c r="AW35" s="30"/>
      <c r="AX35" s="31"/>
      <c r="AY35" s="28"/>
      <c r="AZ35" s="29"/>
      <c r="BA35" s="30"/>
      <c r="BB35" s="31"/>
      <c r="BC35" s="18"/>
      <c r="BD35" s="1"/>
      <c r="BE35" s="30"/>
      <c r="BF35" s="31"/>
      <c r="BG35" s="28"/>
      <c r="BH35" s="29"/>
      <c r="BI35" s="30"/>
      <c r="BJ35" s="31"/>
      <c r="BK35" s="28"/>
      <c r="BL35" s="29"/>
      <c r="BM35" s="30"/>
      <c r="BN35" s="31"/>
      <c r="BO35" s="28"/>
      <c r="BP35" s="29"/>
      <c r="BQ35" s="11"/>
      <c r="BR35" s="28"/>
      <c r="BS35" s="29"/>
      <c r="BT35" s="30"/>
      <c r="BU35" s="31"/>
      <c r="BV35" s="28"/>
      <c r="BW35" s="29"/>
      <c r="BX35" s="30"/>
      <c r="BY35" s="31"/>
      <c r="BZ35" s="28"/>
      <c r="CA35" s="29"/>
      <c r="CB35" s="30"/>
      <c r="CC35" s="31"/>
    </row>
    <row r="36" spans="2:81" ht="15" thickBot="1">
      <c r="B36" s="33"/>
      <c r="C36" s="34"/>
      <c r="D36" s="27">
        <v>3</v>
      </c>
      <c r="E36" s="32"/>
      <c r="F36" s="33"/>
      <c r="G36" s="34"/>
      <c r="H36" s="27">
        <v>2</v>
      </c>
      <c r="I36" s="32"/>
      <c r="J36" s="33"/>
      <c r="K36" s="34"/>
      <c r="L36" s="27">
        <v>1</v>
      </c>
      <c r="M36" s="32"/>
      <c r="N36" s="1"/>
      <c r="O36" s="33"/>
      <c r="P36" s="34"/>
      <c r="Q36" s="27">
        <v>16</v>
      </c>
      <c r="R36" s="32"/>
      <c r="S36" s="33"/>
      <c r="T36" s="34"/>
      <c r="U36" s="27">
        <v>17</v>
      </c>
      <c r="V36" s="32"/>
      <c r="W36" s="33"/>
      <c r="X36" s="34"/>
      <c r="Y36" s="27">
        <v>18</v>
      </c>
      <c r="Z36" s="32"/>
      <c r="AA36" s="1"/>
      <c r="AB36" s="1"/>
      <c r="AC36" s="27">
        <v>3</v>
      </c>
      <c r="AD36" s="32"/>
      <c r="AE36" s="33"/>
      <c r="AF36" s="34"/>
      <c r="AG36" s="27">
        <v>2</v>
      </c>
      <c r="AH36" s="32"/>
      <c r="AI36" s="33"/>
      <c r="AJ36" s="34"/>
      <c r="AK36" s="27">
        <v>1</v>
      </c>
      <c r="AL36" s="32"/>
      <c r="AM36" s="33"/>
      <c r="AN36" s="34"/>
      <c r="AO36" s="16"/>
      <c r="AP36" s="1"/>
      <c r="AQ36" s="27">
        <v>16</v>
      </c>
      <c r="AR36" s="32"/>
      <c r="AS36" s="33"/>
      <c r="AT36" s="34"/>
      <c r="AU36" s="27">
        <v>17</v>
      </c>
      <c r="AV36" s="32"/>
      <c r="AW36" s="33"/>
      <c r="AX36" s="34"/>
      <c r="AY36" s="27">
        <v>18</v>
      </c>
      <c r="AZ36" s="32"/>
      <c r="BA36" s="33"/>
      <c r="BB36" s="34"/>
      <c r="BC36" s="1"/>
      <c r="BD36" s="1"/>
      <c r="BE36" s="33"/>
      <c r="BF36" s="34"/>
      <c r="BG36" s="27">
        <v>3</v>
      </c>
      <c r="BH36" s="32"/>
      <c r="BI36" s="33"/>
      <c r="BJ36" s="34"/>
      <c r="BK36" s="27">
        <v>2</v>
      </c>
      <c r="BL36" s="32"/>
      <c r="BM36" s="33"/>
      <c r="BN36" s="34"/>
      <c r="BO36" s="27">
        <v>1</v>
      </c>
      <c r="BP36" s="32"/>
      <c r="BQ36" s="1"/>
      <c r="BR36" s="27">
        <v>16</v>
      </c>
      <c r="BS36" s="32"/>
      <c r="BT36" s="33"/>
      <c r="BU36" s="34"/>
      <c r="BV36" s="27">
        <v>17</v>
      </c>
      <c r="BW36" s="32"/>
      <c r="BX36" s="33"/>
      <c r="BY36" s="34"/>
      <c r="BZ36" s="27">
        <v>18</v>
      </c>
      <c r="CA36" s="32"/>
      <c r="CB36" s="33"/>
      <c r="CC36" s="34"/>
    </row>
    <row r="37" spans="2:81">
      <c r="B37" s="28"/>
      <c r="C37" s="29"/>
      <c r="D37" s="30"/>
      <c r="E37" s="31"/>
      <c r="F37" s="28"/>
      <c r="G37" s="29"/>
      <c r="H37" s="30"/>
      <c r="I37" s="31"/>
      <c r="J37" s="28"/>
      <c r="K37" s="29"/>
      <c r="L37" s="30"/>
      <c r="M37" s="31"/>
      <c r="N37" s="1"/>
      <c r="O37" s="28"/>
      <c r="P37" s="29"/>
      <c r="Q37" s="30"/>
      <c r="R37" s="31"/>
      <c r="S37" s="28"/>
      <c r="T37" s="29"/>
      <c r="U37" s="30"/>
      <c r="V37" s="31"/>
      <c r="W37" s="28"/>
      <c r="X37" s="29"/>
      <c r="Y37" s="30"/>
      <c r="Z37" s="31"/>
      <c r="AA37" s="1"/>
      <c r="AB37" s="1"/>
      <c r="AC37" s="30"/>
      <c r="AD37" s="31"/>
      <c r="AE37" s="28"/>
      <c r="AF37" s="29"/>
      <c r="AG37" s="30"/>
      <c r="AH37" s="31"/>
      <c r="AI37" s="28"/>
      <c r="AJ37" s="29"/>
      <c r="AK37" s="30"/>
      <c r="AL37" s="31"/>
      <c r="AM37" s="28"/>
      <c r="AN37" s="29"/>
      <c r="AO37" s="16"/>
      <c r="AP37" s="1"/>
      <c r="AQ37" s="30"/>
      <c r="AR37" s="31"/>
      <c r="AS37" s="28"/>
      <c r="AT37" s="29"/>
      <c r="AU37" s="30"/>
      <c r="AV37" s="31"/>
      <c r="AW37" s="28"/>
      <c r="AX37" s="29"/>
      <c r="AY37" s="30"/>
      <c r="AZ37" s="31"/>
      <c r="BA37" s="28"/>
      <c r="BB37" s="29"/>
      <c r="BC37" s="1"/>
      <c r="BD37" s="1"/>
      <c r="BE37" s="28"/>
      <c r="BF37" s="29"/>
      <c r="BG37" s="30"/>
      <c r="BH37" s="31"/>
      <c r="BI37" s="28"/>
      <c r="BJ37" s="29"/>
      <c r="BK37" s="30"/>
      <c r="BL37" s="31"/>
      <c r="BM37" s="28"/>
      <c r="BN37" s="29"/>
      <c r="BO37" s="30"/>
      <c r="BP37" s="31"/>
      <c r="BQ37" s="1"/>
      <c r="BR37" s="30"/>
      <c r="BS37" s="31"/>
      <c r="BT37" s="28"/>
      <c r="BU37" s="29"/>
      <c r="BV37" s="30"/>
      <c r="BW37" s="31"/>
      <c r="BX37" s="28"/>
      <c r="BY37" s="29"/>
      <c r="BZ37" s="30"/>
      <c r="CA37" s="31"/>
      <c r="CB37" s="28"/>
      <c r="CC37" s="29"/>
    </row>
    <row r="38" spans="2:81" ht="15" thickBot="1">
      <c r="B38" s="27">
        <v>6</v>
      </c>
      <c r="C38" s="32"/>
      <c r="D38" s="33"/>
      <c r="E38" s="34"/>
      <c r="F38" s="27">
        <v>5</v>
      </c>
      <c r="G38" s="32"/>
      <c r="H38" s="33"/>
      <c r="I38" s="34"/>
      <c r="J38" s="27">
        <v>4</v>
      </c>
      <c r="K38" s="32"/>
      <c r="L38" s="33"/>
      <c r="M38" s="34"/>
      <c r="N38" s="1"/>
      <c r="O38" s="27">
        <v>13</v>
      </c>
      <c r="P38" s="32"/>
      <c r="Q38" s="33"/>
      <c r="R38" s="34"/>
      <c r="S38" s="27">
        <v>14</v>
      </c>
      <c r="T38" s="32"/>
      <c r="U38" s="33"/>
      <c r="V38" s="34"/>
      <c r="W38" s="27">
        <v>15</v>
      </c>
      <c r="X38" s="32"/>
      <c r="Y38" s="33"/>
      <c r="Z38" s="34"/>
      <c r="AA38" s="1"/>
      <c r="AB38" s="1"/>
      <c r="AC38" s="33"/>
      <c r="AD38" s="34"/>
      <c r="AE38" s="27">
        <v>6</v>
      </c>
      <c r="AF38" s="32"/>
      <c r="AG38" s="33"/>
      <c r="AH38" s="34"/>
      <c r="AI38" s="27">
        <v>5</v>
      </c>
      <c r="AJ38" s="32"/>
      <c r="AK38" s="33"/>
      <c r="AL38" s="34"/>
      <c r="AM38" s="27">
        <v>4</v>
      </c>
      <c r="AN38" s="32"/>
      <c r="AO38" s="16"/>
      <c r="AP38" s="1"/>
      <c r="AQ38" s="33"/>
      <c r="AR38" s="34"/>
      <c r="AS38" s="27">
        <v>13</v>
      </c>
      <c r="AT38" s="32"/>
      <c r="AU38" s="33"/>
      <c r="AV38" s="34"/>
      <c r="AW38" s="27">
        <v>14</v>
      </c>
      <c r="AX38" s="32"/>
      <c r="AY38" s="33"/>
      <c r="AZ38" s="34"/>
      <c r="BA38" s="27">
        <v>15</v>
      </c>
      <c r="BB38" s="32"/>
      <c r="BC38" s="1"/>
      <c r="BD38" s="1"/>
      <c r="BE38" s="27">
        <v>6</v>
      </c>
      <c r="BF38" s="32"/>
      <c r="BG38" s="33"/>
      <c r="BH38" s="34"/>
      <c r="BI38" s="27">
        <v>5</v>
      </c>
      <c r="BJ38" s="32"/>
      <c r="BK38" s="33"/>
      <c r="BL38" s="34"/>
      <c r="BM38" s="27">
        <v>4</v>
      </c>
      <c r="BN38" s="32"/>
      <c r="BO38" s="33"/>
      <c r="BP38" s="34"/>
      <c r="BQ38" s="1"/>
      <c r="BR38" s="33"/>
      <c r="BS38" s="34"/>
      <c r="BT38" s="27">
        <v>13</v>
      </c>
      <c r="BU38" s="32"/>
      <c r="BV38" s="33"/>
      <c r="BW38" s="34"/>
      <c r="BX38" s="27">
        <v>14</v>
      </c>
      <c r="BY38" s="32"/>
      <c r="BZ38" s="33"/>
      <c r="CA38" s="34"/>
      <c r="CB38" s="27">
        <v>15</v>
      </c>
      <c r="CC38" s="32"/>
    </row>
    <row r="39" spans="2:81">
      <c r="B39" s="30"/>
      <c r="C39" s="31"/>
      <c r="D39" s="28"/>
      <c r="E39" s="29"/>
      <c r="F39" s="30"/>
      <c r="G39" s="31"/>
      <c r="H39" s="28"/>
      <c r="I39" s="29"/>
      <c r="J39" s="30"/>
      <c r="K39" s="31"/>
      <c r="L39" s="28"/>
      <c r="M39" s="29"/>
      <c r="N39" s="1"/>
      <c r="O39" s="30"/>
      <c r="P39" s="31"/>
      <c r="Q39" s="28"/>
      <c r="R39" s="29"/>
      <c r="S39" s="30"/>
      <c r="T39" s="31"/>
      <c r="U39" s="28"/>
      <c r="V39" s="29"/>
      <c r="W39" s="30"/>
      <c r="X39" s="31"/>
      <c r="Y39" s="28"/>
      <c r="Z39" s="29"/>
      <c r="AA39" s="1"/>
      <c r="AB39" s="1"/>
      <c r="AC39" s="28"/>
      <c r="AD39" s="29"/>
      <c r="AE39" s="30"/>
      <c r="AF39" s="31"/>
      <c r="AG39" s="28"/>
      <c r="AH39" s="29"/>
      <c r="AI39" s="30"/>
      <c r="AJ39" s="31"/>
      <c r="AK39" s="28"/>
      <c r="AL39" s="29"/>
      <c r="AM39" s="30"/>
      <c r="AN39" s="31"/>
      <c r="AO39" s="16"/>
      <c r="AP39" s="1"/>
      <c r="AQ39" s="28"/>
      <c r="AR39" s="29"/>
      <c r="AS39" s="30"/>
      <c r="AT39" s="31"/>
      <c r="AU39" s="28"/>
      <c r="AV39" s="29"/>
      <c r="AW39" s="30"/>
      <c r="AX39" s="31"/>
      <c r="AY39" s="28"/>
      <c r="AZ39" s="29"/>
      <c r="BA39" s="30"/>
      <c r="BB39" s="31"/>
      <c r="BC39" s="1"/>
      <c r="BD39" s="1"/>
      <c r="BE39" s="30"/>
      <c r="BF39" s="31"/>
      <c r="BG39" s="28"/>
      <c r="BH39" s="29"/>
      <c r="BI39" s="30"/>
      <c r="BJ39" s="31"/>
      <c r="BK39" s="28"/>
      <c r="BL39" s="29"/>
      <c r="BM39" s="30"/>
      <c r="BN39" s="31"/>
      <c r="BO39" s="28"/>
      <c r="BP39" s="29"/>
      <c r="BQ39" s="1"/>
      <c r="BR39" s="28"/>
      <c r="BS39" s="29"/>
      <c r="BT39" s="30"/>
      <c r="BU39" s="31"/>
      <c r="BV39" s="28"/>
      <c r="BW39" s="29"/>
      <c r="BX39" s="30"/>
      <c r="BY39" s="31"/>
      <c r="BZ39" s="28"/>
      <c r="CA39" s="29"/>
      <c r="CB39" s="30"/>
      <c r="CC39" s="31"/>
    </row>
    <row r="40" spans="2:81" ht="15" thickBot="1">
      <c r="B40" s="33"/>
      <c r="C40" s="34"/>
      <c r="D40" s="27">
        <v>9</v>
      </c>
      <c r="E40" s="32"/>
      <c r="F40" s="33"/>
      <c r="G40" s="34"/>
      <c r="H40" s="27">
        <v>8</v>
      </c>
      <c r="I40" s="32"/>
      <c r="J40" s="33"/>
      <c r="K40" s="34"/>
      <c r="L40" s="27">
        <v>7</v>
      </c>
      <c r="M40" s="32"/>
      <c r="N40" s="1"/>
      <c r="O40" s="33"/>
      <c r="P40" s="34"/>
      <c r="Q40" s="27">
        <v>10</v>
      </c>
      <c r="R40" s="32"/>
      <c r="S40" s="33"/>
      <c r="T40" s="34"/>
      <c r="U40" s="27">
        <v>11</v>
      </c>
      <c r="V40" s="32"/>
      <c r="W40" s="33"/>
      <c r="X40" s="34"/>
      <c r="Y40" s="27">
        <v>12</v>
      </c>
      <c r="Z40" s="32"/>
      <c r="AA40" s="1"/>
      <c r="AB40" s="1"/>
      <c r="AC40" s="27">
        <v>9</v>
      </c>
      <c r="AD40" s="32"/>
      <c r="AE40" s="33"/>
      <c r="AF40" s="34"/>
      <c r="AG40" s="27">
        <v>8</v>
      </c>
      <c r="AH40" s="32"/>
      <c r="AI40" s="33"/>
      <c r="AJ40" s="34"/>
      <c r="AK40" s="27">
        <v>7</v>
      </c>
      <c r="AL40" s="32"/>
      <c r="AM40" s="33"/>
      <c r="AN40" s="34"/>
      <c r="AO40" s="16"/>
      <c r="AP40" s="1"/>
      <c r="AQ40" s="27">
        <v>10</v>
      </c>
      <c r="AR40" s="32"/>
      <c r="AS40" s="33"/>
      <c r="AT40" s="34"/>
      <c r="AU40" s="27">
        <v>11</v>
      </c>
      <c r="AV40" s="32"/>
      <c r="AW40" s="33"/>
      <c r="AX40" s="34"/>
      <c r="AY40" s="27">
        <v>12</v>
      </c>
      <c r="AZ40" s="32"/>
      <c r="BA40" s="33"/>
      <c r="BB40" s="34"/>
      <c r="BC40" s="1"/>
      <c r="BD40" s="1"/>
      <c r="BE40" s="33"/>
      <c r="BF40" s="34"/>
      <c r="BG40" s="27">
        <v>9</v>
      </c>
      <c r="BH40" s="32"/>
      <c r="BI40" s="33"/>
      <c r="BJ40" s="34"/>
      <c r="BK40" s="27">
        <v>8</v>
      </c>
      <c r="BL40" s="32"/>
      <c r="BM40" s="33"/>
      <c r="BN40" s="34"/>
      <c r="BO40" s="27">
        <v>7</v>
      </c>
      <c r="BP40" s="32"/>
      <c r="BQ40" s="1"/>
      <c r="BR40" s="27">
        <v>10</v>
      </c>
      <c r="BS40" s="32"/>
      <c r="BT40" s="33"/>
      <c r="BU40" s="34"/>
      <c r="BV40" s="27">
        <v>11</v>
      </c>
      <c r="BW40" s="32"/>
      <c r="BX40" s="33"/>
      <c r="BY40" s="34"/>
      <c r="BZ40" s="27">
        <v>12</v>
      </c>
      <c r="CA40" s="32"/>
      <c r="CB40" s="33"/>
      <c r="CC40" s="34"/>
    </row>
    <row r="41" spans="2:81">
      <c r="B41" s="28"/>
      <c r="C41" s="29"/>
      <c r="D41" s="30"/>
      <c r="E41" s="31"/>
      <c r="F41" s="28"/>
      <c r="G41" s="29"/>
      <c r="H41" s="30"/>
      <c r="I41" s="31"/>
      <c r="J41" s="28"/>
      <c r="K41" s="29"/>
      <c r="L41" s="30"/>
      <c r="M41" s="31"/>
      <c r="N41" s="1"/>
      <c r="O41" s="28"/>
      <c r="P41" s="29"/>
      <c r="Q41" s="30"/>
      <c r="R41" s="31"/>
      <c r="S41" s="28"/>
      <c r="T41" s="29"/>
      <c r="U41" s="30"/>
      <c r="V41" s="31"/>
      <c r="W41" s="28"/>
      <c r="X41" s="29"/>
      <c r="Y41" s="30"/>
      <c r="Z41" s="31"/>
      <c r="AA41" s="1"/>
      <c r="AB41" s="1"/>
      <c r="AC41" s="30"/>
      <c r="AD41" s="31"/>
      <c r="AE41" s="28"/>
      <c r="AF41" s="29"/>
      <c r="AG41" s="30"/>
      <c r="AH41" s="31"/>
      <c r="AI41" s="28"/>
      <c r="AJ41" s="29"/>
      <c r="AK41" s="30"/>
      <c r="AL41" s="31"/>
      <c r="AM41" s="28"/>
      <c r="AN41" s="29"/>
      <c r="AO41" s="16"/>
      <c r="AP41" s="1"/>
      <c r="AQ41" s="30"/>
      <c r="AR41" s="31"/>
      <c r="AS41" s="28"/>
      <c r="AT41" s="29"/>
      <c r="AU41" s="30"/>
      <c r="AV41" s="31"/>
      <c r="AW41" s="28"/>
      <c r="AX41" s="29"/>
      <c r="AY41" s="30"/>
      <c r="AZ41" s="31"/>
      <c r="BA41" s="28"/>
      <c r="BB41" s="29"/>
      <c r="BC41" s="1"/>
      <c r="BD41" s="1"/>
      <c r="BE41" s="28"/>
      <c r="BF41" s="29"/>
      <c r="BG41" s="30"/>
      <c r="BH41" s="31"/>
      <c r="BI41" s="28"/>
      <c r="BJ41" s="29"/>
      <c r="BK41" s="30"/>
      <c r="BL41" s="31"/>
      <c r="BM41" s="28"/>
      <c r="BN41" s="29"/>
      <c r="BO41" s="30"/>
      <c r="BP41" s="31"/>
      <c r="BQ41" s="1"/>
      <c r="BR41" s="30"/>
      <c r="BS41" s="31"/>
      <c r="BT41" s="28"/>
      <c r="BU41" s="29"/>
      <c r="BV41" s="30"/>
      <c r="BW41" s="31"/>
      <c r="BX41" s="28"/>
      <c r="BY41" s="29"/>
      <c r="BZ41" s="30"/>
      <c r="CA41" s="31"/>
      <c r="CB41" s="28"/>
      <c r="CC41" s="29"/>
    </row>
    <row r="42" spans="2:81" ht="15" thickBot="1">
      <c r="B42" s="27">
        <v>12</v>
      </c>
      <c r="C42" s="32"/>
      <c r="D42" s="33"/>
      <c r="E42" s="34"/>
      <c r="F42" s="27">
        <v>11</v>
      </c>
      <c r="G42" s="32"/>
      <c r="H42" s="33"/>
      <c r="I42" s="34"/>
      <c r="J42" s="27">
        <v>10</v>
      </c>
      <c r="K42" s="32"/>
      <c r="L42" s="33"/>
      <c r="M42" s="34"/>
      <c r="N42" s="1"/>
      <c r="O42" s="27">
        <v>7</v>
      </c>
      <c r="P42" s="32"/>
      <c r="Q42" s="33"/>
      <c r="R42" s="34"/>
      <c r="S42" s="27">
        <v>8</v>
      </c>
      <c r="T42" s="32"/>
      <c r="U42" s="33"/>
      <c r="V42" s="34"/>
      <c r="W42" s="27">
        <v>9</v>
      </c>
      <c r="X42" s="32"/>
      <c r="Y42" s="33"/>
      <c r="Z42" s="34"/>
      <c r="AA42" s="1"/>
      <c r="AB42" s="1"/>
      <c r="AC42" s="33"/>
      <c r="AD42" s="34"/>
      <c r="AE42" s="27">
        <v>12</v>
      </c>
      <c r="AF42" s="32"/>
      <c r="AG42" s="33"/>
      <c r="AH42" s="34"/>
      <c r="AI42" s="27">
        <v>11</v>
      </c>
      <c r="AJ42" s="32"/>
      <c r="AK42" s="33"/>
      <c r="AL42" s="34"/>
      <c r="AM42" s="27">
        <v>10</v>
      </c>
      <c r="AN42" s="32"/>
      <c r="AO42" s="16"/>
      <c r="AP42" s="1"/>
      <c r="AQ42" s="33"/>
      <c r="AR42" s="34"/>
      <c r="AS42" s="27">
        <v>7</v>
      </c>
      <c r="AT42" s="32"/>
      <c r="AU42" s="33"/>
      <c r="AV42" s="34"/>
      <c r="AW42" s="27">
        <v>8</v>
      </c>
      <c r="AX42" s="32"/>
      <c r="AY42" s="33"/>
      <c r="AZ42" s="34"/>
      <c r="BA42" s="27">
        <v>9</v>
      </c>
      <c r="BB42" s="32"/>
      <c r="BC42" s="1"/>
      <c r="BD42" s="1"/>
      <c r="BE42" s="27">
        <v>12</v>
      </c>
      <c r="BF42" s="32"/>
      <c r="BG42" s="33"/>
      <c r="BH42" s="34"/>
      <c r="BI42" s="27">
        <v>11</v>
      </c>
      <c r="BJ42" s="32"/>
      <c r="BK42" s="33"/>
      <c r="BL42" s="34"/>
      <c r="BM42" s="27">
        <v>10</v>
      </c>
      <c r="BN42" s="32"/>
      <c r="BO42" s="33"/>
      <c r="BP42" s="34"/>
      <c r="BQ42" s="1"/>
      <c r="BR42" s="33"/>
      <c r="BS42" s="34"/>
      <c r="BT42" s="27">
        <v>7</v>
      </c>
      <c r="BU42" s="32"/>
      <c r="BV42" s="33"/>
      <c r="BW42" s="34"/>
      <c r="BX42" s="27">
        <v>8</v>
      </c>
      <c r="BY42" s="32"/>
      <c r="BZ42" s="33"/>
      <c r="CA42" s="34"/>
      <c r="CB42" s="27">
        <v>9</v>
      </c>
      <c r="CC42" s="32"/>
    </row>
    <row r="43" spans="2:81">
      <c r="B43" s="30"/>
      <c r="C43" s="31"/>
      <c r="D43" s="28"/>
      <c r="E43" s="29"/>
      <c r="F43" s="30"/>
      <c r="G43" s="31"/>
      <c r="H43" s="28"/>
      <c r="I43" s="29"/>
      <c r="J43" s="30"/>
      <c r="K43" s="31"/>
      <c r="L43" s="28"/>
      <c r="M43" s="29"/>
      <c r="N43" s="1"/>
      <c r="O43" s="30"/>
      <c r="P43" s="31"/>
      <c r="Q43" s="28"/>
      <c r="R43" s="29"/>
      <c r="S43" s="30"/>
      <c r="T43" s="31"/>
      <c r="U43" s="28"/>
      <c r="V43" s="29"/>
      <c r="W43" s="30"/>
      <c r="X43" s="31"/>
      <c r="Y43" s="28"/>
      <c r="Z43" s="29"/>
      <c r="AA43" s="1"/>
      <c r="AB43" s="1"/>
      <c r="AC43" s="28"/>
      <c r="AD43" s="29"/>
      <c r="AE43" s="30"/>
      <c r="AF43" s="31"/>
      <c r="AG43" s="28"/>
      <c r="AH43" s="29"/>
      <c r="AI43" s="30"/>
      <c r="AJ43" s="31"/>
      <c r="AK43" s="28"/>
      <c r="AL43" s="29"/>
      <c r="AM43" s="30"/>
      <c r="AN43" s="31"/>
      <c r="AO43" s="16"/>
      <c r="AP43" s="1"/>
      <c r="AQ43" s="28"/>
      <c r="AR43" s="29"/>
      <c r="AS43" s="30"/>
      <c r="AT43" s="31"/>
      <c r="AU43" s="28"/>
      <c r="AV43" s="29"/>
      <c r="AW43" s="30"/>
      <c r="AX43" s="31"/>
      <c r="AY43" s="28"/>
      <c r="AZ43" s="29"/>
      <c r="BA43" s="30"/>
      <c r="BB43" s="31"/>
      <c r="BC43" s="1"/>
      <c r="BD43" s="1"/>
      <c r="BE43" s="30"/>
      <c r="BF43" s="31"/>
      <c r="BG43" s="28"/>
      <c r="BH43" s="29"/>
      <c r="BI43" s="30"/>
      <c r="BJ43" s="31"/>
      <c r="BK43" s="28"/>
      <c r="BL43" s="29"/>
      <c r="BM43" s="30"/>
      <c r="BN43" s="31"/>
      <c r="BO43" s="28"/>
      <c r="BP43" s="29"/>
      <c r="BQ43" s="1"/>
      <c r="BR43" s="28"/>
      <c r="BS43" s="29"/>
      <c r="BT43" s="30"/>
      <c r="BU43" s="31"/>
      <c r="BV43" s="28"/>
      <c r="BW43" s="29"/>
      <c r="BX43" s="30"/>
      <c r="BY43" s="31"/>
      <c r="BZ43" s="28"/>
      <c r="CA43" s="29"/>
      <c r="CB43" s="30"/>
      <c r="CC43" s="31"/>
    </row>
    <row r="44" spans="2:81" ht="15" thickBot="1">
      <c r="B44" s="33"/>
      <c r="C44" s="34"/>
      <c r="D44" s="27">
        <v>15</v>
      </c>
      <c r="E44" s="32"/>
      <c r="F44" s="33"/>
      <c r="G44" s="34"/>
      <c r="H44" s="27">
        <v>14</v>
      </c>
      <c r="I44" s="32"/>
      <c r="J44" s="33"/>
      <c r="K44" s="34"/>
      <c r="L44" s="27">
        <v>13</v>
      </c>
      <c r="M44" s="32"/>
      <c r="N44" s="1"/>
      <c r="O44" s="33"/>
      <c r="P44" s="34"/>
      <c r="Q44" s="27">
        <v>4</v>
      </c>
      <c r="R44" s="32"/>
      <c r="S44" s="33"/>
      <c r="T44" s="34"/>
      <c r="U44" s="27">
        <v>5</v>
      </c>
      <c r="V44" s="32"/>
      <c r="W44" s="33"/>
      <c r="X44" s="34"/>
      <c r="Y44" s="27">
        <v>6</v>
      </c>
      <c r="Z44" s="32"/>
      <c r="AA44" s="1"/>
      <c r="AB44" s="1"/>
      <c r="AC44" s="27">
        <v>15</v>
      </c>
      <c r="AD44" s="32"/>
      <c r="AE44" s="33"/>
      <c r="AF44" s="34"/>
      <c r="AG44" s="27">
        <v>14</v>
      </c>
      <c r="AH44" s="32"/>
      <c r="AI44" s="33"/>
      <c r="AJ44" s="34"/>
      <c r="AK44" s="27">
        <v>13</v>
      </c>
      <c r="AL44" s="32"/>
      <c r="AM44" s="33"/>
      <c r="AN44" s="34"/>
      <c r="AO44" s="16"/>
      <c r="AP44" s="1"/>
      <c r="AQ44" s="27">
        <v>4</v>
      </c>
      <c r="AR44" s="32"/>
      <c r="AS44" s="33"/>
      <c r="AT44" s="34"/>
      <c r="AU44" s="27">
        <v>5</v>
      </c>
      <c r="AV44" s="32"/>
      <c r="AW44" s="33"/>
      <c r="AX44" s="34"/>
      <c r="AY44" s="27">
        <v>6</v>
      </c>
      <c r="AZ44" s="32"/>
      <c r="BA44" s="33"/>
      <c r="BB44" s="34"/>
      <c r="BC44" s="1"/>
      <c r="BD44" s="1"/>
      <c r="BE44" s="33"/>
      <c r="BF44" s="34"/>
      <c r="BG44" s="27">
        <v>15</v>
      </c>
      <c r="BH44" s="32"/>
      <c r="BI44" s="33"/>
      <c r="BJ44" s="34"/>
      <c r="BK44" s="27">
        <v>14</v>
      </c>
      <c r="BL44" s="32"/>
      <c r="BM44" s="33"/>
      <c r="BN44" s="34"/>
      <c r="BO44" s="27">
        <v>13</v>
      </c>
      <c r="BP44" s="32"/>
      <c r="BQ44" s="1"/>
      <c r="BR44" s="27">
        <v>4</v>
      </c>
      <c r="BS44" s="32"/>
      <c r="BT44" s="33"/>
      <c r="BU44" s="34"/>
      <c r="BV44" s="27">
        <v>5</v>
      </c>
      <c r="BW44" s="32"/>
      <c r="BX44" s="33"/>
      <c r="BY44" s="34"/>
      <c r="BZ44" s="27">
        <v>6</v>
      </c>
      <c r="CA44" s="32"/>
      <c r="CB44" s="33"/>
      <c r="CC44" s="34"/>
    </row>
    <row r="45" spans="2:81">
      <c r="B45" s="28"/>
      <c r="C45" s="29"/>
      <c r="D45" s="30"/>
      <c r="E45" s="31"/>
      <c r="F45" s="28"/>
      <c r="G45" s="29"/>
      <c r="H45" s="30"/>
      <c r="I45" s="31"/>
      <c r="J45" s="28"/>
      <c r="K45" s="29"/>
      <c r="L45" s="30"/>
      <c r="M45" s="31"/>
      <c r="N45" s="1"/>
      <c r="O45" s="28"/>
      <c r="P45" s="29"/>
      <c r="Q45" s="30"/>
      <c r="R45" s="31"/>
      <c r="S45" s="28"/>
      <c r="T45" s="29"/>
      <c r="U45" s="30"/>
      <c r="V45" s="31"/>
      <c r="W45" s="28"/>
      <c r="X45" s="29"/>
      <c r="Y45" s="30"/>
      <c r="Z45" s="31"/>
      <c r="AA45" s="1"/>
      <c r="AB45" s="1"/>
      <c r="AC45" s="30"/>
      <c r="AD45" s="31"/>
      <c r="AE45" s="28"/>
      <c r="AF45" s="29"/>
      <c r="AG45" s="30"/>
      <c r="AH45" s="31"/>
      <c r="AI45" s="28"/>
      <c r="AJ45" s="29"/>
      <c r="AK45" s="30"/>
      <c r="AL45" s="31"/>
      <c r="AM45" s="28"/>
      <c r="AN45" s="29"/>
      <c r="AO45" s="16"/>
      <c r="AP45" s="1"/>
      <c r="AQ45" s="30"/>
      <c r="AR45" s="31"/>
      <c r="AS45" s="28"/>
      <c r="AT45" s="29"/>
      <c r="AU45" s="30"/>
      <c r="AV45" s="31"/>
      <c r="AW45" s="28"/>
      <c r="AX45" s="29"/>
      <c r="AY45" s="30"/>
      <c r="AZ45" s="31"/>
      <c r="BA45" s="28"/>
      <c r="BB45" s="29"/>
      <c r="BC45" s="1"/>
      <c r="BD45" s="1"/>
      <c r="BE45" s="28"/>
      <c r="BF45" s="29"/>
      <c r="BG45" s="30"/>
      <c r="BH45" s="31"/>
      <c r="BI45" s="28"/>
      <c r="BJ45" s="29"/>
      <c r="BK45" s="30"/>
      <c r="BL45" s="31"/>
      <c r="BM45" s="28"/>
      <c r="BN45" s="29"/>
      <c r="BO45" s="30"/>
      <c r="BP45" s="31"/>
      <c r="BQ45" s="1"/>
      <c r="BR45" s="30"/>
      <c r="BS45" s="31"/>
      <c r="BT45" s="28"/>
      <c r="BU45" s="29"/>
      <c r="BV45" s="30"/>
      <c r="BW45" s="31"/>
      <c r="BX45" s="28"/>
      <c r="BY45" s="29"/>
      <c r="BZ45" s="30"/>
      <c r="CA45" s="31"/>
      <c r="CB45" s="28"/>
      <c r="CC45" s="29"/>
    </row>
    <row r="46" spans="2:81" ht="15" thickBot="1">
      <c r="B46" s="27">
        <v>18</v>
      </c>
      <c r="C46" s="32"/>
      <c r="D46" s="33"/>
      <c r="E46" s="34"/>
      <c r="F46" s="27">
        <v>17</v>
      </c>
      <c r="G46" s="32"/>
      <c r="H46" s="33"/>
      <c r="I46" s="34"/>
      <c r="J46" s="27">
        <v>16</v>
      </c>
      <c r="K46" s="32"/>
      <c r="L46" s="33"/>
      <c r="M46" s="34"/>
      <c r="N46" s="1"/>
      <c r="O46" s="27">
        <v>1</v>
      </c>
      <c r="P46" s="32"/>
      <c r="Q46" s="33"/>
      <c r="R46" s="34"/>
      <c r="S46" s="27">
        <v>2</v>
      </c>
      <c r="T46" s="32"/>
      <c r="U46" s="33"/>
      <c r="V46" s="34"/>
      <c r="W46" s="27">
        <v>3</v>
      </c>
      <c r="X46" s="32"/>
      <c r="Y46" s="33"/>
      <c r="Z46" s="34"/>
      <c r="AA46" s="1"/>
      <c r="AB46" s="1"/>
      <c r="AC46" s="33"/>
      <c r="AD46" s="34"/>
      <c r="AE46" s="27">
        <v>18</v>
      </c>
      <c r="AF46" s="32"/>
      <c r="AG46" s="33"/>
      <c r="AH46" s="34"/>
      <c r="AI46" s="27">
        <v>17</v>
      </c>
      <c r="AJ46" s="32"/>
      <c r="AK46" s="33"/>
      <c r="AL46" s="34"/>
      <c r="AM46" s="27">
        <v>16</v>
      </c>
      <c r="AN46" s="32"/>
      <c r="AO46" s="16"/>
      <c r="AP46" s="1"/>
      <c r="AQ46" s="33"/>
      <c r="AR46" s="34"/>
      <c r="AS46" s="27">
        <v>1</v>
      </c>
      <c r="AT46" s="32"/>
      <c r="AU46" s="33"/>
      <c r="AV46" s="34"/>
      <c r="AW46" s="27">
        <v>2</v>
      </c>
      <c r="AX46" s="32"/>
      <c r="AY46" s="33"/>
      <c r="AZ46" s="34"/>
      <c r="BA46" s="27">
        <v>3</v>
      </c>
      <c r="BB46" s="32"/>
      <c r="BC46" s="1"/>
      <c r="BD46" s="1"/>
      <c r="BE46" s="27">
        <v>18</v>
      </c>
      <c r="BF46" s="32"/>
      <c r="BG46" s="33"/>
      <c r="BH46" s="34"/>
      <c r="BI46" s="27">
        <v>17</v>
      </c>
      <c r="BJ46" s="32"/>
      <c r="BK46" s="33"/>
      <c r="BL46" s="34"/>
      <c r="BM46" s="27">
        <v>16</v>
      </c>
      <c r="BN46" s="32"/>
      <c r="BO46" s="33"/>
      <c r="BP46" s="34"/>
      <c r="BQ46" s="1"/>
      <c r="BR46" s="33"/>
      <c r="BS46" s="34"/>
      <c r="BT46" s="27">
        <v>1</v>
      </c>
      <c r="BU46" s="32"/>
      <c r="BV46" s="33"/>
      <c r="BW46" s="34"/>
      <c r="BX46" s="27">
        <v>2</v>
      </c>
      <c r="BY46" s="32"/>
      <c r="BZ46" s="33"/>
      <c r="CA46" s="34"/>
      <c r="CB46" s="27">
        <v>3</v>
      </c>
      <c r="CC46" s="32"/>
    </row>
    <row r="47" spans="2:81" ht="16" thickBot="1">
      <c r="B47" s="19" t="s">
        <v>66</v>
      </c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9" t="s">
        <v>72</v>
      </c>
      <c r="P47" s="2"/>
      <c r="Q47" s="2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9" t="s">
        <v>81</v>
      </c>
      <c r="AD47" s="2"/>
      <c r="AE47" s="2"/>
      <c r="AF47" s="2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9" t="s">
        <v>82</v>
      </c>
      <c r="AR47" s="2"/>
      <c r="AS47" s="2"/>
      <c r="AT47" s="2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9" t="s">
        <v>93</v>
      </c>
      <c r="BF47" s="2"/>
      <c r="BG47" s="2"/>
      <c r="BH47" s="2"/>
      <c r="BI47" s="1"/>
      <c r="BJ47" s="1"/>
      <c r="BK47" s="1"/>
      <c r="BL47" s="1"/>
      <c r="BM47" s="1"/>
      <c r="BN47" s="1"/>
      <c r="BO47" s="1"/>
      <c r="BP47" s="1"/>
      <c r="BQ47" s="1"/>
      <c r="BR47" s="19" t="s">
        <v>94</v>
      </c>
      <c r="BS47" s="2"/>
      <c r="BT47" s="2"/>
      <c r="BU47" s="2"/>
      <c r="BV47" s="1"/>
      <c r="BW47" s="1"/>
      <c r="BX47" s="1"/>
      <c r="BY47" s="1"/>
      <c r="BZ47" s="1"/>
      <c r="CA47" s="1"/>
      <c r="CB47" s="1"/>
      <c r="CC47" s="1"/>
    </row>
    <row r="48" spans="2:81">
      <c r="B48" s="28"/>
      <c r="C48" s="29"/>
      <c r="D48" s="30"/>
      <c r="E48" s="31"/>
      <c r="F48" s="28"/>
      <c r="G48" s="29"/>
      <c r="H48" s="30"/>
      <c r="I48" s="31"/>
      <c r="J48" s="28"/>
      <c r="K48" s="29"/>
      <c r="L48" s="30"/>
      <c r="M48" s="31"/>
      <c r="N48" s="11"/>
      <c r="O48" s="28"/>
      <c r="P48" s="29"/>
      <c r="Q48" s="30"/>
      <c r="R48" s="31"/>
      <c r="S48" s="28"/>
      <c r="T48" s="29"/>
      <c r="U48" s="30"/>
      <c r="V48" s="31"/>
      <c r="W48" s="28"/>
      <c r="X48" s="29"/>
      <c r="Y48" s="30"/>
      <c r="Z48" s="31"/>
      <c r="AA48" s="1"/>
      <c r="AB48" s="1"/>
      <c r="AC48" s="30"/>
      <c r="AD48" s="31"/>
      <c r="AE48" s="28"/>
      <c r="AF48" s="29"/>
      <c r="AG48" s="30"/>
      <c r="AH48" s="31"/>
      <c r="AI48" s="28"/>
      <c r="AJ48" s="29"/>
      <c r="AK48" s="30"/>
      <c r="AL48" s="31"/>
      <c r="AM48" s="28"/>
      <c r="AN48" s="29"/>
      <c r="AO48" s="16"/>
      <c r="AP48" s="1"/>
      <c r="AQ48" s="28"/>
      <c r="AR48" s="29"/>
      <c r="AS48" s="30"/>
      <c r="AT48" s="31"/>
      <c r="AU48" s="28"/>
      <c r="AV48" s="29"/>
      <c r="AW48" s="30"/>
      <c r="AX48" s="31"/>
      <c r="AY48" s="28"/>
      <c r="AZ48" s="29"/>
      <c r="BA48" s="30"/>
      <c r="BB48" s="31"/>
      <c r="BC48" s="1"/>
      <c r="BD48" s="1"/>
      <c r="BE48" s="28"/>
      <c r="BF48" s="29"/>
      <c r="BG48" s="30"/>
      <c r="BH48" s="31"/>
      <c r="BI48" s="28"/>
      <c r="BJ48" s="29"/>
      <c r="BK48" s="30"/>
      <c r="BL48" s="31"/>
      <c r="BM48" s="28"/>
      <c r="BN48" s="29"/>
      <c r="BO48" s="30"/>
      <c r="BP48" s="31"/>
      <c r="BQ48" s="11"/>
      <c r="BR48" s="28"/>
      <c r="BS48" s="29"/>
      <c r="BT48" s="30"/>
      <c r="BU48" s="31"/>
      <c r="BV48" s="28"/>
      <c r="BW48" s="29"/>
      <c r="BX48" s="30"/>
      <c r="BY48" s="31"/>
      <c r="BZ48" s="28"/>
      <c r="CA48" s="29"/>
      <c r="CB48" s="30"/>
      <c r="CC48" s="31"/>
    </row>
    <row r="49" spans="2:81" ht="15" thickBot="1">
      <c r="B49" s="27">
        <v>3</v>
      </c>
      <c r="C49" s="32"/>
      <c r="D49" s="33"/>
      <c r="E49" s="34"/>
      <c r="F49" s="27">
        <v>2</v>
      </c>
      <c r="G49" s="32"/>
      <c r="H49" s="33"/>
      <c r="I49" s="34"/>
      <c r="J49" s="27">
        <v>1</v>
      </c>
      <c r="K49" s="32"/>
      <c r="L49" s="33"/>
      <c r="M49" s="34"/>
      <c r="N49" s="1"/>
      <c r="O49" s="27">
        <v>16</v>
      </c>
      <c r="P49" s="32"/>
      <c r="Q49" s="33"/>
      <c r="R49" s="34"/>
      <c r="S49" s="27">
        <v>17</v>
      </c>
      <c r="T49" s="32"/>
      <c r="U49" s="33"/>
      <c r="V49" s="34"/>
      <c r="W49" s="27">
        <v>18</v>
      </c>
      <c r="X49" s="32"/>
      <c r="Y49" s="33"/>
      <c r="Z49" s="34"/>
      <c r="AA49" s="1"/>
      <c r="AB49" s="1"/>
      <c r="AC49" s="33"/>
      <c r="AD49" s="34"/>
      <c r="AE49" s="27">
        <v>3</v>
      </c>
      <c r="AF49" s="32"/>
      <c r="AG49" s="33"/>
      <c r="AH49" s="34"/>
      <c r="AI49" s="27">
        <v>2</v>
      </c>
      <c r="AJ49" s="32"/>
      <c r="AK49" s="33"/>
      <c r="AL49" s="34"/>
      <c r="AM49" s="27">
        <v>1</v>
      </c>
      <c r="AN49" s="32"/>
      <c r="AO49" s="16"/>
      <c r="AP49" s="1"/>
      <c r="AQ49" s="27">
        <v>16</v>
      </c>
      <c r="AR49" s="32"/>
      <c r="AS49" s="33"/>
      <c r="AT49" s="34"/>
      <c r="AU49" s="27">
        <v>17</v>
      </c>
      <c r="AV49" s="32"/>
      <c r="AW49" s="33"/>
      <c r="AX49" s="34"/>
      <c r="AY49" s="27">
        <v>18</v>
      </c>
      <c r="AZ49" s="32"/>
      <c r="BA49" s="33"/>
      <c r="BB49" s="34"/>
      <c r="BC49" s="1"/>
      <c r="BD49" s="1"/>
      <c r="BE49" s="27">
        <v>3</v>
      </c>
      <c r="BF49" s="32"/>
      <c r="BG49" s="33"/>
      <c r="BH49" s="34"/>
      <c r="BI49" s="27">
        <v>2</v>
      </c>
      <c r="BJ49" s="32"/>
      <c r="BK49" s="33"/>
      <c r="BL49" s="34"/>
      <c r="BM49" s="27">
        <v>1</v>
      </c>
      <c r="BN49" s="32"/>
      <c r="BO49" s="33"/>
      <c r="BP49" s="34"/>
      <c r="BQ49" s="1"/>
      <c r="BR49" s="27">
        <v>16</v>
      </c>
      <c r="BS49" s="32"/>
      <c r="BT49" s="33"/>
      <c r="BU49" s="34"/>
      <c r="BV49" s="27">
        <v>17</v>
      </c>
      <c r="BW49" s="32"/>
      <c r="BX49" s="33"/>
      <c r="BY49" s="34"/>
      <c r="BZ49" s="27">
        <v>18</v>
      </c>
      <c r="CA49" s="32"/>
      <c r="CB49" s="33"/>
      <c r="CC49" s="34"/>
    </row>
    <row r="50" spans="2:81">
      <c r="B50" s="30"/>
      <c r="C50" s="31"/>
      <c r="D50" s="28"/>
      <c r="E50" s="29"/>
      <c r="F50" s="30"/>
      <c r="G50" s="31"/>
      <c r="H50" s="28"/>
      <c r="I50" s="29"/>
      <c r="J50" s="30"/>
      <c r="K50" s="31"/>
      <c r="L50" s="28"/>
      <c r="M50" s="29"/>
      <c r="N50" s="1"/>
      <c r="O50" s="30"/>
      <c r="P50" s="31"/>
      <c r="Q50" s="28"/>
      <c r="R50" s="29"/>
      <c r="S50" s="30"/>
      <c r="T50" s="31"/>
      <c r="U50" s="28"/>
      <c r="V50" s="29"/>
      <c r="W50" s="30"/>
      <c r="X50" s="31"/>
      <c r="Y50" s="28"/>
      <c r="Z50" s="29"/>
      <c r="AA50" s="1"/>
      <c r="AB50" s="1"/>
      <c r="AC50" s="28"/>
      <c r="AD50" s="29"/>
      <c r="AE50" s="30"/>
      <c r="AF50" s="31"/>
      <c r="AG50" s="28"/>
      <c r="AH50" s="29"/>
      <c r="AI50" s="30"/>
      <c r="AJ50" s="31"/>
      <c r="AK50" s="28"/>
      <c r="AL50" s="29"/>
      <c r="AM50" s="30"/>
      <c r="AN50" s="31"/>
      <c r="AO50" s="16"/>
      <c r="AP50" s="1"/>
      <c r="AQ50" s="30"/>
      <c r="AR50" s="31"/>
      <c r="AS50" s="28"/>
      <c r="AT50" s="29"/>
      <c r="AU50" s="30"/>
      <c r="AV50" s="31"/>
      <c r="AW50" s="28"/>
      <c r="AX50" s="29"/>
      <c r="AY50" s="30"/>
      <c r="AZ50" s="31"/>
      <c r="BA50" s="28"/>
      <c r="BB50" s="29"/>
      <c r="BC50" s="1"/>
      <c r="BD50" s="1"/>
      <c r="BE50" s="30"/>
      <c r="BF50" s="31"/>
      <c r="BG50" s="28"/>
      <c r="BH50" s="29"/>
      <c r="BI50" s="30"/>
      <c r="BJ50" s="31"/>
      <c r="BK50" s="28"/>
      <c r="BL50" s="29"/>
      <c r="BM50" s="30"/>
      <c r="BN50" s="31"/>
      <c r="BO50" s="28"/>
      <c r="BP50" s="29"/>
      <c r="BQ50" s="1"/>
      <c r="BR50" s="30"/>
      <c r="BS50" s="31"/>
      <c r="BT50" s="28"/>
      <c r="BU50" s="29"/>
      <c r="BV50" s="30"/>
      <c r="BW50" s="31"/>
      <c r="BX50" s="28"/>
      <c r="BY50" s="29"/>
      <c r="BZ50" s="30"/>
      <c r="CA50" s="31"/>
      <c r="CB50" s="28"/>
      <c r="CC50" s="29"/>
    </row>
    <row r="51" spans="2:81" ht="15" thickBot="1">
      <c r="B51" s="33"/>
      <c r="C51" s="34"/>
      <c r="D51" s="27">
        <v>6</v>
      </c>
      <c r="E51" s="32"/>
      <c r="F51" s="33"/>
      <c r="G51" s="34"/>
      <c r="H51" s="27">
        <v>5</v>
      </c>
      <c r="I51" s="32"/>
      <c r="J51" s="33"/>
      <c r="K51" s="34"/>
      <c r="L51" s="27">
        <v>4</v>
      </c>
      <c r="M51" s="32"/>
      <c r="N51" s="1"/>
      <c r="O51" s="33"/>
      <c r="P51" s="34"/>
      <c r="Q51" s="27">
        <v>13</v>
      </c>
      <c r="R51" s="32"/>
      <c r="S51" s="33"/>
      <c r="T51" s="34"/>
      <c r="U51" s="27">
        <v>14</v>
      </c>
      <c r="V51" s="32"/>
      <c r="W51" s="33"/>
      <c r="X51" s="34"/>
      <c r="Y51" s="27">
        <v>15</v>
      </c>
      <c r="Z51" s="32"/>
      <c r="AA51" s="1"/>
      <c r="AB51" s="1"/>
      <c r="AC51" s="27">
        <v>6</v>
      </c>
      <c r="AD51" s="32"/>
      <c r="AE51" s="33"/>
      <c r="AF51" s="34"/>
      <c r="AG51" s="27">
        <v>5</v>
      </c>
      <c r="AH51" s="32"/>
      <c r="AI51" s="33"/>
      <c r="AJ51" s="34"/>
      <c r="AK51" s="27">
        <v>4</v>
      </c>
      <c r="AL51" s="32"/>
      <c r="AM51" s="33"/>
      <c r="AN51" s="34"/>
      <c r="AO51" s="16"/>
      <c r="AP51" s="1"/>
      <c r="AQ51" s="33"/>
      <c r="AR51" s="34"/>
      <c r="AS51" s="27">
        <v>13</v>
      </c>
      <c r="AT51" s="32"/>
      <c r="AU51" s="33"/>
      <c r="AV51" s="34"/>
      <c r="AW51" s="27">
        <v>14</v>
      </c>
      <c r="AX51" s="32"/>
      <c r="AY51" s="33"/>
      <c r="AZ51" s="34"/>
      <c r="BA51" s="27">
        <v>15</v>
      </c>
      <c r="BB51" s="32"/>
      <c r="BC51" s="1"/>
      <c r="BD51" s="1"/>
      <c r="BE51" s="33"/>
      <c r="BF51" s="34"/>
      <c r="BG51" s="27">
        <v>6</v>
      </c>
      <c r="BH51" s="32"/>
      <c r="BI51" s="33"/>
      <c r="BJ51" s="34"/>
      <c r="BK51" s="27">
        <v>5</v>
      </c>
      <c r="BL51" s="32"/>
      <c r="BM51" s="33"/>
      <c r="BN51" s="34"/>
      <c r="BO51" s="27">
        <v>4</v>
      </c>
      <c r="BP51" s="32"/>
      <c r="BQ51" s="1"/>
      <c r="BR51" s="33"/>
      <c r="BS51" s="34"/>
      <c r="BT51" s="27">
        <v>13</v>
      </c>
      <c r="BU51" s="32"/>
      <c r="BV51" s="33"/>
      <c r="BW51" s="34"/>
      <c r="BX51" s="27">
        <v>14</v>
      </c>
      <c r="BY51" s="32"/>
      <c r="BZ51" s="33"/>
      <c r="CA51" s="34"/>
      <c r="CB51" s="27">
        <v>15</v>
      </c>
      <c r="CC51" s="32"/>
    </row>
    <row r="52" spans="2:81">
      <c r="B52" s="28"/>
      <c r="C52" s="29"/>
      <c r="D52" s="30"/>
      <c r="E52" s="31"/>
      <c r="F52" s="28"/>
      <c r="G52" s="29"/>
      <c r="H52" s="30"/>
      <c r="I52" s="31"/>
      <c r="J52" s="28"/>
      <c r="K52" s="29"/>
      <c r="L52" s="30"/>
      <c r="M52" s="31"/>
      <c r="N52" s="1"/>
      <c r="O52" s="28"/>
      <c r="P52" s="29"/>
      <c r="Q52" s="30"/>
      <c r="R52" s="31"/>
      <c r="S52" s="28"/>
      <c r="T52" s="29"/>
      <c r="U52" s="30"/>
      <c r="V52" s="31"/>
      <c r="W52" s="28"/>
      <c r="X52" s="29"/>
      <c r="Y52" s="30"/>
      <c r="Z52" s="31"/>
      <c r="AA52" s="1"/>
      <c r="AB52" s="1"/>
      <c r="AC52" s="30"/>
      <c r="AD52" s="31"/>
      <c r="AE52" s="28"/>
      <c r="AF52" s="29"/>
      <c r="AG52" s="30"/>
      <c r="AH52" s="31"/>
      <c r="AI52" s="28"/>
      <c r="AJ52" s="29"/>
      <c r="AK52" s="30"/>
      <c r="AL52" s="31"/>
      <c r="AM52" s="28"/>
      <c r="AN52" s="29"/>
      <c r="AO52" s="16"/>
      <c r="AP52" s="1"/>
      <c r="AQ52" s="28"/>
      <c r="AR52" s="29"/>
      <c r="AS52" s="30"/>
      <c r="AT52" s="31"/>
      <c r="AU52" s="28"/>
      <c r="AV52" s="29"/>
      <c r="AW52" s="30"/>
      <c r="AX52" s="31"/>
      <c r="AY52" s="28"/>
      <c r="AZ52" s="29"/>
      <c r="BA52" s="30"/>
      <c r="BB52" s="31"/>
      <c r="BC52" s="1"/>
      <c r="BD52" s="1"/>
      <c r="BE52" s="28"/>
      <c r="BF52" s="29"/>
      <c r="BG52" s="30"/>
      <c r="BH52" s="31"/>
      <c r="BI52" s="28"/>
      <c r="BJ52" s="29"/>
      <c r="BK52" s="30"/>
      <c r="BL52" s="31"/>
      <c r="BM52" s="28"/>
      <c r="BN52" s="29"/>
      <c r="BO52" s="30"/>
      <c r="BP52" s="31"/>
      <c r="BQ52" s="1"/>
      <c r="BR52" s="28"/>
      <c r="BS52" s="29"/>
      <c r="BT52" s="30"/>
      <c r="BU52" s="31"/>
      <c r="BV52" s="28"/>
      <c r="BW52" s="29"/>
      <c r="BX52" s="30"/>
      <c r="BY52" s="31"/>
      <c r="BZ52" s="28"/>
      <c r="CA52" s="29"/>
      <c r="CB52" s="30"/>
      <c r="CC52" s="31"/>
    </row>
    <row r="53" spans="2:81" ht="15" thickBot="1">
      <c r="B53" s="27">
        <v>9</v>
      </c>
      <c r="C53" s="32"/>
      <c r="D53" s="33"/>
      <c r="E53" s="34"/>
      <c r="F53" s="27">
        <v>8</v>
      </c>
      <c r="G53" s="32"/>
      <c r="H53" s="33"/>
      <c r="I53" s="34"/>
      <c r="J53" s="27">
        <v>7</v>
      </c>
      <c r="K53" s="32"/>
      <c r="L53" s="33"/>
      <c r="M53" s="34"/>
      <c r="N53" s="1"/>
      <c r="O53" s="27">
        <v>10</v>
      </c>
      <c r="P53" s="32"/>
      <c r="Q53" s="33"/>
      <c r="R53" s="34"/>
      <c r="S53" s="27">
        <v>11</v>
      </c>
      <c r="T53" s="32"/>
      <c r="U53" s="33"/>
      <c r="V53" s="34"/>
      <c r="W53" s="27">
        <v>12</v>
      </c>
      <c r="X53" s="32"/>
      <c r="Y53" s="33"/>
      <c r="Z53" s="34"/>
      <c r="AA53" s="1"/>
      <c r="AB53" s="1"/>
      <c r="AC53" s="33"/>
      <c r="AD53" s="34"/>
      <c r="AE53" s="27">
        <v>9</v>
      </c>
      <c r="AF53" s="32"/>
      <c r="AG53" s="33"/>
      <c r="AH53" s="34"/>
      <c r="AI53" s="27">
        <v>8</v>
      </c>
      <c r="AJ53" s="32"/>
      <c r="AK53" s="33"/>
      <c r="AL53" s="34"/>
      <c r="AM53" s="27">
        <v>7</v>
      </c>
      <c r="AN53" s="32"/>
      <c r="AO53" s="16"/>
      <c r="AP53" s="1"/>
      <c r="AQ53" s="27">
        <v>10</v>
      </c>
      <c r="AR53" s="32"/>
      <c r="AS53" s="33"/>
      <c r="AT53" s="34"/>
      <c r="AU53" s="27">
        <v>11</v>
      </c>
      <c r="AV53" s="32"/>
      <c r="AW53" s="33"/>
      <c r="AX53" s="34"/>
      <c r="AY53" s="27">
        <v>12</v>
      </c>
      <c r="AZ53" s="32"/>
      <c r="BA53" s="33"/>
      <c r="BB53" s="34"/>
      <c r="BC53" s="1"/>
      <c r="BD53" s="1"/>
      <c r="BE53" s="27">
        <v>9</v>
      </c>
      <c r="BF53" s="32"/>
      <c r="BG53" s="33"/>
      <c r="BH53" s="34"/>
      <c r="BI53" s="27">
        <v>8</v>
      </c>
      <c r="BJ53" s="32"/>
      <c r="BK53" s="33"/>
      <c r="BL53" s="34"/>
      <c r="BM53" s="27">
        <v>7</v>
      </c>
      <c r="BN53" s="32"/>
      <c r="BO53" s="33"/>
      <c r="BP53" s="34"/>
      <c r="BQ53" s="1"/>
      <c r="BR53" s="27">
        <v>10</v>
      </c>
      <c r="BS53" s="32"/>
      <c r="BT53" s="33"/>
      <c r="BU53" s="34"/>
      <c r="BV53" s="27">
        <v>11</v>
      </c>
      <c r="BW53" s="32"/>
      <c r="BX53" s="33"/>
      <c r="BY53" s="34"/>
      <c r="BZ53" s="27">
        <v>12</v>
      </c>
      <c r="CA53" s="32"/>
      <c r="CB53" s="33"/>
      <c r="CC53" s="34"/>
    </row>
    <row r="54" spans="2:81">
      <c r="B54" s="30"/>
      <c r="C54" s="31"/>
      <c r="D54" s="28"/>
      <c r="E54" s="29"/>
      <c r="F54" s="30"/>
      <c r="G54" s="31"/>
      <c r="H54" s="28"/>
      <c r="I54" s="29"/>
      <c r="J54" s="30"/>
      <c r="K54" s="31"/>
      <c r="L54" s="28"/>
      <c r="M54" s="29"/>
      <c r="N54" s="1"/>
      <c r="O54" s="30"/>
      <c r="P54" s="31"/>
      <c r="Q54" s="28"/>
      <c r="R54" s="29"/>
      <c r="S54" s="30"/>
      <c r="T54" s="31"/>
      <c r="U54" s="28"/>
      <c r="V54" s="29"/>
      <c r="W54" s="30"/>
      <c r="X54" s="31"/>
      <c r="Y54" s="28"/>
      <c r="Z54" s="29"/>
      <c r="AA54" s="1"/>
      <c r="AB54" s="1"/>
      <c r="AC54" s="28"/>
      <c r="AD54" s="29"/>
      <c r="AE54" s="30"/>
      <c r="AF54" s="31"/>
      <c r="AG54" s="28"/>
      <c r="AH54" s="29"/>
      <c r="AI54" s="30"/>
      <c r="AJ54" s="31"/>
      <c r="AK54" s="28"/>
      <c r="AL54" s="29"/>
      <c r="AM54" s="30"/>
      <c r="AN54" s="31"/>
      <c r="AO54" s="16"/>
      <c r="AP54" s="1"/>
      <c r="AQ54" s="30"/>
      <c r="AR54" s="31"/>
      <c r="AS54" s="28"/>
      <c r="AT54" s="29"/>
      <c r="AU54" s="30"/>
      <c r="AV54" s="31"/>
      <c r="AW54" s="28"/>
      <c r="AX54" s="29"/>
      <c r="AY54" s="30"/>
      <c r="AZ54" s="31"/>
      <c r="BA54" s="28"/>
      <c r="BB54" s="29"/>
      <c r="BC54" s="1"/>
      <c r="BD54" s="1"/>
      <c r="BE54" s="30"/>
      <c r="BF54" s="31"/>
      <c r="BG54" s="28"/>
      <c r="BH54" s="29"/>
      <c r="BI54" s="30"/>
      <c r="BJ54" s="31"/>
      <c r="BK54" s="28"/>
      <c r="BL54" s="29"/>
      <c r="BM54" s="30"/>
      <c r="BN54" s="31"/>
      <c r="BO54" s="28"/>
      <c r="BP54" s="29"/>
      <c r="BQ54" s="1"/>
      <c r="BR54" s="30"/>
      <c r="BS54" s="31"/>
      <c r="BT54" s="28"/>
      <c r="BU54" s="29"/>
      <c r="BV54" s="30"/>
      <c r="BW54" s="31"/>
      <c r="BX54" s="28"/>
      <c r="BY54" s="29"/>
      <c r="BZ54" s="30"/>
      <c r="CA54" s="31"/>
      <c r="CB54" s="28"/>
      <c r="CC54" s="29"/>
    </row>
    <row r="55" spans="2:81" ht="15" thickBot="1">
      <c r="B55" s="33"/>
      <c r="C55" s="34"/>
      <c r="D55" s="27">
        <v>12</v>
      </c>
      <c r="E55" s="32"/>
      <c r="F55" s="33"/>
      <c r="G55" s="34"/>
      <c r="H55" s="27">
        <v>11</v>
      </c>
      <c r="I55" s="32"/>
      <c r="J55" s="33"/>
      <c r="K55" s="34"/>
      <c r="L55" s="27">
        <v>10</v>
      </c>
      <c r="M55" s="32"/>
      <c r="N55" s="1"/>
      <c r="O55" s="33"/>
      <c r="P55" s="34"/>
      <c r="Q55" s="27">
        <v>7</v>
      </c>
      <c r="R55" s="32"/>
      <c r="S55" s="33"/>
      <c r="T55" s="34"/>
      <c r="U55" s="27">
        <v>8</v>
      </c>
      <c r="V55" s="32"/>
      <c r="W55" s="33"/>
      <c r="X55" s="34"/>
      <c r="Y55" s="27">
        <v>9</v>
      </c>
      <c r="Z55" s="32"/>
      <c r="AA55" s="1"/>
      <c r="AB55" s="1"/>
      <c r="AC55" s="27">
        <v>12</v>
      </c>
      <c r="AD55" s="32"/>
      <c r="AE55" s="33"/>
      <c r="AF55" s="34"/>
      <c r="AG55" s="27">
        <v>11</v>
      </c>
      <c r="AH55" s="32"/>
      <c r="AI55" s="33"/>
      <c r="AJ55" s="34"/>
      <c r="AK55" s="27">
        <v>10</v>
      </c>
      <c r="AL55" s="32"/>
      <c r="AM55" s="33"/>
      <c r="AN55" s="34"/>
      <c r="AO55" s="16"/>
      <c r="AP55" s="1"/>
      <c r="AQ55" s="33"/>
      <c r="AR55" s="34"/>
      <c r="AS55" s="27">
        <v>7</v>
      </c>
      <c r="AT55" s="32"/>
      <c r="AU55" s="33"/>
      <c r="AV55" s="34"/>
      <c r="AW55" s="27">
        <v>8</v>
      </c>
      <c r="AX55" s="32"/>
      <c r="AY55" s="33"/>
      <c r="AZ55" s="34"/>
      <c r="BA55" s="27">
        <v>9</v>
      </c>
      <c r="BB55" s="32"/>
      <c r="BC55" s="1"/>
      <c r="BD55" s="1"/>
      <c r="BE55" s="33"/>
      <c r="BF55" s="34"/>
      <c r="BG55" s="27">
        <v>12</v>
      </c>
      <c r="BH55" s="32"/>
      <c r="BI55" s="33"/>
      <c r="BJ55" s="34"/>
      <c r="BK55" s="27">
        <v>11</v>
      </c>
      <c r="BL55" s="32"/>
      <c r="BM55" s="33"/>
      <c r="BN55" s="34"/>
      <c r="BO55" s="27">
        <v>10</v>
      </c>
      <c r="BP55" s="32"/>
      <c r="BQ55" s="1"/>
      <c r="BR55" s="33"/>
      <c r="BS55" s="34"/>
      <c r="BT55" s="27">
        <v>7</v>
      </c>
      <c r="BU55" s="32"/>
      <c r="BV55" s="33"/>
      <c r="BW55" s="34"/>
      <c r="BX55" s="27">
        <v>8</v>
      </c>
      <c r="BY55" s="32"/>
      <c r="BZ55" s="33"/>
      <c r="CA55" s="34"/>
      <c r="CB55" s="27">
        <v>9</v>
      </c>
      <c r="CC55" s="32"/>
    </row>
    <row r="56" spans="2:81">
      <c r="B56" s="28"/>
      <c r="C56" s="29"/>
      <c r="D56" s="30"/>
      <c r="E56" s="31"/>
      <c r="F56" s="28"/>
      <c r="G56" s="29"/>
      <c r="H56" s="30"/>
      <c r="I56" s="31"/>
      <c r="J56" s="28"/>
      <c r="K56" s="29"/>
      <c r="L56" s="30"/>
      <c r="M56" s="31"/>
      <c r="N56" s="1"/>
      <c r="O56" s="28"/>
      <c r="P56" s="29"/>
      <c r="Q56" s="30"/>
      <c r="R56" s="31"/>
      <c r="S56" s="28"/>
      <c r="T56" s="29"/>
      <c r="U56" s="30"/>
      <c r="V56" s="31"/>
      <c r="W56" s="28"/>
      <c r="X56" s="29"/>
      <c r="Y56" s="30"/>
      <c r="Z56" s="31"/>
      <c r="AA56" s="1"/>
      <c r="AB56" s="1"/>
      <c r="AC56" s="30"/>
      <c r="AD56" s="31"/>
      <c r="AE56" s="28"/>
      <c r="AF56" s="29"/>
      <c r="AG56" s="30"/>
      <c r="AH56" s="31"/>
      <c r="AI56" s="28"/>
      <c r="AJ56" s="29"/>
      <c r="AK56" s="30"/>
      <c r="AL56" s="31"/>
      <c r="AM56" s="28"/>
      <c r="AN56" s="29"/>
      <c r="AO56" s="16"/>
      <c r="AP56" s="1"/>
      <c r="AQ56" s="28"/>
      <c r="AR56" s="29"/>
      <c r="AS56" s="30"/>
      <c r="AT56" s="31"/>
      <c r="AU56" s="28"/>
      <c r="AV56" s="29"/>
      <c r="AW56" s="30"/>
      <c r="AX56" s="31"/>
      <c r="AY56" s="28"/>
      <c r="AZ56" s="29"/>
      <c r="BA56" s="30"/>
      <c r="BB56" s="31"/>
      <c r="BC56" s="1"/>
      <c r="BD56" s="1"/>
      <c r="BE56" s="28"/>
      <c r="BF56" s="29"/>
      <c r="BG56" s="30"/>
      <c r="BH56" s="31"/>
      <c r="BI56" s="28"/>
      <c r="BJ56" s="29"/>
      <c r="BK56" s="30"/>
      <c r="BL56" s="31"/>
      <c r="BM56" s="28"/>
      <c r="BN56" s="29"/>
      <c r="BO56" s="30"/>
      <c r="BP56" s="31"/>
      <c r="BQ56" s="1"/>
      <c r="BR56" s="28"/>
      <c r="BS56" s="29"/>
      <c r="BT56" s="30"/>
      <c r="BU56" s="31"/>
      <c r="BV56" s="28"/>
      <c r="BW56" s="29"/>
      <c r="BX56" s="30"/>
      <c r="BY56" s="31"/>
      <c r="BZ56" s="28"/>
      <c r="CA56" s="29"/>
      <c r="CB56" s="30"/>
      <c r="CC56" s="31"/>
    </row>
    <row r="57" spans="2:81" ht="15" thickBot="1">
      <c r="B57" s="27">
        <v>15</v>
      </c>
      <c r="C57" s="32"/>
      <c r="D57" s="33"/>
      <c r="E57" s="34"/>
      <c r="F57" s="27">
        <v>14</v>
      </c>
      <c r="G57" s="32"/>
      <c r="H57" s="33"/>
      <c r="I57" s="34"/>
      <c r="J57" s="27">
        <v>13</v>
      </c>
      <c r="K57" s="32"/>
      <c r="L57" s="33"/>
      <c r="M57" s="34"/>
      <c r="N57" s="1"/>
      <c r="O57" s="27">
        <v>4</v>
      </c>
      <c r="P57" s="32"/>
      <c r="Q57" s="33"/>
      <c r="R57" s="34"/>
      <c r="S57" s="27">
        <v>5</v>
      </c>
      <c r="T57" s="32"/>
      <c r="U57" s="33"/>
      <c r="V57" s="34"/>
      <c r="W57" s="27">
        <v>6</v>
      </c>
      <c r="X57" s="32"/>
      <c r="Y57" s="33"/>
      <c r="Z57" s="34"/>
      <c r="AA57" s="1"/>
      <c r="AB57" s="1"/>
      <c r="AC57" s="33"/>
      <c r="AD57" s="34"/>
      <c r="AE57" s="27">
        <v>15</v>
      </c>
      <c r="AF57" s="32"/>
      <c r="AG57" s="33"/>
      <c r="AH57" s="34"/>
      <c r="AI57" s="27">
        <v>14</v>
      </c>
      <c r="AJ57" s="32"/>
      <c r="AK57" s="33"/>
      <c r="AL57" s="34"/>
      <c r="AM57" s="27">
        <v>13</v>
      </c>
      <c r="AN57" s="32"/>
      <c r="AO57" s="16"/>
      <c r="AP57" s="1"/>
      <c r="AQ57" s="27">
        <v>4</v>
      </c>
      <c r="AR57" s="32"/>
      <c r="AS57" s="33"/>
      <c r="AT57" s="34"/>
      <c r="AU57" s="27">
        <v>5</v>
      </c>
      <c r="AV57" s="32"/>
      <c r="AW57" s="33"/>
      <c r="AX57" s="34"/>
      <c r="AY57" s="27">
        <v>6</v>
      </c>
      <c r="AZ57" s="32"/>
      <c r="BA57" s="33"/>
      <c r="BB57" s="34"/>
      <c r="BC57" s="1"/>
      <c r="BD57" s="1"/>
      <c r="BE57" s="27">
        <v>15</v>
      </c>
      <c r="BF57" s="32"/>
      <c r="BG57" s="33"/>
      <c r="BH57" s="34"/>
      <c r="BI57" s="27">
        <v>14</v>
      </c>
      <c r="BJ57" s="32"/>
      <c r="BK57" s="33"/>
      <c r="BL57" s="34"/>
      <c r="BM57" s="27">
        <v>13</v>
      </c>
      <c r="BN57" s="32"/>
      <c r="BO57" s="33"/>
      <c r="BP57" s="34"/>
      <c r="BQ57" s="1"/>
      <c r="BR57" s="27">
        <v>4</v>
      </c>
      <c r="BS57" s="32"/>
      <c r="BT57" s="33"/>
      <c r="BU57" s="34"/>
      <c r="BV57" s="27">
        <v>5</v>
      </c>
      <c r="BW57" s="32"/>
      <c r="BX57" s="33"/>
      <c r="BY57" s="34"/>
      <c r="BZ57" s="27">
        <v>6</v>
      </c>
      <c r="CA57" s="32"/>
      <c r="CB57" s="33"/>
      <c r="CC57" s="34"/>
    </row>
    <row r="58" spans="2:81">
      <c r="B58" s="30"/>
      <c r="C58" s="31"/>
      <c r="D58" s="28"/>
      <c r="E58" s="29"/>
      <c r="F58" s="30"/>
      <c r="G58" s="31"/>
      <c r="H58" s="28"/>
      <c r="I58" s="29"/>
      <c r="J58" s="30"/>
      <c r="K58" s="31"/>
      <c r="L58" s="28"/>
      <c r="M58" s="29"/>
      <c r="N58" s="1"/>
      <c r="O58" s="30"/>
      <c r="P58" s="31"/>
      <c r="Q58" s="28"/>
      <c r="R58" s="29"/>
      <c r="S58" s="30"/>
      <c r="T58" s="31"/>
      <c r="U58" s="28"/>
      <c r="V58" s="29"/>
      <c r="W58" s="30"/>
      <c r="X58" s="31"/>
      <c r="Y58" s="28"/>
      <c r="Z58" s="29"/>
      <c r="AA58" s="1"/>
      <c r="AB58" s="1"/>
      <c r="AC58" s="28"/>
      <c r="AD58" s="29"/>
      <c r="AE58" s="30"/>
      <c r="AF58" s="31"/>
      <c r="AG58" s="28"/>
      <c r="AH58" s="29"/>
      <c r="AI58" s="30"/>
      <c r="AJ58" s="31"/>
      <c r="AK58" s="28"/>
      <c r="AL58" s="29"/>
      <c r="AM58" s="30"/>
      <c r="AN58" s="31"/>
      <c r="AO58" s="16"/>
      <c r="AP58" s="1"/>
      <c r="AQ58" s="30"/>
      <c r="AR58" s="31"/>
      <c r="AS58" s="28"/>
      <c r="AT58" s="29"/>
      <c r="AU58" s="30"/>
      <c r="AV58" s="31"/>
      <c r="AW58" s="28"/>
      <c r="AX58" s="29"/>
      <c r="AY58" s="30"/>
      <c r="AZ58" s="31"/>
      <c r="BA58" s="28"/>
      <c r="BB58" s="29"/>
      <c r="BC58" s="1"/>
      <c r="BD58" s="1"/>
      <c r="BE58" s="30"/>
      <c r="BF58" s="31"/>
      <c r="BG58" s="28"/>
      <c r="BH58" s="29"/>
      <c r="BI58" s="30"/>
      <c r="BJ58" s="31"/>
      <c r="BK58" s="28"/>
      <c r="BL58" s="29"/>
      <c r="BM58" s="30"/>
      <c r="BN58" s="31"/>
      <c r="BO58" s="28"/>
      <c r="BP58" s="29"/>
      <c r="BQ58" s="1"/>
      <c r="BR58" s="30"/>
      <c r="BS58" s="31"/>
      <c r="BT58" s="28"/>
      <c r="BU58" s="29"/>
      <c r="BV58" s="30"/>
      <c r="BW58" s="31"/>
      <c r="BX58" s="28"/>
      <c r="BY58" s="29"/>
      <c r="BZ58" s="30"/>
      <c r="CA58" s="31"/>
      <c r="CB58" s="28"/>
      <c r="CC58" s="29"/>
    </row>
    <row r="59" spans="2:81" ht="15" thickBot="1">
      <c r="B59" s="33"/>
      <c r="C59" s="34"/>
      <c r="D59" s="27">
        <v>18</v>
      </c>
      <c r="E59" s="32"/>
      <c r="F59" s="33"/>
      <c r="G59" s="34"/>
      <c r="H59" s="27">
        <v>17</v>
      </c>
      <c r="I59" s="32"/>
      <c r="J59" s="33"/>
      <c r="K59" s="34"/>
      <c r="L59" s="27">
        <v>16</v>
      </c>
      <c r="M59" s="32"/>
      <c r="N59" s="1"/>
      <c r="O59" s="33"/>
      <c r="P59" s="34"/>
      <c r="Q59" s="27">
        <v>1</v>
      </c>
      <c r="R59" s="32"/>
      <c r="S59" s="33"/>
      <c r="T59" s="34"/>
      <c r="U59" s="27">
        <v>2</v>
      </c>
      <c r="V59" s="32"/>
      <c r="W59" s="33"/>
      <c r="X59" s="34"/>
      <c r="Y59" s="27">
        <v>3</v>
      </c>
      <c r="Z59" s="32"/>
      <c r="AA59" s="1"/>
      <c r="AB59" s="1"/>
      <c r="AC59" s="27">
        <v>18</v>
      </c>
      <c r="AD59" s="32"/>
      <c r="AE59" s="33"/>
      <c r="AF59" s="34"/>
      <c r="AG59" s="27">
        <v>17</v>
      </c>
      <c r="AH59" s="32"/>
      <c r="AI59" s="33"/>
      <c r="AJ59" s="34"/>
      <c r="AK59" s="27">
        <v>16</v>
      </c>
      <c r="AL59" s="32"/>
      <c r="AM59" s="33"/>
      <c r="AN59" s="34"/>
      <c r="AO59" s="16"/>
      <c r="AP59" s="1"/>
      <c r="AQ59" s="33"/>
      <c r="AR59" s="34"/>
      <c r="AS59" s="27">
        <v>1</v>
      </c>
      <c r="AT59" s="32"/>
      <c r="AU59" s="33"/>
      <c r="AV59" s="34"/>
      <c r="AW59" s="27">
        <v>2</v>
      </c>
      <c r="AX59" s="32"/>
      <c r="AY59" s="33"/>
      <c r="AZ59" s="34"/>
      <c r="BA59" s="27">
        <v>3</v>
      </c>
      <c r="BB59" s="32"/>
      <c r="BC59" s="1"/>
      <c r="BD59" s="1"/>
      <c r="BE59" s="33"/>
      <c r="BF59" s="34"/>
      <c r="BG59" s="27">
        <v>18</v>
      </c>
      <c r="BH59" s="32"/>
      <c r="BI59" s="33"/>
      <c r="BJ59" s="34"/>
      <c r="BK59" s="27">
        <v>17</v>
      </c>
      <c r="BL59" s="32"/>
      <c r="BM59" s="33"/>
      <c r="BN59" s="34"/>
      <c r="BO59" s="27">
        <v>16</v>
      </c>
      <c r="BP59" s="32"/>
      <c r="BQ59" s="1"/>
      <c r="BR59" s="33"/>
      <c r="BS59" s="34"/>
      <c r="BT59" s="27">
        <v>1</v>
      </c>
      <c r="BU59" s="32"/>
      <c r="BV59" s="33"/>
      <c r="BW59" s="34"/>
      <c r="BX59" s="27">
        <v>2</v>
      </c>
      <c r="BY59" s="32"/>
      <c r="BZ59" s="33"/>
      <c r="CA59" s="34"/>
      <c r="CB59" s="27">
        <v>3</v>
      </c>
      <c r="CC59" s="32"/>
    </row>
    <row r="60" spans="2:81" ht="16" thickBot="1">
      <c r="B60" s="19" t="s">
        <v>67</v>
      </c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9" t="s">
        <v>73</v>
      </c>
      <c r="P60" s="2"/>
      <c r="Q60" s="2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9" t="s">
        <v>83</v>
      </c>
      <c r="AD60" s="2"/>
      <c r="AE60" s="2"/>
      <c r="AF60" s="2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9" t="s">
        <v>84</v>
      </c>
      <c r="AR60" s="2"/>
      <c r="AS60" s="2"/>
      <c r="AT60" s="2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9" t="s">
        <v>95</v>
      </c>
      <c r="BF60" s="2"/>
      <c r="BG60" s="2"/>
      <c r="BH60" s="2"/>
      <c r="BI60" s="1"/>
      <c r="BJ60" s="1"/>
      <c r="BK60" s="1"/>
      <c r="BL60" s="1"/>
      <c r="BM60" s="1"/>
      <c r="BN60" s="1"/>
      <c r="BO60" s="1"/>
      <c r="BP60" s="1"/>
      <c r="BQ60" s="1"/>
      <c r="BR60" s="19" t="s">
        <v>96</v>
      </c>
      <c r="BS60" s="2"/>
      <c r="BT60" s="2"/>
      <c r="BU60" s="2"/>
      <c r="BV60" s="1"/>
      <c r="BW60" s="1"/>
      <c r="BX60" s="1"/>
      <c r="BY60" s="1"/>
      <c r="BZ60" s="1"/>
      <c r="CA60" s="1"/>
      <c r="CB60" s="1"/>
      <c r="CC60" s="1"/>
    </row>
    <row r="61" spans="2:81">
      <c r="B61" s="28"/>
      <c r="C61" s="29"/>
      <c r="D61" s="30"/>
      <c r="E61" s="31"/>
      <c r="F61" s="28"/>
      <c r="G61" s="29"/>
      <c r="H61" s="30"/>
      <c r="I61" s="31"/>
      <c r="J61" s="28"/>
      <c r="K61" s="29"/>
      <c r="L61" s="30"/>
      <c r="M61" s="31"/>
      <c r="N61" s="11"/>
      <c r="O61" s="28"/>
      <c r="P61" s="29"/>
      <c r="Q61" s="30"/>
      <c r="R61" s="31"/>
      <c r="S61" s="28"/>
      <c r="T61" s="29"/>
      <c r="U61" s="30"/>
      <c r="V61" s="31"/>
      <c r="W61" s="28"/>
      <c r="X61" s="29"/>
      <c r="Y61" s="30"/>
      <c r="Z61" s="31"/>
      <c r="AA61" s="1"/>
      <c r="AB61" s="1"/>
      <c r="AC61" s="28"/>
      <c r="AD61" s="29"/>
      <c r="AE61" s="30"/>
      <c r="AF61" s="31"/>
      <c r="AG61" s="28"/>
      <c r="AH61" s="29"/>
      <c r="AI61" s="30"/>
      <c r="AJ61" s="31"/>
      <c r="AK61" s="28"/>
      <c r="AL61" s="29"/>
      <c r="AM61" s="30"/>
      <c r="AN61" s="31"/>
      <c r="AO61" s="16"/>
      <c r="AP61" s="1"/>
      <c r="AQ61" s="28"/>
      <c r="AR61" s="29"/>
      <c r="AS61" s="30"/>
      <c r="AT61" s="31"/>
      <c r="AU61" s="28"/>
      <c r="AV61" s="29"/>
      <c r="AW61" s="30"/>
      <c r="AX61" s="31"/>
      <c r="AY61" s="28"/>
      <c r="AZ61" s="29"/>
      <c r="BA61" s="30"/>
      <c r="BB61" s="31"/>
      <c r="BC61" s="1"/>
      <c r="BD61" s="13"/>
      <c r="BE61" s="28"/>
      <c r="BF61" s="29"/>
      <c r="BG61" s="30"/>
      <c r="BH61" s="31"/>
      <c r="BI61" s="28"/>
      <c r="BJ61" s="29"/>
      <c r="BK61" s="30"/>
      <c r="BL61" s="31"/>
      <c r="BM61" s="28"/>
      <c r="BN61" s="29"/>
      <c r="BO61" s="30"/>
      <c r="BP61" s="31"/>
      <c r="BQ61" s="11"/>
      <c r="BR61" s="30"/>
      <c r="BS61" s="31"/>
      <c r="BT61" s="28"/>
      <c r="BU61" s="29"/>
      <c r="BV61" s="30"/>
      <c r="BW61" s="31"/>
      <c r="BX61" s="28"/>
      <c r="BY61" s="29"/>
      <c r="BZ61" s="30"/>
      <c r="CA61" s="31"/>
      <c r="CB61" s="28"/>
      <c r="CC61" s="29"/>
    </row>
    <row r="62" spans="2:81" ht="15" thickBot="1">
      <c r="B62" s="27">
        <v>3</v>
      </c>
      <c r="C62" s="32"/>
      <c r="D62" s="33"/>
      <c r="E62" s="34"/>
      <c r="F62" s="27">
        <v>2</v>
      </c>
      <c r="G62" s="32"/>
      <c r="H62" s="33"/>
      <c r="I62" s="34"/>
      <c r="J62" s="27">
        <v>1</v>
      </c>
      <c r="K62" s="32"/>
      <c r="L62" s="33"/>
      <c r="M62" s="34"/>
      <c r="N62" s="1"/>
      <c r="O62" s="27">
        <v>16</v>
      </c>
      <c r="P62" s="32"/>
      <c r="Q62" s="33"/>
      <c r="R62" s="34"/>
      <c r="S62" s="27">
        <v>17</v>
      </c>
      <c r="T62" s="32"/>
      <c r="U62" s="33"/>
      <c r="V62" s="34"/>
      <c r="W62" s="27">
        <v>18</v>
      </c>
      <c r="X62" s="32"/>
      <c r="Y62" s="33"/>
      <c r="Z62" s="34"/>
      <c r="AA62" s="1"/>
      <c r="AB62" s="1"/>
      <c r="AC62" s="27">
        <v>3</v>
      </c>
      <c r="AD62" s="32"/>
      <c r="AE62" s="33"/>
      <c r="AF62" s="34"/>
      <c r="AG62" s="27">
        <v>2</v>
      </c>
      <c r="AH62" s="32"/>
      <c r="AI62" s="33"/>
      <c r="AJ62" s="34"/>
      <c r="AK62" s="27">
        <v>1</v>
      </c>
      <c r="AL62" s="32"/>
      <c r="AM62" s="33"/>
      <c r="AN62" s="34"/>
      <c r="AO62" s="16"/>
      <c r="AP62" s="1"/>
      <c r="AQ62" s="27">
        <v>16</v>
      </c>
      <c r="AR62" s="32"/>
      <c r="AS62" s="33"/>
      <c r="AT62" s="34"/>
      <c r="AU62" s="27">
        <v>17</v>
      </c>
      <c r="AV62" s="32"/>
      <c r="AW62" s="33"/>
      <c r="AX62" s="34"/>
      <c r="AY62" s="27">
        <v>18</v>
      </c>
      <c r="AZ62" s="32"/>
      <c r="BA62" s="33"/>
      <c r="BB62" s="34"/>
      <c r="BC62" s="1"/>
      <c r="BD62" s="1"/>
      <c r="BE62" s="27">
        <v>3</v>
      </c>
      <c r="BF62" s="32"/>
      <c r="BG62" s="33"/>
      <c r="BH62" s="34"/>
      <c r="BI62" s="27">
        <v>2</v>
      </c>
      <c r="BJ62" s="32"/>
      <c r="BK62" s="33"/>
      <c r="BL62" s="34"/>
      <c r="BM62" s="27">
        <v>1</v>
      </c>
      <c r="BN62" s="32"/>
      <c r="BO62" s="33"/>
      <c r="BP62" s="34"/>
      <c r="BQ62" s="1"/>
      <c r="BR62" s="33"/>
      <c r="BS62" s="34"/>
      <c r="BT62" s="27">
        <v>16</v>
      </c>
      <c r="BU62" s="32"/>
      <c r="BV62" s="33"/>
      <c r="BW62" s="34"/>
      <c r="BX62" s="27">
        <v>17</v>
      </c>
      <c r="BY62" s="32"/>
      <c r="BZ62" s="33"/>
      <c r="CA62" s="34"/>
      <c r="CB62" s="27">
        <v>18</v>
      </c>
      <c r="CC62" s="32"/>
    </row>
    <row r="63" spans="2:81">
      <c r="B63" s="30"/>
      <c r="C63" s="31"/>
      <c r="D63" s="28"/>
      <c r="E63" s="29"/>
      <c r="F63" s="30"/>
      <c r="G63" s="31"/>
      <c r="H63" s="28"/>
      <c r="I63" s="29"/>
      <c r="J63" s="30"/>
      <c r="K63" s="31"/>
      <c r="L63" s="28"/>
      <c r="M63" s="29"/>
      <c r="N63" s="1"/>
      <c r="O63" s="30"/>
      <c r="P63" s="31"/>
      <c r="Q63" s="28"/>
      <c r="R63" s="29"/>
      <c r="S63" s="30"/>
      <c r="T63" s="31"/>
      <c r="U63" s="28"/>
      <c r="V63" s="29"/>
      <c r="W63" s="30"/>
      <c r="X63" s="31"/>
      <c r="Y63" s="28"/>
      <c r="Z63" s="29"/>
      <c r="AA63" s="1"/>
      <c r="AB63" s="1"/>
      <c r="AC63" s="30"/>
      <c r="AD63" s="31"/>
      <c r="AE63" s="28"/>
      <c r="AF63" s="29"/>
      <c r="AG63" s="30"/>
      <c r="AH63" s="31"/>
      <c r="AI63" s="28"/>
      <c r="AJ63" s="29"/>
      <c r="AK63" s="30"/>
      <c r="AL63" s="31"/>
      <c r="AM63" s="28"/>
      <c r="AN63" s="29"/>
      <c r="AO63" s="16"/>
      <c r="AP63" s="1"/>
      <c r="AQ63" s="30"/>
      <c r="AR63" s="31"/>
      <c r="AS63" s="28"/>
      <c r="AT63" s="29"/>
      <c r="AU63" s="30"/>
      <c r="AV63" s="31"/>
      <c r="AW63" s="28"/>
      <c r="AX63" s="29"/>
      <c r="AY63" s="30"/>
      <c r="AZ63" s="31"/>
      <c r="BA63" s="28"/>
      <c r="BB63" s="29"/>
      <c r="BC63" s="1"/>
      <c r="BD63" s="1"/>
      <c r="BE63" s="30"/>
      <c r="BF63" s="31"/>
      <c r="BG63" s="28"/>
      <c r="BH63" s="29"/>
      <c r="BI63" s="30"/>
      <c r="BJ63" s="31"/>
      <c r="BK63" s="28"/>
      <c r="BL63" s="29"/>
      <c r="BM63" s="30"/>
      <c r="BN63" s="31"/>
      <c r="BO63" s="28"/>
      <c r="BP63" s="29"/>
      <c r="BQ63" s="1"/>
      <c r="BR63" s="28"/>
      <c r="BS63" s="29"/>
      <c r="BT63" s="30"/>
      <c r="BU63" s="31"/>
      <c r="BV63" s="28"/>
      <c r="BW63" s="29"/>
      <c r="BX63" s="30"/>
      <c r="BY63" s="31"/>
      <c r="BZ63" s="28"/>
      <c r="CA63" s="29"/>
      <c r="CB63" s="30"/>
      <c r="CC63" s="31"/>
    </row>
    <row r="64" spans="2:81" ht="15" thickBot="1">
      <c r="B64" s="33"/>
      <c r="C64" s="34"/>
      <c r="D64" s="27">
        <v>6</v>
      </c>
      <c r="E64" s="32"/>
      <c r="F64" s="33"/>
      <c r="G64" s="34"/>
      <c r="H64" s="27">
        <v>5</v>
      </c>
      <c r="I64" s="32"/>
      <c r="J64" s="33"/>
      <c r="K64" s="34"/>
      <c r="L64" s="27">
        <v>4</v>
      </c>
      <c r="M64" s="32"/>
      <c r="N64" s="1"/>
      <c r="O64" s="33"/>
      <c r="P64" s="34"/>
      <c r="Q64" s="27">
        <v>13</v>
      </c>
      <c r="R64" s="32"/>
      <c r="S64" s="33"/>
      <c r="T64" s="34"/>
      <c r="U64" s="27">
        <v>14</v>
      </c>
      <c r="V64" s="32"/>
      <c r="W64" s="33"/>
      <c r="X64" s="34"/>
      <c r="Y64" s="27">
        <v>15</v>
      </c>
      <c r="Z64" s="32"/>
      <c r="AA64" s="1"/>
      <c r="AB64" s="1"/>
      <c r="AC64" s="33"/>
      <c r="AD64" s="34"/>
      <c r="AE64" s="27">
        <v>6</v>
      </c>
      <c r="AF64" s="32"/>
      <c r="AG64" s="33"/>
      <c r="AH64" s="34"/>
      <c r="AI64" s="27">
        <v>5</v>
      </c>
      <c r="AJ64" s="32"/>
      <c r="AK64" s="33"/>
      <c r="AL64" s="34"/>
      <c r="AM64" s="27">
        <v>4</v>
      </c>
      <c r="AN64" s="32"/>
      <c r="AO64" s="16"/>
      <c r="AP64" s="1"/>
      <c r="AQ64" s="33"/>
      <c r="AR64" s="34"/>
      <c r="AS64" s="27">
        <v>13</v>
      </c>
      <c r="AT64" s="32"/>
      <c r="AU64" s="33"/>
      <c r="AV64" s="34"/>
      <c r="AW64" s="27">
        <v>14</v>
      </c>
      <c r="AX64" s="32"/>
      <c r="AY64" s="33"/>
      <c r="AZ64" s="34"/>
      <c r="BA64" s="27">
        <v>15</v>
      </c>
      <c r="BB64" s="32"/>
      <c r="BC64" s="1"/>
      <c r="BD64" s="1"/>
      <c r="BE64" s="33"/>
      <c r="BF64" s="34"/>
      <c r="BG64" s="27">
        <v>6</v>
      </c>
      <c r="BH64" s="32"/>
      <c r="BI64" s="33"/>
      <c r="BJ64" s="34"/>
      <c r="BK64" s="27">
        <v>5</v>
      </c>
      <c r="BL64" s="32"/>
      <c r="BM64" s="33"/>
      <c r="BN64" s="34"/>
      <c r="BO64" s="27">
        <v>4</v>
      </c>
      <c r="BP64" s="32"/>
      <c r="BQ64" s="1"/>
      <c r="BR64" s="27">
        <v>13</v>
      </c>
      <c r="BS64" s="32"/>
      <c r="BT64" s="33"/>
      <c r="BU64" s="34"/>
      <c r="BV64" s="27">
        <v>14</v>
      </c>
      <c r="BW64" s="32"/>
      <c r="BX64" s="33"/>
      <c r="BY64" s="34"/>
      <c r="BZ64" s="27">
        <v>15</v>
      </c>
      <c r="CA64" s="32"/>
      <c r="CB64" s="33"/>
      <c r="CC64" s="34"/>
    </row>
    <row r="65" spans="2:81">
      <c r="B65" s="28"/>
      <c r="C65" s="29"/>
      <c r="D65" s="30"/>
      <c r="E65" s="31"/>
      <c r="F65" s="28"/>
      <c r="G65" s="29"/>
      <c r="H65" s="30"/>
      <c r="I65" s="31"/>
      <c r="J65" s="28"/>
      <c r="K65" s="29"/>
      <c r="L65" s="30"/>
      <c r="M65" s="31"/>
      <c r="N65" s="1"/>
      <c r="O65" s="28"/>
      <c r="P65" s="29"/>
      <c r="Q65" s="30"/>
      <c r="R65" s="31"/>
      <c r="S65" s="28"/>
      <c r="T65" s="29"/>
      <c r="U65" s="30"/>
      <c r="V65" s="31"/>
      <c r="W65" s="28"/>
      <c r="X65" s="29"/>
      <c r="Y65" s="30"/>
      <c r="Z65" s="31"/>
      <c r="AA65" s="1"/>
      <c r="AB65" s="1"/>
      <c r="AC65" s="28"/>
      <c r="AD65" s="29"/>
      <c r="AE65" s="30"/>
      <c r="AF65" s="31"/>
      <c r="AG65" s="28"/>
      <c r="AH65" s="29"/>
      <c r="AI65" s="30"/>
      <c r="AJ65" s="31"/>
      <c r="AK65" s="28"/>
      <c r="AL65" s="29"/>
      <c r="AM65" s="30"/>
      <c r="AN65" s="31"/>
      <c r="AO65" s="16"/>
      <c r="AP65" s="1"/>
      <c r="AQ65" s="28"/>
      <c r="AR65" s="29"/>
      <c r="AS65" s="30"/>
      <c r="AT65" s="31"/>
      <c r="AU65" s="28"/>
      <c r="AV65" s="29"/>
      <c r="AW65" s="30"/>
      <c r="AX65" s="31"/>
      <c r="AY65" s="28"/>
      <c r="AZ65" s="29"/>
      <c r="BA65" s="30"/>
      <c r="BB65" s="31"/>
      <c r="BC65" s="1"/>
      <c r="BD65" s="1"/>
      <c r="BE65" s="28"/>
      <c r="BF65" s="29"/>
      <c r="BG65" s="30"/>
      <c r="BH65" s="31"/>
      <c r="BI65" s="28"/>
      <c r="BJ65" s="29"/>
      <c r="BK65" s="30"/>
      <c r="BL65" s="31"/>
      <c r="BM65" s="28"/>
      <c r="BN65" s="29"/>
      <c r="BO65" s="30"/>
      <c r="BP65" s="31"/>
      <c r="BQ65" s="1"/>
      <c r="BR65" s="30"/>
      <c r="BS65" s="31"/>
      <c r="BT65" s="28"/>
      <c r="BU65" s="29"/>
      <c r="BV65" s="30"/>
      <c r="BW65" s="31"/>
      <c r="BX65" s="28"/>
      <c r="BY65" s="29"/>
      <c r="BZ65" s="30"/>
      <c r="CA65" s="31"/>
      <c r="CB65" s="28"/>
      <c r="CC65" s="29"/>
    </row>
    <row r="66" spans="2:81" ht="15" thickBot="1">
      <c r="B66" s="27">
        <v>9</v>
      </c>
      <c r="C66" s="32"/>
      <c r="D66" s="33"/>
      <c r="E66" s="34"/>
      <c r="F66" s="27">
        <v>8</v>
      </c>
      <c r="G66" s="32"/>
      <c r="H66" s="33"/>
      <c r="I66" s="34"/>
      <c r="J66" s="27">
        <v>7</v>
      </c>
      <c r="K66" s="32"/>
      <c r="L66" s="33"/>
      <c r="M66" s="34"/>
      <c r="N66" s="1"/>
      <c r="O66" s="27">
        <v>10</v>
      </c>
      <c r="P66" s="32"/>
      <c r="Q66" s="33"/>
      <c r="R66" s="34"/>
      <c r="S66" s="27">
        <v>11</v>
      </c>
      <c r="T66" s="32"/>
      <c r="U66" s="33"/>
      <c r="V66" s="34"/>
      <c r="W66" s="27">
        <v>12</v>
      </c>
      <c r="X66" s="32"/>
      <c r="Y66" s="33"/>
      <c r="Z66" s="34"/>
      <c r="AA66" s="1"/>
      <c r="AB66" s="1"/>
      <c r="AC66" s="27">
        <v>9</v>
      </c>
      <c r="AD66" s="32"/>
      <c r="AE66" s="33"/>
      <c r="AF66" s="34"/>
      <c r="AG66" s="27">
        <v>8</v>
      </c>
      <c r="AH66" s="32"/>
      <c r="AI66" s="33"/>
      <c r="AJ66" s="34"/>
      <c r="AK66" s="27">
        <v>7</v>
      </c>
      <c r="AL66" s="32"/>
      <c r="AM66" s="33"/>
      <c r="AN66" s="34"/>
      <c r="AO66" s="16"/>
      <c r="AP66" s="1"/>
      <c r="AQ66" s="27">
        <v>10</v>
      </c>
      <c r="AR66" s="32"/>
      <c r="AS66" s="33"/>
      <c r="AT66" s="34"/>
      <c r="AU66" s="27">
        <v>11</v>
      </c>
      <c r="AV66" s="32"/>
      <c r="AW66" s="33"/>
      <c r="AX66" s="34"/>
      <c r="AY66" s="27">
        <v>12</v>
      </c>
      <c r="AZ66" s="32"/>
      <c r="BA66" s="33"/>
      <c r="BB66" s="34"/>
      <c r="BC66" s="1"/>
      <c r="BD66" s="1"/>
      <c r="BE66" s="27">
        <v>9</v>
      </c>
      <c r="BF66" s="32"/>
      <c r="BG66" s="33"/>
      <c r="BH66" s="34"/>
      <c r="BI66" s="27">
        <v>8</v>
      </c>
      <c r="BJ66" s="32"/>
      <c r="BK66" s="33"/>
      <c r="BL66" s="34"/>
      <c r="BM66" s="27">
        <v>7</v>
      </c>
      <c r="BN66" s="32"/>
      <c r="BO66" s="33"/>
      <c r="BP66" s="34"/>
      <c r="BQ66" s="1"/>
      <c r="BR66" s="33"/>
      <c r="BS66" s="34"/>
      <c r="BT66" s="27">
        <v>10</v>
      </c>
      <c r="BU66" s="32"/>
      <c r="BV66" s="33"/>
      <c r="BW66" s="34"/>
      <c r="BX66" s="27">
        <v>11</v>
      </c>
      <c r="BY66" s="32"/>
      <c r="BZ66" s="33"/>
      <c r="CA66" s="34"/>
      <c r="CB66" s="27">
        <v>12</v>
      </c>
      <c r="CC66" s="32"/>
    </row>
    <row r="67" spans="2:81">
      <c r="B67" s="30"/>
      <c r="C67" s="31"/>
      <c r="D67" s="28"/>
      <c r="E67" s="29"/>
      <c r="F67" s="30"/>
      <c r="G67" s="31"/>
      <c r="H67" s="28"/>
      <c r="I67" s="29"/>
      <c r="J67" s="30"/>
      <c r="K67" s="31"/>
      <c r="L67" s="28"/>
      <c r="M67" s="29"/>
      <c r="N67" s="1"/>
      <c r="O67" s="30"/>
      <c r="P67" s="31"/>
      <c r="Q67" s="28"/>
      <c r="R67" s="29"/>
      <c r="S67" s="30"/>
      <c r="T67" s="31"/>
      <c r="U67" s="28"/>
      <c r="V67" s="29"/>
      <c r="W67" s="30"/>
      <c r="X67" s="31"/>
      <c r="Y67" s="28"/>
      <c r="Z67" s="29"/>
      <c r="AA67" s="1"/>
      <c r="AB67" s="1"/>
      <c r="AC67" s="30"/>
      <c r="AD67" s="31"/>
      <c r="AE67" s="28"/>
      <c r="AF67" s="29"/>
      <c r="AG67" s="30"/>
      <c r="AH67" s="31"/>
      <c r="AI67" s="28"/>
      <c r="AJ67" s="29"/>
      <c r="AK67" s="30"/>
      <c r="AL67" s="31"/>
      <c r="AM67" s="28"/>
      <c r="AN67" s="29"/>
      <c r="AO67" s="16"/>
      <c r="AP67" s="1"/>
      <c r="AQ67" s="30"/>
      <c r="AR67" s="31"/>
      <c r="AS67" s="28"/>
      <c r="AT67" s="29"/>
      <c r="AU67" s="30"/>
      <c r="AV67" s="31"/>
      <c r="AW67" s="28"/>
      <c r="AX67" s="29"/>
      <c r="AY67" s="30"/>
      <c r="AZ67" s="31"/>
      <c r="BA67" s="28"/>
      <c r="BB67" s="29"/>
      <c r="BC67" s="1"/>
      <c r="BD67" s="1"/>
      <c r="BE67" s="30"/>
      <c r="BF67" s="31"/>
      <c r="BG67" s="28"/>
      <c r="BH67" s="29"/>
      <c r="BI67" s="30"/>
      <c r="BJ67" s="31"/>
      <c r="BK67" s="28"/>
      <c r="BL67" s="29"/>
      <c r="BM67" s="30"/>
      <c r="BN67" s="31"/>
      <c r="BO67" s="28"/>
      <c r="BP67" s="29"/>
      <c r="BQ67" s="1"/>
      <c r="BR67" s="28"/>
      <c r="BS67" s="29"/>
      <c r="BT67" s="30"/>
      <c r="BU67" s="31"/>
      <c r="BV67" s="28"/>
      <c r="BW67" s="29"/>
      <c r="BX67" s="30"/>
      <c r="BY67" s="31"/>
      <c r="BZ67" s="28"/>
      <c r="CA67" s="29"/>
      <c r="CB67" s="30"/>
      <c r="CC67" s="31"/>
    </row>
    <row r="68" spans="2:81" ht="15" thickBot="1">
      <c r="B68" s="33"/>
      <c r="C68" s="34"/>
      <c r="D68" s="27">
        <v>12</v>
      </c>
      <c r="E68" s="32"/>
      <c r="F68" s="33"/>
      <c r="G68" s="34"/>
      <c r="H68" s="27">
        <v>11</v>
      </c>
      <c r="I68" s="32"/>
      <c r="J68" s="33"/>
      <c r="K68" s="34"/>
      <c r="L68" s="27">
        <v>10</v>
      </c>
      <c r="M68" s="32"/>
      <c r="N68" s="1"/>
      <c r="O68" s="33"/>
      <c r="P68" s="34"/>
      <c r="Q68" s="27">
        <v>7</v>
      </c>
      <c r="R68" s="32"/>
      <c r="S68" s="33"/>
      <c r="T68" s="34"/>
      <c r="U68" s="27">
        <v>8</v>
      </c>
      <c r="V68" s="32"/>
      <c r="W68" s="33"/>
      <c r="X68" s="34"/>
      <c r="Y68" s="27">
        <v>9</v>
      </c>
      <c r="Z68" s="32"/>
      <c r="AA68" s="1"/>
      <c r="AB68" s="1"/>
      <c r="AC68" s="33"/>
      <c r="AD68" s="34"/>
      <c r="AE68" s="27">
        <v>12</v>
      </c>
      <c r="AF68" s="32"/>
      <c r="AG68" s="33"/>
      <c r="AH68" s="34"/>
      <c r="AI68" s="27">
        <v>11</v>
      </c>
      <c r="AJ68" s="32"/>
      <c r="AK68" s="33"/>
      <c r="AL68" s="34"/>
      <c r="AM68" s="27">
        <v>10</v>
      </c>
      <c r="AN68" s="32"/>
      <c r="AO68" s="16"/>
      <c r="AP68" s="1"/>
      <c r="AQ68" s="33"/>
      <c r="AR68" s="34"/>
      <c r="AS68" s="27">
        <v>7</v>
      </c>
      <c r="AT68" s="32"/>
      <c r="AU68" s="33"/>
      <c r="AV68" s="34"/>
      <c r="AW68" s="27">
        <v>8</v>
      </c>
      <c r="AX68" s="32"/>
      <c r="AY68" s="33"/>
      <c r="AZ68" s="34"/>
      <c r="BA68" s="27">
        <v>9</v>
      </c>
      <c r="BB68" s="32"/>
      <c r="BC68" s="1"/>
      <c r="BD68" s="1"/>
      <c r="BE68" s="33"/>
      <c r="BF68" s="34"/>
      <c r="BG68" s="27">
        <v>12</v>
      </c>
      <c r="BH68" s="32"/>
      <c r="BI68" s="33"/>
      <c r="BJ68" s="34"/>
      <c r="BK68" s="27">
        <v>11</v>
      </c>
      <c r="BL68" s="32"/>
      <c r="BM68" s="33"/>
      <c r="BN68" s="34"/>
      <c r="BO68" s="27">
        <v>10</v>
      </c>
      <c r="BP68" s="32"/>
      <c r="BQ68" s="1"/>
      <c r="BR68" s="27">
        <v>7</v>
      </c>
      <c r="BS68" s="32"/>
      <c r="BT68" s="33"/>
      <c r="BU68" s="34"/>
      <c r="BV68" s="27">
        <v>8</v>
      </c>
      <c r="BW68" s="32"/>
      <c r="BX68" s="33"/>
      <c r="BY68" s="34"/>
      <c r="BZ68" s="27">
        <v>9</v>
      </c>
      <c r="CA68" s="32"/>
      <c r="CB68" s="33"/>
      <c r="CC68" s="34"/>
    </row>
    <row r="69" spans="2:81">
      <c r="B69" s="28"/>
      <c r="C69" s="29"/>
      <c r="D69" s="30"/>
      <c r="E69" s="31"/>
      <c r="F69" s="28"/>
      <c r="G69" s="29"/>
      <c r="H69" s="30"/>
      <c r="I69" s="31"/>
      <c r="J69" s="28"/>
      <c r="K69" s="29"/>
      <c r="L69" s="30"/>
      <c r="M69" s="31"/>
      <c r="N69" s="1"/>
      <c r="O69" s="28"/>
      <c r="P69" s="29"/>
      <c r="Q69" s="30"/>
      <c r="R69" s="31"/>
      <c r="S69" s="28"/>
      <c r="T69" s="29"/>
      <c r="U69" s="30"/>
      <c r="V69" s="31"/>
      <c r="W69" s="28"/>
      <c r="X69" s="29"/>
      <c r="Y69" s="30"/>
      <c r="Z69" s="31"/>
      <c r="AA69" s="1"/>
      <c r="AB69" s="1"/>
      <c r="AC69" s="28"/>
      <c r="AD69" s="29"/>
      <c r="AE69" s="30"/>
      <c r="AF69" s="31"/>
      <c r="AG69" s="28"/>
      <c r="AH69" s="29"/>
      <c r="AI69" s="30"/>
      <c r="AJ69" s="31"/>
      <c r="AK69" s="28"/>
      <c r="AL69" s="29"/>
      <c r="AM69" s="30"/>
      <c r="AN69" s="31"/>
      <c r="AO69" s="16"/>
      <c r="AP69" s="1"/>
      <c r="AQ69" s="28"/>
      <c r="AR69" s="29"/>
      <c r="AS69" s="30"/>
      <c r="AT69" s="31"/>
      <c r="AU69" s="28"/>
      <c r="AV69" s="29"/>
      <c r="AW69" s="30"/>
      <c r="AX69" s="31"/>
      <c r="AY69" s="28"/>
      <c r="AZ69" s="29"/>
      <c r="BA69" s="30"/>
      <c r="BB69" s="31"/>
      <c r="BC69" s="1"/>
      <c r="BD69" s="1"/>
      <c r="BE69" s="28"/>
      <c r="BF69" s="29"/>
      <c r="BG69" s="30"/>
      <c r="BH69" s="31"/>
      <c r="BI69" s="28"/>
      <c r="BJ69" s="29"/>
      <c r="BK69" s="30"/>
      <c r="BL69" s="31"/>
      <c r="BM69" s="28"/>
      <c r="BN69" s="29"/>
      <c r="BO69" s="30"/>
      <c r="BP69" s="31"/>
      <c r="BQ69" s="1"/>
      <c r="BR69" s="30"/>
      <c r="BS69" s="31"/>
      <c r="BT69" s="28"/>
      <c r="BU69" s="29"/>
      <c r="BV69" s="30"/>
      <c r="BW69" s="31"/>
      <c r="BX69" s="28"/>
      <c r="BY69" s="29"/>
      <c r="BZ69" s="30"/>
      <c r="CA69" s="31"/>
      <c r="CB69" s="28"/>
      <c r="CC69" s="29"/>
    </row>
    <row r="70" spans="2:81" ht="15" thickBot="1">
      <c r="B70" s="27">
        <v>15</v>
      </c>
      <c r="C70" s="32"/>
      <c r="D70" s="33"/>
      <c r="E70" s="34"/>
      <c r="F70" s="27">
        <v>14</v>
      </c>
      <c r="G70" s="32"/>
      <c r="H70" s="33"/>
      <c r="I70" s="34"/>
      <c r="J70" s="27">
        <v>13</v>
      </c>
      <c r="K70" s="32"/>
      <c r="L70" s="33"/>
      <c r="M70" s="34"/>
      <c r="N70" s="1"/>
      <c r="O70" s="27">
        <v>4</v>
      </c>
      <c r="P70" s="32"/>
      <c r="Q70" s="33"/>
      <c r="R70" s="34"/>
      <c r="S70" s="27">
        <v>5</v>
      </c>
      <c r="T70" s="32"/>
      <c r="U70" s="33"/>
      <c r="V70" s="34"/>
      <c r="W70" s="27">
        <v>6</v>
      </c>
      <c r="X70" s="32"/>
      <c r="Y70" s="33"/>
      <c r="Z70" s="34"/>
      <c r="AA70" s="1"/>
      <c r="AB70" s="1"/>
      <c r="AC70" s="27">
        <v>15</v>
      </c>
      <c r="AD70" s="32"/>
      <c r="AE70" s="33"/>
      <c r="AF70" s="34"/>
      <c r="AG70" s="27">
        <v>14</v>
      </c>
      <c r="AH70" s="32"/>
      <c r="AI70" s="33"/>
      <c r="AJ70" s="34"/>
      <c r="AK70" s="27">
        <v>13</v>
      </c>
      <c r="AL70" s="32"/>
      <c r="AM70" s="33"/>
      <c r="AN70" s="34"/>
      <c r="AO70" s="16"/>
      <c r="AP70" s="1"/>
      <c r="AQ70" s="27">
        <v>4</v>
      </c>
      <c r="AR70" s="32"/>
      <c r="AS70" s="33"/>
      <c r="AT70" s="34"/>
      <c r="AU70" s="27">
        <v>5</v>
      </c>
      <c r="AV70" s="32"/>
      <c r="AW70" s="33"/>
      <c r="AX70" s="34"/>
      <c r="AY70" s="27">
        <v>6</v>
      </c>
      <c r="AZ70" s="32"/>
      <c r="BA70" s="33"/>
      <c r="BB70" s="34"/>
      <c r="BC70" s="1"/>
      <c r="BD70" s="1"/>
      <c r="BE70" s="27">
        <v>15</v>
      </c>
      <c r="BF70" s="32"/>
      <c r="BG70" s="33"/>
      <c r="BH70" s="34"/>
      <c r="BI70" s="27">
        <v>14</v>
      </c>
      <c r="BJ70" s="32"/>
      <c r="BK70" s="33"/>
      <c r="BL70" s="34"/>
      <c r="BM70" s="27">
        <v>13</v>
      </c>
      <c r="BN70" s="32"/>
      <c r="BO70" s="33"/>
      <c r="BP70" s="34"/>
      <c r="BQ70" s="1"/>
      <c r="BR70" s="33"/>
      <c r="BS70" s="34"/>
      <c r="BT70" s="27">
        <v>4</v>
      </c>
      <c r="BU70" s="32"/>
      <c r="BV70" s="33"/>
      <c r="BW70" s="34"/>
      <c r="BX70" s="27">
        <v>5</v>
      </c>
      <c r="BY70" s="32"/>
      <c r="BZ70" s="33"/>
      <c r="CA70" s="34"/>
      <c r="CB70" s="27">
        <v>6</v>
      </c>
      <c r="CC70" s="32"/>
    </row>
    <row r="71" spans="2:81">
      <c r="B71" s="30"/>
      <c r="C71" s="31"/>
      <c r="D71" s="28"/>
      <c r="E71" s="29"/>
      <c r="F71" s="30"/>
      <c r="G71" s="31"/>
      <c r="H71" s="28"/>
      <c r="I71" s="29"/>
      <c r="J71" s="30"/>
      <c r="K71" s="31"/>
      <c r="L71" s="28"/>
      <c r="M71" s="29"/>
      <c r="N71" s="1"/>
      <c r="O71" s="30"/>
      <c r="P71" s="31"/>
      <c r="Q71" s="28"/>
      <c r="R71" s="29"/>
      <c r="S71" s="30"/>
      <c r="T71" s="31"/>
      <c r="U71" s="28"/>
      <c r="V71" s="29"/>
      <c r="W71" s="30"/>
      <c r="X71" s="31"/>
      <c r="Y71" s="28"/>
      <c r="Z71" s="29"/>
      <c r="AA71" s="1"/>
      <c r="AB71" s="1"/>
      <c r="AC71" s="30"/>
      <c r="AD71" s="31"/>
      <c r="AE71" s="28"/>
      <c r="AF71" s="29"/>
      <c r="AG71" s="30"/>
      <c r="AH71" s="31"/>
      <c r="AI71" s="28"/>
      <c r="AJ71" s="29"/>
      <c r="AK71" s="30"/>
      <c r="AL71" s="31"/>
      <c r="AM71" s="28"/>
      <c r="AN71" s="29"/>
      <c r="AO71" s="16"/>
      <c r="AP71" s="1"/>
      <c r="AQ71" s="30"/>
      <c r="AR71" s="31"/>
      <c r="AS71" s="28"/>
      <c r="AT71" s="29"/>
      <c r="AU71" s="30"/>
      <c r="AV71" s="31"/>
      <c r="AW71" s="28"/>
      <c r="AX71" s="29"/>
      <c r="AY71" s="30"/>
      <c r="AZ71" s="31"/>
      <c r="BA71" s="28"/>
      <c r="BB71" s="29"/>
      <c r="BC71" s="1"/>
      <c r="BD71" s="1"/>
      <c r="BE71" s="30"/>
      <c r="BF71" s="31"/>
      <c r="BG71" s="28"/>
      <c r="BH71" s="29"/>
      <c r="BI71" s="30"/>
      <c r="BJ71" s="31"/>
      <c r="BK71" s="28"/>
      <c r="BL71" s="29"/>
      <c r="BM71" s="30"/>
      <c r="BN71" s="31"/>
      <c r="BO71" s="28"/>
      <c r="BP71" s="29"/>
      <c r="BQ71" s="1"/>
      <c r="BR71" s="28"/>
      <c r="BS71" s="29"/>
      <c r="BT71" s="30"/>
      <c r="BU71" s="31"/>
      <c r="BV71" s="28"/>
      <c r="BW71" s="29"/>
      <c r="BX71" s="30"/>
      <c r="BY71" s="31"/>
      <c r="BZ71" s="28"/>
      <c r="CA71" s="29"/>
      <c r="CB71" s="30"/>
      <c r="CC71" s="31"/>
    </row>
    <row r="72" spans="2:81" ht="15" thickBot="1">
      <c r="B72" s="33"/>
      <c r="C72" s="34"/>
      <c r="D72" s="27">
        <v>18</v>
      </c>
      <c r="E72" s="32"/>
      <c r="F72" s="33"/>
      <c r="G72" s="34"/>
      <c r="H72" s="27">
        <v>17</v>
      </c>
      <c r="I72" s="32"/>
      <c r="J72" s="33"/>
      <c r="K72" s="34"/>
      <c r="L72" s="27">
        <v>16</v>
      </c>
      <c r="M72" s="32"/>
      <c r="N72" s="1"/>
      <c r="O72" s="33"/>
      <c r="P72" s="34"/>
      <c r="Q72" s="27">
        <v>1</v>
      </c>
      <c r="R72" s="32"/>
      <c r="S72" s="33"/>
      <c r="T72" s="34"/>
      <c r="U72" s="27">
        <v>2</v>
      </c>
      <c r="V72" s="32"/>
      <c r="W72" s="33"/>
      <c r="X72" s="34"/>
      <c r="Y72" s="27">
        <v>3</v>
      </c>
      <c r="Z72" s="32"/>
      <c r="AA72" s="1"/>
      <c r="AB72" s="1"/>
      <c r="AC72" s="33"/>
      <c r="AD72" s="34"/>
      <c r="AE72" s="27">
        <v>18</v>
      </c>
      <c r="AF72" s="32"/>
      <c r="AG72" s="33"/>
      <c r="AH72" s="34"/>
      <c r="AI72" s="27">
        <v>17</v>
      </c>
      <c r="AJ72" s="32"/>
      <c r="AK72" s="33"/>
      <c r="AL72" s="34"/>
      <c r="AM72" s="27">
        <v>16</v>
      </c>
      <c r="AN72" s="32"/>
      <c r="AO72" s="16"/>
      <c r="AP72" s="1"/>
      <c r="AQ72" s="33"/>
      <c r="AR72" s="34"/>
      <c r="AS72" s="27">
        <v>1</v>
      </c>
      <c r="AT72" s="32"/>
      <c r="AU72" s="33"/>
      <c r="AV72" s="34"/>
      <c r="AW72" s="27">
        <v>2</v>
      </c>
      <c r="AX72" s="32"/>
      <c r="AY72" s="33"/>
      <c r="AZ72" s="34"/>
      <c r="BA72" s="27">
        <v>3</v>
      </c>
      <c r="BB72" s="32"/>
      <c r="BC72" s="1"/>
      <c r="BD72" s="13"/>
      <c r="BE72" s="33"/>
      <c r="BF72" s="34"/>
      <c r="BG72" s="27">
        <v>18</v>
      </c>
      <c r="BH72" s="32"/>
      <c r="BI72" s="33"/>
      <c r="BJ72" s="34"/>
      <c r="BK72" s="27">
        <v>17</v>
      </c>
      <c r="BL72" s="32"/>
      <c r="BM72" s="33"/>
      <c r="BN72" s="34"/>
      <c r="BO72" s="27">
        <v>16</v>
      </c>
      <c r="BP72" s="32"/>
      <c r="BQ72" s="1"/>
      <c r="BR72" s="27">
        <v>1</v>
      </c>
      <c r="BS72" s="32"/>
      <c r="BT72" s="33"/>
      <c r="BU72" s="34"/>
      <c r="BV72" s="27">
        <v>2</v>
      </c>
      <c r="BW72" s="32"/>
      <c r="BX72" s="33"/>
      <c r="BY72" s="34"/>
      <c r="BZ72" s="27">
        <v>3</v>
      </c>
      <c r="CA72" s="32"/>
      <c r="CB72" s="33"/>
      <c r="CC72" s="34"/>
    </row>
    <row r="73" spans="2:81" ht="16" thickBot="1">
      <c r="B73" s="19" t="s">
        <v>68</v>
      </c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9" t="s">
        <v>74</v>
      </c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9" t="s">
        <v>85</v>
      </c>
      <c r="AD73" s="2"/>
      <c r="AE73" s="2"/>
      <c r="AF73" s="2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9" t="s">
        <v>86</v>
      </c>
      <c r="AR73" s="2"/>
      <c r="AS73" s="2"/>
      <c r="AT73" s="2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9" t="s">
        <v>97</v>
      </c>
      <c r="BF73" s="2"/>
      <c r="BG73" s="2"/>
      <c r="BH73" s="2"/>
      <c r="BI73" s="1"/>
      <c r="BJ73" s="1"/>
      <c r="BK73" s="1"/>
      <c r="BL73" s="1"/>
      <c r="BM73" s="1"/>
      <c r="BN73" s="1"/>
      <c r="BO73" s="1"/>
      <c r="BP73" s="1"/>
      <c r="BQ73" s="1"/>
      <c r="BR73" s="19" t="s">
        <v>98</v>
      </c>
      <c r="BS73" s="2"/>
      <c r="BT73" s="2"/>
      <c r="BU73" s="2"/>
      <c r="BV73" s="1"/>
      <c r="BW73" s="1"/>
      <c r="BX73" s="1"/>
      <c r="BY73" s="1"/>
      <c r="BZ73" s="1"/>
      <c r="CA73" s="1"/>
      <c r="CB73" s="1"/>
      <c r="CC73" s="1"/>
    </row>
    <row r="74" spans="2:81">
      <c r="B74" s="28"/>
      <c r="C74" s="29"/>
      <c r="D74" s="30"/>
      <c r="E74" s="31"/>
      <c r="F74" s="28"/>
      <c r="G74" s="29"/>
      <c r="H74" s="30"/>
      <c r="I74" s="31"/>
      <c r="J74" s="28"/>
      <c r="K74" s="29"/>
      <c r="L74" s="30"/>
      <c r="M74" s="31"/>
      <c r="N74" s="11"/>
      <c r="O74" s="28"/>
      <c r="P74" s="29"/>
      <c r="Q74" s="30"/>
      <c r="R74" s="31"/>
      <c r="S74" s="28"/>
      <c r="T74" s="29"/>
      <c r="U74" s="30"/>
      <c r="V74" s="31"/>
      <c r="W74" s="28"/>
      <c r="X74" s="29"/>
      <c r="Y74" s="30"/>
      <c r="Z74" s="31"/>
      <c r="AA74" s="1"/>
      <c r="AB74" s="1"/>
      <c r="AC74" s="28"/>
      <c r="AD74" s="29"/>
      <c r="AE74" s="30"/>
      <c r="AF74" s="31"/>
      <c r="AG74" s="28"/>
      <c r="AH74" s="29"/>
      <c r="AI74" s="30"/>
      <c r="AJ74" s="31"/>
      <c r="AK74" s="28"/>
      <c r="AL74" s="29"/>
      <c r="AM74" s="30"/>
      <c r="AN74" s="31"/>
      <c r="AO74" s="16"/>
      <c r="AP74" s="1"/>
      <c r="AQ74" s="28"/>
      <c r="AR74" s="29"/>
      <c r="AS74" s="30"/>
      <c r="AT74" s="31"/>
      <c r="AU74" s="28"/>
      <c r="AV74" s="29"/>
      <c r="AW74" s="30"/>
      <c r="AX74" s="31"/>
      <c r="AY74" s="28"/>
      <c r="AZ74" s="29"/>
      <c r="BA74" s="30"/>
      <c r="BB74" s="31"/>
      <c r="BC74" s="1"/>
      <c r="BD74" s="1"/>
      <c r="BE74" s="28"/>
      <c r="BF74" s="29"/>
      <c r="BG74" s="30"/>
      <c r="BH74" s="31"/>
      <c r="BI74" s="28"/>
      <c r="BJ74" s="29"/>
      <c r="BK74" s="30"/>
      <c r="BL74" s="31"/>
      <c r="BM74" s="28"/>
      <c r="BN74" s="29"/>
      <c r="BO74" s="30"/>
      <c r="BP74" s="31"/>
      <c r="BQ74" s="11"/>
      <c r="BR74" s="28"/>
      <c r="BS74" s="29"/>
      <c r="BT74" s="30"/>
      <c r="BU74" s="31"/>
      <c r="BV74" s="28"/>
      <c r="BW74" s="29"/>
      <c r="BX74" s="30"/>
      <c r="BY74" s="31"/>
      <c r="BZ74" s="28"/>
      <c r="CA74" s="29"/>
      <c r="CB74" s="30"/>
      <c r="CC74" s="31"/>
    </row>
    <row r="75" spans="2:81" ht="15" thickBot="1">
      <c r="B75" s="27">
        <v>3</v>
      </c>
      <c r="C75" s="32"/>
      <c r="D75" s="33"/>
      <c r="E75" s="34"/>
      <c r="F75" s="27">
        <v>2</v>
      </c>
      <c r="G75" s="32"/>
      <c r="H75" s="33"/>
      <c r="I75" s="34"/>
      <c r="J75" s="27">
        <v>1</v>
      </c>
      <c r="K75" s="32"/>
      <c r="L75" s="33"/>
      <c r="M75" s="34"/>
      <c r="N75" s="1"/>
      <c r="O75" s="27">
        <v>16</v>
      </c>
      <c r="P75" s="32"/>
      <c r="Q75" s="33"/>
      <c r="R75" s="34"/>
      <c r="S75" s="27">
        <v>17</v>
      </c>
      <c r="T75" s="32"/>
      <c r="U75" s="33"/>
      <c r="V75" s="34"/>
      <c r="W75" s="27">
        <v>18</v>
      </c>
      <c r="X75" s="32"/>
      <c r="Y75" s="33"/>
      <c r="Z75" s="34"/>
      <c r="AA75" s="1"/>
      <c r="AB75" s="1"/>
      <c r="AC75" s="27">
        <v>3</v>
      </c>
      <c r="AD75" s="32"/>
      <c r="AE75" s="33"/>
      <c r="AF75" s="34"/>
      <c r="AG75" s="27">
        <v>2</v>
      </c>
      <c r="AH75" s="32"/>
      <c r="AI75" s="33"/>
      <c r="AJ75" s="34"/>
      <c r="AK75" s="27">
        <v>1</v>
      </c>
      <c r="AL75" s="32"/>
      <c r="AM75" s="33"/>
      <c r="AN75" s="34"/>
      <c r="AO75" s="16"/>
      <c r="AP75" s="1"/>
      <c r="AQ75" s="27">
        <v>16</v>
      </c>
      <c r="AR75" s="32"/>
      <c r="AS75" s="33"/>
      <c r="AT75" s="34"/>
      <c r="AU75" s="27">
        <v>17</v>
      </c>
      <c r="AV75" s="32"/>
      <c r="AW75" s="33"/>
      <c r="AX75" s="34"/>
      <c r="AY75" s="27">
        <v>18</v>
      </c>
      <c r="AZ75" s="32"/>
      <c r="BA75" s="33"/>
      <c r="BB75" s="34"/>
      <c r="BC75" s="1"/>
      <c r="BD75" s="1"/>
      <c r="BE75" s="27">
        <v>3</v>
      </c>
      <c r="BF75" s="32"/>
      <c r="BG75" s="33"/>
      <c r="BH75" s="34"/>
      <c r="BI75" s="27">
        <v>2</v>
      </c>
      <c r="BJ75" s="32"/>
      <c r="BK75" s="33"/>
      <c r="BL75" s="34"/>
      <c r="BM75" s="27">
        <v>1</v>
      </c>
      <c r="BN75" s="32"/>
      <c r="BO75" s="33"/>
      <c r="BP75" s="34"/>
      <c r="BQ75" s="1"/>
      <c r="BR75" s="27">
        <v>16</v>
      </c>
      <c r="BS75" s="32"/>
      <c r="BT75" s="33"/>
      <c r="BU75" s="34"/>
      <c r="BV75" s="27">
        <v>17</v>
      </c>
      <c r="BW75" s="32"/>
      <c r="BX75" s="33"/>
      <c r="BY75" s="34"/>
      <c r="BZ75" s="27">
        <v>18</v>
      </c>
      <c r="CA75" s="32"/>
      <c r="CB75" s="33"/>
      <c r="CC75" s="34"/>
    </row>
    <row r="76" spans="2:81">
      <c r="B76" s="30"/>
      <c r="C76" s="31"/>
      <c r="D76" s="28"/>
      <c r="E76" s="29"/>
      <c r="F76" s="30"/>
      <c r="G76" s="31"/>
      <c r="H76" s="28"/>
      <c r="I76" s="29"/>
      <c r="J76" s="30"/>
      <c r="K76" s="31"/>
      <c r="L76" s="28"/>
      <c r="M76" s="29"/>
      <c r="N76" s="1"/>
      <c r="O76" s="30"/>
      <c r="P76" s="31"/>
      <c r="Q76" s="28"/>
      <c r="R76" s="29"/>
      <c r="S76" s="30"/>
      <c r="T76" s="31"/>
      <c r="U76" s="28"/>
      <c r="V76" s="29"/>
      <c r="W76" s="30"/>
      <c r="X76" s="31"/>
      <c r="Y76" s="28"/>
      <c r="Z76" s="29"/>
      <c r="AA76" s="1"/>
      <c r="AB76" s="1"/>
      <c r="AC76" s="30"/>
      <c r="AD76" s="31"/>
      <c r="AE76" s="28"/>
      <c r="AF76" s="29"/>
      <c r="AG76" s="30"/>
      <c r="AH76" s="31"/>
      <c r="AI76" s="28"/>
      <c r="AJ76" s="29"/>
      <c r="AK76" s="30"/>
      <c r="AL76" s="31"/>
      <c r="AM76" s="28"/>
      <c r="AN76" s="29"/>
      <c r="AO76" s="16"/>
      <c r="AP76" s="1"/>
      <c r="AQ76" s="30"/>
      <c r="AR76" s="31"/>
      <c r="AS76" s="28"/>
      <c r="AT76" s="29"/>
      <c r="AU76" s="30"/>
      <c r="AV76" s="31"/>
      <c r="AW76" s="28"/>
      <c r="AX76" s="29"/>
      <c r="AY76" s="30"/>
      <c r="AZ76" s="31"/>
      <c r="BA76" s="28"/>
      <c r="BB76" s="29"/>
      <c r="BC76" s="1"/>
      <c r="BD76" s="1"/>
      <c r="BE76" s="30"/>
      <c r="BF76" s="31"/>
      <c r="BG76" s="28"/>
      <c r="BH76" s="29"/>
      <c r="BI76" s="30"/>
      <c r="BJ76" s="31"/>
      <c r="BK76" s="28"/>
      <c r="BL76" s="29"/>
      <c r="BM76" s="30"/>
      <c r="BN76" s="31"/>
      <c r="BO76" s="28"/>
      <c r="BP76" s="29"/>
      <c r="BQ76" s="1"/>
      <c r="BR76" s="30"/>
      <c r="BS76" s="31"/>
      <c r="BT76" s="28"/>
      <c r="BU76" s="29"/>
      <c r="BV76" s="30"/>
      <c r="BW76" s="31"/>
      <c r="BX76" s="28"/>
      <c r="BY76" s="29"/>
      <c r="BZ76" s="30"/>
      <c r="CA76" s="31"/>
      <c r="CB76" s="28"/>
      <c r="CC76" s="29"/>
    </row>
    <row r="77" spans="2:81" ht="15" thickBot="1">
      <c r="B77" s="33"/>
      <c r="C77" s="34"/>
      <c r="D77" s="27">
        <v>6</v>
      </c>
      <c r="E77" s="32"/>
      <c r="F77" s="33"/>
      <c r="G77" s="34"/>
      <c r="H77" s="27">
        <v>5</v>
      </c>
      <c r="I77" s="32"/>
      <c r="J77" s="33"/>
      <c r="K77" s="34"/>
      <c r="L77" s="27">
        <v>4</v>
      </c>
      <c r="M77" s="32"/>
      <c r="N77" s="1"/>
      <c r="O77" s="33"/>
      <c r="P77" s="34"/>
      <c r="Q77" s="27">
        <v>13</v>
      </c>
      <c r="R77" s="32"/>
      <c r="S77" s="33"/>
      <c r="T77" s="34"/>
      <c r="U77" s="27">
        <v>14</v>
      </c>
      <c r="V77" s="32"/>
      <c r="W77" s="33"/>
      <c r="X77" s="34"/>
      <c r="Y77" s="27">
        <v>15</v>
      </c>
      <c r="Z77" s="32"/>
      <c r="AA77" s="1"/>
      <c r="AB77" s="1"/>
      <c r="AC77" s="33"/>
      <c r="AD77" s="34"/>
      <c r="AE77" s="27">
        <v>6</v>
      </c>
      <c r="AF77" s="32"/>
      <c r="AG77" s="33"/>
      <c r="AH77" s="34"/>
      <c r="AI77" s="27">
        <v>5</v>
      </c>
      <c r="AJ77" s="32"/>
      <c r="AK77" s="33"/>
      <c r="AL77" s="34"/>
      <c r="AM77" s="27">
        <v>4</v>
      </c>
      <c r="AN77" s="32"/>
      <c r="AO77" s="16"/>
      <c r="AP77" s="1"/>
      <c r="AQ77" s="33"/>
      <c r="AR77" s="34"/>
      <c r="AS77" s="27">
        <v>13</v>
      </c>
      <c r="AT77" s="32"/>
      <c r="AU77" s="33"/>
      <c r="AV77" s="34"/>
      <c r="AW77" s="27">
        <v>14</v>
      </c>
      <c r="AX77" s="32"/>
      <c r="AY77" s="33"/>
      <c r="AZ77" s="34"/>
      <c r="BA77" s="27">
        <v>15</v>
      </c>
      <c r="BB77" s="32"/>
      <c r="BC77" s="1"/>
      <c r="BD77" s="1"/>
      <c r="BE77" s="33"/>
      <c r="BF77" s="34"/>
      <c r="BG77" s="27">
        <v>6</v>
      </c>
      <c r="BH77" s="32"/>
      <c r="BI77" s="33"/>
      <c r="BJ77" s="34"/>
      <c r="BK77" s="27">
        <v>5</v>
      </c>
      <c r="BL77" s="32"/>
      <c r="BM77" s="33"/>
      <c r="BN77" s="34"/>
      <c r="BO77" s="27">
        <v>4</v>
      </c>
      <c r="BP77" s="32"/>
      <c r="BQ77" s="1"/>
      <c r="BR77" s="33"/>
      <c r="BS77" s="34"/>
      <c r="BT77" s="27">
        <v>13</v>
      </c>
      <c r="BU77" s="32"/>
      <c r="BV77" s="33"/>
      <c r="BW77" s="34"/>
      <c r="BX77" s="27">
        <v>14</v>
      </c>
      <c r="BY77" s="32"/>
      <c r="BZ77" s="33"/>
      <c r="CA77" s="34"/>
      <c r="CB77" s="27">
        <v>15</v>
      </c>
      <c r="CC77" s="32"/>
    </row>
    <row r="78" spans="2:81">
      <c r="B78" s="28"/>
      <c r="C78" s="29"/>
      <c r="D78" s="30"/>
      <c r="E78" s="31"/>
      <c r="F78" s="28"/>
      <c r="G78" s="29"/>
      <c r="H78" s="30"/>
      <c r="I78" s="31"/>
      <c r="J78" s="28"/>
      <c r="K78" s="29"/>
      <c r="L78" s="30"/>
      <c r="M78" s="31"/>
      <c r="N78" s="1"/>
      <c r="O78" s="28"/>
      <c r="P78" s="29"/>
      <c r="Q78" s="30"/>
      <c r="R78" s="31"/>
      <c r="S78" s="28"/>
      <c r="T78" s="29"/>
      <c r="U78" s="30"/>
      <c r="V78" s="31"/>
      <c r="W78" s="28"/>
      <c r="X78" s="29"/>
      <c r="Y78" s="30"/>
      <c r="Z78" s="31"/>
      <c r="AA78" s="1"/>
      <c r="AB78" s="1"/>
      <c r="AC78" s="28"/>
      <c r="AD78" s="29"/>
      <c r="AE78" s="30"/>
      <c r="AF78" s="31"/>
      <c r="AG78" s="28"/>
      <c r="AH78" s="29"/>
      <c r="AI78" s="30"/>
      <c r="AJ78" s="31"/>
      <c r="AK78" s="28"/>
      <c r="AL78" s="29"/>
      <c r="AM78" s="30"/>
      <c r="AN78" s="31"/>
      <c r="AO78" s="16"/>
      <c r="AP78" s="1"/>
      <c r="AQ78" s="28"/>
      <c r="AR78" s="29"/>
      <c r="AS78" s="30"/>
      <c r="AT78" s="31"/>
      <c r="AU78" s="28"/>
      <c r="AV78" s="29"/>
      <c r="AW78" s="30"/>
      <c r="AX78" s="31"/>
      <c r="AY78" s="28"/>
      <c r="AZ78" s="29"/>
      <c r="BA78" s="30"/>
      <c r="BB78" s="31"/>
      <c r="BC78" s="1"/>
      <c r="BD78" s="1"/>
      <c r="BE78" s="28"/>
      <c r="BF78" s="29"/>
      <c r="BG78" s="30"/>
      <c r="BH78" s="31"/>
      <c r="BI78" s="28"/>
      <c r="BJ78" s="29"/>
      <c r="BK78" s="30"/>
      <c r="BL78" s="31"/>
      <c r="BM78" s="28"/>
      <c r="BN78" s="29"/>
      <c r="BO78" s="30"/>
      <c r="BP78" s="31"/>
      <c r="BQ78" s="1"/>
      <c r="BR78" s="28"/>
      <c r="BS78" s="29"/>
      <c r="BT78" s="30"/>
      <c r="BU78" s="31"/>
      <c r="BV78" s="28"/>
      <c r="BW78" s="29"/>
      <c r="BX78" s="30"/>
      <c r="BY78" s="31"/>
      <c r="BZ78" s="28"/>
      <c r="CA78" s="29"/>
      <c r="CB78" s="30"/>
      <c r="CC78" s="31"/>
    </row>
    <row r="79" spans="2:81" ht="15" thickBot="1">
      <c r="B79" s="27">
        <v>9</v>
      </c>
      <c r="C79" s="32"/>
      <c r="D79" s="33"/>
      <c r="E79" s="34"/>
      <c r="F79" s="27">
        <v>8</v>
      </c>
      <c r="G79" s="32"/>
      <c r="H79" s="33"/>
      <c r="I79" s="34"/>
      <c r="J79" s="27">
        <v>7</v>
      </c>
      <c r="K79" s="32"/>
      <c r="L79" s="33"/>
      <c r="M79" s="34"/>
      <c r="N79" s="1"/>
      <c r="O79" s="27">
        <v>10</v>
      </c>
      <c r="P79" s="32"/>
      <c r="Q79" s="33"/>
      <c r="R79" s="34"/>
      <c r="S79" s="27">
        <v>11</v>
      </c>
      <c r="T79" s="32"/>
      <c r="U79" s="33"/>
      <c r="V79" s="34"/>
      <c r="W79" s="27">
        <v>12</v>
      </c>
      <c r="X79" s="32"/>
      <c r="Y79" s="33"/>
      <c r="Z79" s="34"/>
      <c r="AA79" s="1"/>
      <c r="AB79" s="1"/>
      <c r="AC79" s="27">
        <v>9</v>
      </c>
      <c r="AD79" s="32"/>
      <c r="AE79" s="33"/>
      <c r="AF79" s="34"/>
      <c r="AG79" s="27">
        <v>8</v>
      </c>
      <c r="AH79" s="32"/>
      <c r="AI79" s="33"/>
      <c r="AJ79" s="34"/>
      <c r="AK79" s="27">
        <v>7</v>
      </c>
      <c r="AL79" s="32"/>
      <c r="AM79" s="33"/>
      <c r="AN79" s="34"/>
      <c r="AO79" s="16"/>
      <c r="AP79" s="1"/>
      <c r="AQ79" s="27">
        <v>10</v>
      </c>
      <c r="AR79" s="32"/>
      <c r="AS79" s="33"/>
      <c r="AT79" s="34"/>
      <c r="AU79" s="27">
        <v>11</v>
      </c>
      <c r="AV79" s="32"/>
      <c r="AW79" s="33"/>
      <c r="AX79" s="34"/>
      <c r="AY79" s="27">
        <v>12</v>
      </c>
      <c r="AZ79" s="32"/>
      <c r="BA79" s="33"/>
      <c r="BB79" s="34"/>
      <c r="BC79" s="1"/>
      <c r="BD79" s="1"/>
      <c r="BE79" s="27">
        <v>9</v>
      </c>
      <c r="BF79" s="32"/>
      <c r="BG79" s="33"/>
      <c r="BH79" s="34"/>
      <c r="BI79" s="27">
        <v>8</v>
      </c>
      <c r="BJ79" s="32"/>
      <c r="BK79" s="33"/>
      <c r="BL79" s="34"/>
      <c r="BM79" s="27">
        <v>7</v>
      </c>
      <c r="BN79" s="32"/>
      <c r="BO79" s="33"/>
      <c r="BP79" s="34"/>
      <c r="BQ79" s="1"/>
      <c r="BR79" s="27">
        <v>10</v>
      </c>
      <c r="BS79" s="32"/>
      <c r="BT79" s="33"/>
      <c r="BU79" s="34"/>
      <c r="BV79" s="27">
        <v>11</v>
      </c>
      <c r="BW79" s="32"/>
      <c r="BX79" s="33"/>
      <c r="BY79" s="34"/>
      <c r="BZ79" s="27">
        <v>12</v>
      </c>
      <c r="CA79" s="32"/>
      <c r="CB79" s="33"/>
      <c r="CC79" s="34"/>
    </row>
    <row r="80" spans="2:81">
      <c r="B80" s="30"/>
      <c r="C80" s="31"/>
      <c r="D80" s="28"/>
      <c r="E80" s="29"/>
      <c r="F80" s="30"/>
      <c r="G80" s="31"/>
      <c r="H80" s="28"/>
      <c r="I80" s="29"/>
      <c r="J80" s="30"/>
      <c r="K80" s="31"/>
      <c r="L80" s="28"/>
      <c r="M80" s="29"/>
      <c r="N80" s="1"/>
      <c r="O80" s="30"/>
      <c r="P80" s="31"/>
      <c r="Q80" s="28"/>
      <c r="R80" s="29"/>
      <c r="S80" s="30"/>
      <c r="T80" s="31"/>
      <c r="U80" s="28"/>
      <c r="V80" s="29"/>
      <c r="W80" s="30"/>
      <c r="X80" s="31"/>
      <c r="Y80" s="28"/>
      <c r="Z80" s="29"/>
      <c r="AA80" s="1"/>
      <c r="AB80" s="1"/>
      <c r="AC80" s="30"/>
      <c r="AD80" s="31"/>
      <c r="AE80" s="28"/>
      <c r="AF80" s="29"/>
      <c r="AG80" s="30"/>
      <c r="AH80" s="31"/>
      <c r="AI80" s="28"/>
      <c r="AJ80" s="29"/>
      <c r="AK80" s="30"/>
      <c r="AL80" s="31"/>
      <c r="AM80" s="28"/>
      <c r="AN80" s="29"/>
      <c r="AO80" s="16"/>
      <c r="AP80" s="1"/>
      <c r="AQ80" s="30"/>
      <c r="AR80" s="31"/>
      <c r="AS80" s="28"/>
      <c r="AT80" s="29"/>
      <c r="AU80" s="30"/>
      <c r="AV80" s="31"/>
      <c r="AW80" s="28"/>
      <c r="AX80" s="29"/>
      <c r="AY80" s="30"/>
      <c r="AZ80" s="31"/>
      <c r="BA80" s="28"/>
      <c r="BB80" s="29"/>
      <c r="BC80" s="1"/>
      <c r="BD80" s="1"/>
      <c r="BE80" s="30"/>
      <c r="BF80" s="31"/>
      <c r="BG80" s="28"/>
      <c r="BH80" s="29"/>
      <c r="BI80" s="30"/>
      <c r="BJ80" s="31"/>
      <c r="BK80" s="28"/>
      <c r="BL80" s="29"/>
      <c r="BM80" s="30"/>
      <c r="BN80" s="31"/>
      <c r="BO80" s="28"/>
      <c r="BP80" s="29"/>
      <c r="BQ80" s="1"/>
      <c r="BR80" s="30"/>
      <c r="BS80" s="31"/>
      <c r="BT80" s="28"/>
      <c r="BU80" s="29"/>
      <c r="BV80" s="30"/>
      <c r="BW80" s="31"/>
      <c r="BX80" s="28"/>
      <c r="BY80" s="29"/>
      <c r="BZ80" s="30"/>
      <c r="CA80" s="31"/>
      <c r="CB80" s="28"/>
      <c r="CC80" s="29"/>
    </row>
    <row r="81" spans="2:81" ht="15" thickBot="1">
      <c r="B81" s="33"/>
      <c r="C81" s="34"/>
      <c r="D81" s="27">
        <v>12</v>
      </c>
      <c r="E81" s="32"/>
      <c r="F81" s="33"/>
      <c r="G81" s="34"/>
      <c r="H81" s="27">
        <v>11</v>
      </c>
      <c r="I81" s="32"/>
      <c r="J81" s="33"/>
      <c r="K81" s="34"/>
      <c r="L81" s="27">
        <v>10</v>
      </c>
      <c r="M81" s="32"/>
      <c r="N81" s="1"/>
      <c r="O81" s="33"/>
      <c r="P81" s="34"/>
      <c r="Q81" s="27">
        <v>7</v>
      </c>
      <c r="R81" s="32"/>
      <c r="S81" s="33"/>
      <c r="T81" s="34"/>
      <c r="U81" s="27">
        <v>8</v>
      </c>
      <c r="V81" s="32"/>
      <c r="W81" s="33"/>
      <c r="X81" s="34"/>
      <c r="Y81" s="27">
        <v>9</v>
      </c>
      <c r="Z81" s="32"/>
      <c r="AA81" s="1"/>
      <c r="AB81" s="1"/>
      <c r="AC81" s="33"/>
      <c r="AD81" s="34"/>
      <c r="AE81" s="27">
        <v>12</v>
      </c>
      <c r="AF81" s="32"/>
      <c r="AG81" s="33"/>
      <c r="AH81" s="34"/>
      <c r="AI81" s="27">
        <v>11</v>
      </c>
      <c r="AJ81" s="32"/>
      <c r="AK81" s="33"/>
      <c r="AL81" s="34"/>
      <c r="AM81" s="27">
        <v>10</v>
      </c>
      <c r="AN81" s="32"/>
      <c r="AO81" s="16"/>
      <c r="AP81" s="1"/>
      <c r="AQ81" s="33"/>
      <c r="AR81" s="34"/>
      <c r="AS81" s="27">
        <v>7</v>
      </c>
      <c r="AT81" s="32"/>
      <c r="AU81" s="33"/>
      <c r="AV81" s="34"/>
      <c r="AW81" s="27">
        <v>8</v>
      </c>
      <c r="AX81" s="32"/>
      <c r="AY81" s="33"/>
      <c r="AZ81" s="34"/>
      <c r="BA81" s="27">
        <v>9</v>
      </c>
      <c r="BB81" s="32"/>
      <c r="BC81" s="1"/>
      <c r="BD81" s="1"/>
      <c r="BE81" s="33"/>
      <c r="BF81" s="34"/>
      <c r="BG81" s="27">
        <v>12</v>
      </c>
      <c r="BH81" s="32"/>
      <c r="BI81" s="33"/>
      <c r="BJ81" s="34"/>
      <c r="BK81" s="27">
        <v>11</v>
      </c>
      <c r="BL81" s="32"/>
      <c r="BM81" s="33"/>
      <c r="BN81" s="34"/>
      <c r="BO81" s="27">
        <v>10</v>
      </c>
      <c r="BP81" s="32"/>
      <c r="BQ81" s="1"/>
      <c r="BR81" s="33"/>
      <c r="BS81" s="34"/>
      <c r="BT81" s="27">
        <v>7</v>
      </c>
      <c r="BU81" s="32"/>
      <c r="BV81" s="33"/>
      <c r="BW81" s="34"/>
      <c r="BX81" s="27">
        <v>8</v>
      </c>
      <c r="BY81" s="32"/>
      <c r="BZ81" s="33"/>
      <c r="CA81" s="34"/>
      <c r="CB81" s="27">
        <v>9</v>
      </c>
      <c r="CC81" s="32"/>
    </row>
    <row r="82" spans="2:81">
      <c r="B82" s="28"/>
      <c r="C82" s="29"/>
      <c r="D82" s="30"/>
      <c r="E82" s="31"/>
      <c r="F82" s="28"/>
      <c r="G82" s="29"/>
      <c r="H82" s="30"/>
      <c r="I82" s="31"/>
      <c r="J82" s="28"/>
      <c r="K82" s="29"/>
      <c r="L82" s="30"/>
      <c r="M82" s="31"/>
      <c r="N82" s="1"/>
      <c r="O82" s="28"/>
      <c r="P82" s="29"/>
      <c r="Q82" s="30"/>
      <c r="R82" s="31"/>
      <c r="S82" s="28"/>
      <c r="T82" s="29"/>
      <c r="U82" s="30"/>
      <c r="V82" s="31"/>
      <c r="W82" s="28"/>
      <c r="X82" s="29"/>
      <c r="Y82" s="30"/>
      <c r="Z82" s="31"/>
      <c r="AA82" s="1"/>
      <c r="AB82" s="1"/>
      <c r="AC82" s="28"/>
      <c r="AD82" s="29"/>
      <c r="AE82" s="30"/>
      <c r="AF82" s="31"/>
      <c r="AG82" s="28"/>
      <c r="AH82" s="29"/>
      <c r="AI82" s="30"/>
      <c r="AJ82" s="31"/>
      <c r="AK82" s="28"/>
      <c r="AL82" s="29"/>
      <c r="AM82" s="30"/>
      <c r="AN82" s="31"/>
      <c r="AO82" s="16"/>
      <c r="AP82" s="1"/>
      <c r="AQ82" s="28"/>
      <c r="AR82" s="29"/>
      <c r="AS82" s="30"/>
      <c r="AT82" s="31"/>
      <c r="AU82" s="28"/>
      <c r="AV82" s="29"/>
      <c r="AW82" s="30"/>
      <c r="AX82" s="31"/>
      <c r="AY82" s="28"/>
      <c r="AZ82" s="29"/>
      <c r="BA82" s="30"/>
      <c r="BB82" s="31"/>
      <c r="BC82" s="1"/>
      <c r="BD82" s="1"/>
      <c r="BE82" s="28"/>
      <c r="BF82" s="29"/>
      <c r="BG82" s="30"/>
      <c r="BH82" s="31"/>
      <c r="BI82" s="28"/>
      <c r="BJ82" s="29"/>
      <c r="BK82" s="30"/>
      <c r="BL82" s="31"/>
      <c r="BM82" s="28"/>
      <c r="BN82" s="29"/>
      <c r="BO82" s="30"/>
      <c r="BP82" s="31"/>
      <c r="BQ82" s="1"/>
      <c r="BR82" s="28"/>
      <c r="BS82" s="29"/>
      <c r="BT82" s="30"/>
      <c r="BU82" s="31"/>
      <c r="BV82" s="28"/>
      <c r="BW82" s="29"/>
      <c r="BX82" s="30"/>
      <c r="BY82" s="31"/>
      <c r="BZ82" s="28"/>
      <c r="CA82" s="29"/>
      <c r="CB82" s="30"/>
      <c r="CC82" s="31"/>
    </row>
    <row r="83" spans="2:81" ht="15" thickBot="1">
      <c r="B83" s="27">
        <v>15</v>
      </c>
      <c r="C83" s="32"/>
      <c r="D83" s="33"/>
      <c r="E83" s="34"/>
      <c r="F83" s="27">
        <v>14</v>
      </c>
      <c r="G83" s="32"/>
      <c r="H83" s="33"/>
      <c r="I83" s="34"/>
      <c r="J83" s="27">
        <v>13</v>
      </c>
      <c r="K83" s="32"/>
      <c r="L83" s="33"/>
      <c r="M83" s="34"/>
      <c r="N83" s="1"/>
      <c r="O83" s="27">
        <v>4</v>
      </c>
      <c r="P83" s="32"/>
      <c r="Q83" s="33"/>
      <c r="R83" s="34"/>
      <c r="S83" s="27">
        <v>5</v>
      </c>
      <c r="T83" s="32"/>
      <c r="U83" s="33"/>
      <c r="V83" s="34"/>
      <c r="W83" s="27">
        <v>6</v>
      </c>
      <c r="X83" s="32"/>
      <c r="Y83" s="33"/>
      <c r="Z83" s="34"/>
      <c r="AA83" s="1"/>
      <c r="AB83" s="1"/>
      <c r="AC83" s="27">
        <v>15</v>
      </c>
      <c r="AD83" s="32"/>
      <c r="AE83" s="33"/>
      <c r="AF83" s="34"/>
      <c r="AG83" s="27">
        <v>14</v>
      </c>
      <c r="AH83" s="32"/>
      <c r="AI83" s="33"/>
      <c r="AJ83" s="34"/>
      <c r="AK83" s="27">
        <v>13</v>
      </c>
      <c r="AL83" s="32"/>
      <c r="AM83" s="33"/>
      <c r="AN83" s="34"/>
      <c r="AO83" s="16"/>
      <c r="AP83" s="1"/>
      <c r="AQ83" s="27">
        <v>4</v>
      </c>
      <c r="AR83" s="32"/>
      <c r="AS83" s="33"/>
      <c r="AT83" s="34"/>
      <c r="AU83" s="27">
        <v>5</v>
      </c>
      <c r="AV83" s="32"/>
      <c r="AW83" s="33"/>
      <c r="AX83" s="34"/>
      <c r="AY83" s="27">
        <v>6</v>
      </c>
      <c r="AZ83" s="32"/>
      <c r="BA83" s="33"/>
      <c r="BB83" s="34"/>
      <c r="BC83" s="1"/>
      <c r="BD83" s="1"/>
      <c r="BE83" s="27">
        <v>15</v>
      </c>
      <c r="BF83" s="32"/>
      <c r="BG83" s="33"/>
      <c r="BH83" s="34"/>
      <c r="BI83" s="27">
        <v>14</v>
      </c>
      <c r="BJ83" s="32"/>
      <c r="BK83" s="33"/>
      <c r="BL83" s="34"/>
      <c r="BM83" s="27">
        <v>13</v>
      </c>
      <c r="BN83" s="32"/>
      <c r="BO83" s="33"/>
      <c r="BP83" s="34"/>
      <c r="BQ83" s="1"/>
      <c r="BR83" s="27">
        <v>4</v>
      </c>
      <c r="BS83" s="32"/>
      <c r="BT83" s="33"/>
      <c r="BU83" s="34"/>
      <c r="BV83" s="27">
        <v>5</v>
      </c>
      <c r="BW83" s="32"/>
      <c r="BX83" s="33"/>
      <c r="BY83" s="34"/>
      <c r="BZ83" s="27">
        <v>6</v>
      </c>
      <c r="CA83" s="32"/>
      <c r="CB83" s="33"/>
      <c r="CC83" s="34"/>
    </row>
    <row r="84" spans="2:81">
      <c r="B84" s="30"/>
      <c r="C84" s="31"/>
      <c r="D84" s="28"/>
      <c r="E84" s="29"/>
      <c r="F84" s="30"/>
      <c r="G84" s="31"/>
      <c r="H84" s="28"/>
      <c r="I84" s="29"/>
      <c r="J84" s="30"/>
      <c r="K84" s="31"/>
      <c r="L84" s="28"/>
      <c r="M84" s="29"/>
      <c r="N84" s="1"/>
      <c r="O84" s="30"/>
      <c r="P84" s="31"/>
      <c r="Q84" s="28"/>
      <c r="R84" s="29"/>
      <c r="S84" s="30"/>
      <c r="T84" s="31"/>
      <c r="U84" s="28"/>
      <c r="V84" s="29"/>
      <c r="W84" s="30"/>
      <c r="X84" s="31"/>
      <c r="Y84" s="28"/>
      <c r="Z84" s="29"/>
      <c r="AA84" s="1"/>
      <c r="AB84" s="1"/>
      <c r="AC84" s="30"/>
      <c r="AD84" s="31"/>
      <c r="AE84" s="28"/>
      <c r="AF84" s="29"/>
      <c r="AG84" s="30"/>
      <c r="AH84" s="31"/>
      <c r="AI84" s="28"/>
      <c r="AJ84" s="29"/>
      <c r="AK84" s="30"/>
      <c r="AL84" s="31"/>
      <c r="AM84" s="28"/>
      <c r="AN84" s="29"/>
      <c r="AO84" s="16"/>
      <c r="AP84" s="1"/>
      <c r="AQ84" s="30"/>
      <c r="AR84" s="31"/>
      <c r="AS84" s="28"/>
      <c r="AT84" s="29"/>
      <c r="AU84" s="30"/>
      <c r="AV84" s="31"/>
      <c r="AW84" s="28"/>
      <c r="AX84" s="29"/>
      <c r="AY84" s="30"/>
      <c r="AZ84" s="31"/>
      <c r="BA84" s="28"/>
      <c r="BB84" s="29"/>
      <c r="BC84" s="1"/>
      <c r="BD84" s="1"/>
      <c r="BE84" s="30"/>
      <c r="BF84" s="31"/>
      <c r="BG84" s="28"/>
      <c r="BH84" s="29"/>
      <c r="BI84" s="30"/>
      <c r="BJ84" s="31"/>
      <c r="BK84" s="28"/>
      <c r="BL84" s="29"/>
      <c r="BM84" s="30"/>
      <c r="BN84" s="31"/>
      <c r="BO84" s="28"/>
      <c r="BP84" s="29"/>
      <c r="BQ84" s="1"/>
      <c r="BR84" s="30"/>
      <c r="BS84" s="31"/>
      <c r="BT84" s="28"/>
      <c r="BU84" s="29"/>
      <c r="BV84" s="30"/>
      <c r="BW84" s="31"/>
      <c r="BX84" s="28"/>
      <c r="BY84" s="29"/>
      <c r="BZ84" s="30"/>
      <c r="CA84" s="31"/>
      <c r="CB84" s="28"/>
      <c r="CC84" s="29"/>
    </row>
    <row r="85" spans="2:81" ht="15" thickBot="1">
      <c r="B85" s="33"/>
      <c r="C85" s="34"/>
      <c r="D85" s="27">
        <v>18</v>
      </c>
      <c r="E85" s="32"/>
      <c r="F85" s="33"/>
      <c r="G85" s="34"/>
      <c r="H85" s="27">
        <v>17</v>
      </c>
      <c r="I85" s="32"/>
      <c r="J85" s="33"/>
      <c r="K85" s="34"/>
      <c r="L85" s="27">
        <v>16</v>
      </c>
      <c r="M85" s="32"/>
      <c r="N85" s="1"/>
      <c r="O85" s="33"/>
      <c r="P85" s="34"/>
      <c r="Q85" s="27">
        <v>1</v>
      </c>
      <c r="R85" s="32"/>
      <c r="S85" s="33"/>
      <c r="T85" s="34"/>
      <c r="U85" s="27">
        <v>2</v>
      </c>
      <c r="V85" s="32"/>
      <c r="W85" s="33"/>
      <c r="X85" s="34"/>
      <c r="Y85" s="27">
        <v>3</v>
      </c>
      <c r="Z85" s="32"/>
      <c r="AA85" s="1"/>
      <c r="AB85" s="1"/>
      <c r="AC85" s="33"/>
      <c r="AD85" s="34"/>
      <c r="AE85" s="27">
        <v>18</v>
      </c>
      <c r="AF85" s="32"/>
      <c r="AG85" s="33"/>
      <c r="AH85" s="34"/>
      <c r="AI85" s="27">
        <v>17</v>
      </c>
      <c r="AJ85" s="32"/>
      <c r="AK85" s="33"/>
      <c r="AL85" s="34"/>
      <c r="AM85" s="27">
        <v>16</v>
      </c>
      <c r="AN85" s="32"/>
      <c r="AO85" s="16"/>
      <c r="AP85" s="1"/>
      <c r="AQ85" s="33"/>
      <c r="AR85" s="34"/>
      <c r="AS85" s="27">
        <v>1</v>
      </c>
      <c r="AT85" s="32"/>
      <c r="AU85" s="33"/>
      <c r="AV85" s="34"/>
      <c r="AW85" s="27">
        <v>2</v>
      </c>
      <c r="AX85" s="32"/>
      <c r="AY85" s="33"/>
      <c r="AZ85" s="34"/>
      <c r="BA85" s="27">
        <v>3</v>
      </c>
      <c r="BB85" s="32"/>
      <c r="BC85" s="1"/>
      <c r="BD85" s="1"/>
      <c r="BE85" s="33"/>
      <c r="BF85" s="34"/>
      <c r="BG85" s="27">
        <v>18</v>
      </c>
      <c r="BH85" s="32"/>
      <c r="BI85" s="33"/>
      <c r="BJ85" s="34"/>
      <c r="BK85" s="27">
        <v>17</v>
      </c>
      <c r="BL85" s="32"/>
      <c r="BM85" s="33"/>
      <c r="BN85" s="34"/>
      <c r="BO85" s="27">
        <v>16</v>
      </c>
      <c r="BP85" s="32"/>
      <c r="BQ85" s="1"/>
      <c r="BR85" s="33"/>
      <c r="BS85" s="34"/>
      <c r="BT85" s="27">
        <v>1</v>
      </c>
      <c r="BU85" s="32"/>
      <c r="BV85" s="33"/>
      <c r="BW85" s="34"/>
      <c r="BX85" s="27">
        <v>2</v>
      </c>
      <c r="BY85" s="32"/>
      <c r="BZ85" s="33"/>
      <c r="CA85" s="34"/>
      <c r="CB85" s="27">
        <v>3</v>
      </c>
      <c r="CC85" s="32"/>
    </row>
    <row r="86" spans="2:81" s="1" customFormat="1"/>
    <row r="87" spans="2:81" s="1" customFormat="1"/>
    <row r="88" spans="2:81" s="1" customFormat="1"/>
    <row r="89" spans="2:81" s="1" customFormat="1"/>
  </sheetData>
  <mergeCells count="3">
    <mergeCell ref="B7:AN7"/>
    <mergeCell ref="AQ7:CC7"/>
    <mergeCell ref="AC1:BB1"/>
  </mergeCells>
  <pageMargins left="0.25" right="0.25" top="0.75" bottom="0.75" header="0.3" footer="0.3"/>
  <pageSetup scale="34" orientation="landscape" r:id="rId1"/>
  <headerFooter>
    <oddHeader>&amp;R&amp;"Calibri"&amp;10&amp;K000000 Unclassified / Non classifié&amp;1#_x000D_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5DA9-585B-48BD-B5E5-DD04C843FCFB}">
  <dimension ref="A1:AT105"/>
  <sheetViews>
    <sheetView topLeftCell="C1" zoomScale="68" zoomScaleNormal="68" workbookViewId="0">
      <selection activeCell="AL34" sqref="AL34"/>
    </sheetView>
  </sheetViews>
  <sheetFormatPr defaultColWidth="9.26953125" defaultRowHeight="14.5"/>
  <cols>
    <col min="1" max="1" width="3.7265625" style="43" customWidth="1"/>
    <col min="2" max="2" width="6.453125" style="47" customWidth="1"/>
    <col min="3" max="3" width="9.453125" style="47" bestFit="1" customWidth="1"/>
    <col min="4" max="4" width="9.26953125" style="47" bestFit="1" customWidth="1"/>
    <col min="5" max="5" width="18.7265625" style="82" bestFit="1" customWidth="1"/>
    <col min="6" max="6" width="6.453125" style="45" customWidth="1"/>
    <col min="7" max="7" width="6.453125" style="47" customWidth="1"/>
    <col min="8" max="8" width="9.453125" style="82" bestFit="1" customWidth="1"/>
    <col min="9" max="9" width="9.26953125" style="82" bestFit="1" customWidth="1"/>
    <col min="10" max="10" width="18.7265625" style="82" bestFit="1" customWidth="1"/>
    <col min="11" max="11" width="8.54296875" style="82" bestFit="1" customWidth="1"/>
    <col min="12" max="12" width="10.453125" style="82" bestFit="1" customWidth="1"/>
    <col min="13" max="13" width="10" style="82" bestFit="1" customWidth="1"/>
    <col min="14" max="14" width="7.7265625" style="47" bestFit="1" customWidth="1"/>
    <col min="15" max="15" width="10.453125" style="47" bestFit="1" customWidth="1"/>
    <col min="16" max="16" width="7.7265625" style="47" bestFit="1" customWidth="1"/>
    <col min="17" max="17" width="6.453125" style="45" customWidth="1"/>
    <col min="18" max="18" width="6.453125" style="47" customWidth="1"/>
    <col min="19" max="19" width="9.453125" style="47" bestFit="1" customWidth="1"/>
    <col min="20" max="20" width="9.26953125" style="47" bestFit="1" customWidth="1"/>
    <col min="21" max="21" width="10.7265625" style="47" bestFit="1" customWidth="1"/>
    <col min="22" max="22" width="9.26953125" style="47" bestFit="1" customWidth="1"/>
    <col min="23" max="23" width="6.54296875" style="47" customWidth="1"/>
    <col min="24" max="26" width="6.453125" style="47" customWidth="1"/>
    <col min="27" max="27" width="9.26953125" style="47"/>
    <col min="28" max="28" width="9.26953125" style="47" bestFit="1" customWidth="1"/>
    <col min="29" max="29" width="18.7265625" style="47" bestFit="1" customWidth="1"/>
    <col min="30" max="33" width="9.26953125" style="47"/>
    <col min="34" max="34" width="10.453125" style="47" bestFit="1" customWidth="1"/>
    <col min="35" max="35" width="7.54296875" style="47" bestFit="1" customWidth="1"/>
    <col min="36" max="36" width="9.26953125" style="47"/>
    <col min="37" max="37" width="11.26953125" style="47" bestFit="1" customWidth="1"/>
    <col min="38" max="38" width="9.26953125" style="47"/>
    <col min="39" max="39" width="7.7265625" style="47" bestFit="1" customWidth="1"/>
    <col min="40" max="40" width="10.7265625" style="47" bestFit="1" customWidth="1"/>
    <col min="41" max="41" width="9.26953125" style="47" bestFit="1" customWidth="1"/>
    <col min="42" max="45" width="9.26953125" style="47"/>
    <col min="46" max="46" width="18.7265625" style="47" bestFit="1" customWidth="1"/>
    <col min="47" max="16384" width="9.26953125" style="47"/>
  </cols>
  <sheetData>
    <row r="1" spans="1:46" ht="15.75" customHeight="1">
      <c r="B1" s="42" t="s">
        <v>837</v>
      </c>
      <c r="C1" s="42"/>
      <c r="D1" s="42"/>
      <c r="E1" s="44"/>
      <c r="F1" s="42"/>
      <c r="G1" s="45"/>
      <c r="H1" s="46"/>
      <c r="I1" s="46"/>
      <c r="J1" s="46"/>
      <c r="K1" s="46"/>
      <c r="L1" s="46"/>
      <c r="M1" s="46"/>
      <c r="N1" s="45"/>
      <c r="O1" s="45"/>
      <c r="P1" s="45"/>
      <c r="R1" s="45"/>
      <c r="S1" s="45"/>
      <c r="T1" s="45"/>
      <c r="U1" s="45"/>
      <c r="V1" s="45"/>
      <c r="W1" s="45"/>
      <c r="X1" s="42" t="s">
        <v>770</v>
      </c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6" ht="14.15" customHeight="1">
      <c r="B2" s="42"/>
      <c r="C2" s="42"/>
      <c r="D2" s="42"/>
      <c r="E2" s="44"/>
      <c r="F2" s="42"/>
      <c r="G2" s="45"/>
      <c r="H2" s="46"/>
      <c r="I2" s="46"/>
      <c r="J2" s="46"/>
      <c r="K2" s="46"/>
      <c r="L2" s="46"/>
      <c r="M2" s="46"/>
      <c r="N2" s="45"/>
      <c r="O2" s="45"/>
      <c r="P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</row>
    <row r="3" spans="1:46" ht="14.15" customHeight="1">
      <c r="B3" s="48" t="s">
        <v>759</v>
      </c>
      <c r="C3" s="42"/>
      <c r="D3" s="42"/>
      <c r="E3" s="44"/>
      <c r="F3" s="42"/>
      <c r="G3" s="48" t="s">
        <v>772</v>
      </c>
      <c r="H3" s="46"/>
      <c r="I3" s="46"/>
      <c r="J3" s="46"/>
      <c r="K3" s="46"/>
      <c r="L3" s="46"/>
      <c r="M3" s="46"/>
      <c r="N3" s="45"/>
      <c r="O3" s="45"/>
      <c r="P3" s="45"/>
      <c r="R3" s="48" t="s">
        <v>776</v>
      </c>
      <c r="S3" s="45"/>
      <c r="T3" s="45"/>
      <c r="U3" s="45"/>
      <c r="V3" s="45"/>
      <c r="W3" s="45"/>
      <c r="X3" s="45"/>
      <c r="Y3" s="45"/>
      <c r="Z3" s="48" t="s">
        <v>771</v>
      </c>
      <c r="AA3" s="46"/>
      <c r="AB3" s="46"/>
      <c r="AC3" s="46"/>
      <c r="AD3" s="46"/>
      <c r="AE3" s="46"/>
      <c r="AF3" s="46"/>
      <c r="AG3" s="45"/>
      <c r="AH3" s="45"/>
      <c r="AI3" s="45"/>
      <c r="AJ3" s="45"/>
      <c r="AK3" s="48" t="s">
        <v>777</v>
      </c>
      <c r="AL3" s="45"/>
      <c r="AM3" s="45"/>
      <c r="AN3" s="45"/>
      <c r="AO3" s="45"/>
      <c r="AP3" s="45"/>
      <c r="AQ3" s="45"/>
      <c r="AR3" s="45"/>
    </row>
    <row r="4" spans="1:46" ht="41.25" customHeight="1" thickBot="1">
      <c r="B4" s="229" t="s">
        <v>1050</v>
      </c>
      <c r="C4" s="229"/>
      <c r="D4" s="229"/>
      <c r="E4" s="229"/>
      <c r="F4" s="42"/>
      <c r="G4" s="229" t="s">
        <v>1051</v>
      </c>
      <c r="H4" s="229"/>
      <c r="I4" s="229"/>
      <c r="J4" s="229"/>
      <c r="K4" s="46"/>
      <c r="L4" s="46"/>
      <c r="M4" s="46"/>
      <c r="N4" s="45"/>
      <c r="O4" s="45"/>
      <c r="P4" s="45"/>
      <c r="R4" s="228">
        <v>45379</v>
      </c>
      <c r="S4" s="228"/>
      <c r="T4" s="228"/>
      <c r="U4" s="228"/>
      <c r="V4" s="228"/>
      <c r="W4" s="45"/>
      <c r="X4" s="45"/>
      <c r="Y4" s="45"/>
      <c r="Z4" s="229" t="s">
        <v>1052</v>
      </c>
      <c r="AA4" s="229"/>
      <c r="AB4" s="229"/>
      <c r="AC4" s="229"/>
      <c r="AD4" s="46"/>
      <c r="AE4" s="46"/>
      <c r="AF4" s="46"/>
      <c r="AG4" s="45"/>
      <c r="AH4" s="45"/>
      <c r="AI4" s="45"/>
      <c r="AJ4" s="45"/>
      <c r="AK4" s="228">
        <v>45407</v>
      </c>
      <c r="AL4" s="228"/>
      <c r="AM4" s="228"/>
      <c r="AN4" s="228"/>
      <c r="AO4" s="228"/>
      <c r="AP4" s="45"/>
      <c r="AQ4" s="45"/>
      <c r="AR4" s="45"/>
    </row>
    <row r="5" spans="1:46" ht="14.15" customHeight="1" thickBot="1">
      <c r="B5" s="226" t="s">
        <v>100</v>
      </c>
      <c r="C5" s="51" t="s">
        <v>760</v>
      </c>
      <c r="D5" s="52" t="s">
        <v>761</v>
      </c>
      <c r="E5" s="53" t="s">
        <v>762</v>
      </c>
      <c r="F5" s="54"/>
      <c r="G5" s="226" t="s">
        <v>100</v>
      </c>
      <c r="H5" s="51" t="s">
        <v>760</v>
      </c>
      <c r="I5" s="52" t="s">
        <v>761</v>
      </c>
      <c r="J5" s="53" t="s">
        <v>762</v>
      </c>
      <c r="K5" s="55" t="s">
        <v>763</v>
      </c>
      <c r="L5" s="55" t="s">
        <v>764</v>
      </c>
      <c r="M5" s="55" t="s">
        <v>765</v>
      </c>
      <c r="N5" s="52" t="s">
        <v>103</v>
      </c>
      <c r="O5" s="55" t="s">
        <v>766</v>
      </c>
      <c r="P5" s="52" t="s">
        <v>103</v>
      </c>
      <c r="R5" s="226" t="s">
        <v>100</v>
      </c>
      <c r="S5" s="51" t="s">
        <v>760</v>
      </c>
      <c r="T5" s="52" t="s">
        <v>103</v>
      </c>
      <c r="U5" s="52" t="s">
        <v>767</v>
      </c>
      <c r="V5" s="52" t="s">
        <v>761</v>
      </c>
      <c r="W5" s="59"/>
      <c r="X5" s="83"/>
      <c r="Y5" s="59"/>
      <c r="Z5" s="226" t="s">
        <v>100</v>
      </c>
      <c r="AA5" s="51" t="s">
        <v>760</v>
      </c>
      <c r="AB5" s="52" t="s">
        <v>761</v>
      </c>
      <c r="AC5" s="53" t="s">
        <v>762</v>
      </c>
      <c r="AD5" s="55" t="s">
        <v>763</v>
      </c>
      <c r="AE5" s="55" t="s">
        <v>764</v>
      </c>
      <c r="AF5" s="55" t="s">
        <v>765</v>
      </c>
      <c r="AG5" s="52" t="s">
        <v>103</v>
      </c>
      <c r="AH5" s="55" t="s">
        <v>766</v>
      </c>
      <c r="AI5" s="52" t="s">
        <v>103</v>
      </c>
      <c r="AJ5" s="45"/>
      <c r="AK5" s="226" t="s">
        <v>100</v>
      </c>
      <c r="AL5" s="51" t="s">
        <v>760</v>
      </c>
      <c r="AM5" s="52" t="s">
        <v>103</v>
      </c>
      <c r="AN5" s="52" t="s">
        <v>767</v>
      </c>
      <c r="AO5" s="52" t="s">
        <v>103</v>
      </c>
      <c r="AP5" s="59"/>
      <c r="AQ5" s="83"/>
      <c r="AR5" s="59"/>
    </row>
    <row r="6" spans="1:46" ht="14.15" customHeight="1" thickBot="1">
      <c r="B6" s="227"/>
      <c r="C6" s="56" t="s">
        <v>768</v>
      </c>
      <c r="D6" s="57" t="s">
        <v>768</v>
      </c>
      <c r="E6" s="58" t="s">
        <v>768</v>
      </c>
      <c r="F6" s="59"/>
      <c r="G6" s="227"/>
      <c r="H6" s="56" t="s">
        <v>768</v>
      </c>
      <c r="I6" s="60" t="s">
        <v>768</v>
      </c>
      <c r="J6" s="61" t="s">
        <v>768</v>
      </c>
      <c r="K6" s="62" t="s">
        <v>769</v>
      </c>
      <c r="L6" s="62" t="s">
        <v>769</v>
      </c>
      <c r="M6" s="62" t="s">
        <v>769</v>
      </c>
      <c r="N6" s="61" t="s">
        <v>768</v>
      </c>
      <c r="O6" s="61" t="s">
        <v>769</v>
      </c>
      <c r="P6" s="61" t="s">
        <v>768</v>
      </c>
      <c r="R6" s="227"/>
      <c r="S6" s="56" t="s">
        <v>768</v>
      </c>
      <c r="T6" s="60" t="s">
        <v>768</v>
      </c>
      <c r="U6" s="61" t="s">
        <v>769</v>
      </c>
      <c r="V6" s="87" t="s">
        <v>768</v>
      </c>
      <c r="W6" s="59"/>
      <c r="X6" s="72"/>
      <c r="Y6" s="72"/>
      <c r="Z6" s="227"/>
      <c r="AA6" s="56" t="s">
        <v>768</v>
      </c>
      <c r="AB6" s="60" t="s">
        <v>768</v>
      </c>
      <c r="AC6" s="61" t="s">
        <v>768</v>
      </c>
      <c r="AD6" s="62" t="s">
        <v>769</v>
      </c>
      <c r="AE6" s="62" t="s">
        <v>769</v>
      </c>
      <c r="AF6" s="62" t="s">
        <v>769</v>
      </c>
      <c r="AG6" s="61" t="s">
        <v>768</v>
      </c>
      <c r="AH6" s="61" t="s">
        <v>769</v>
      </c>
      <c r="AI6" s="61" t="s">
        <v>768</v>
      </c>
      <c r="AJ6" s="45"/>
      <c r="AK6" s="227"/>
      <c r="AL6" s="56" t="s">
        <v>768</v>
      </c>
      <c r="AM6" s="60" t="s">
        <v>768</v>
      </c>
      <c r="AN6" s="61" t="s">
        <v>769</v>
      </c>
      <c r="AO6" s="60" t="s">
        <v>768</v>
      </c>
      <c r="AP6" s="59"/>
      <c r="AQ6" s="72"/>
      <c r="AR6" s="72"/>
    </row>
    <row r="7" spans="1:46" ht="15.75" customHeight="1">
      <c r="B7" s="63">
        <v>1</v>
      </c>
      <c r="C7" s="64">
        <v>12</v>
      </c>
      <c r="D7" s="188">
        <v>0.13</v>
      </c>
      <c r="E7" s="93">
        <v>1.19</v>
      </c>
      <c r="F7" s="54"/>
      <c r="G7" s="63">
        <v>1</v>
      </c>
      <c r="H7" s="64">
        <v>12</v>
      </c>
      <c r="I7" s="93">
        <v>0.08</v>
      </c>
      <c r="J7" s="93">
        <v>1.1599999999999999</v>
      </c>
      <c r="K7" s="94">
        <v>1109</v>
      </c>
      <c r="L7" s="94">
        <v>550</v>
      </c>
      <c r="M7" s="94">
        <v>3695</v>
      </c>
      <c r="N7" s="93">
        <v>10.1</v>
      </c>
      <c r="O7" s="94">
        <f>(H7-N7)*0.64*725*0.8</f>
        <v>705.2800000000002</v>
      </c>
      <c r="P7" s="93">
        <v>11.91</v>
      </c>
      <c r="R7" s="63">
        <v>1</v>
      </c>
      <c r="S7" s="64">
        <v>12</v>
      </c>
      <c r="T7" s="191">
        <v>10.99</v>
      </c>
      <c r="U7" s="94">
        <f>(S7-T7)*0.64*725*0.9</f>
        <v>421.7759999999999</v>
      </c>
      <c r="V7" s="66">
        <v>11.92</v>
      </c>
      <c r="W7" s="84"/>
      <c r="X7" s="85"/>
      <c r="Y7" s="84"/>
      <c r="Z7" s="67">
        <v>1</v>
      </c>
      <c r="AA7" s="64">
        <v>12</v>
      </c>
      <c r="AB7" s="93">
        <v>0.86</v>
      </c>
      <c r="AC7" s="93">
        <v>1.89</v>
      </c>
      <c r="AD7" s="94">
        <v>1109</v>
      </c>
      <c r="AE7" s="94">
        <v>550</v>
      </c>
      <c r="AF7" s="94">
        <v>3695</v>
      </c>
      <c r="AG7" s="93">
        <v>10.66</v>
      </c>
      <c r="AH7" s="94">
        <v>497.40800000000002</v>
      </c>
      <c r="AI7" s="93">
        <v>11.96</v>
      </c>
      <c r="AJ7" s="45"/>
      <c r="AK7" s="63">
        <v>1</v>
      </c>
      <c r="AL7" s="64">
        <v>12</v>
      </c>
      <c r="AM7" s="191">
        <v>11.67</v>
      </c>
      <c r="AN7" s="94">
        <f>IF((AL7-AM7)&gt;0,(AL7-AM7)*0.64*725*0.9,"")</f>
        <v>137.80800000000002</v>
      </c>
      <c r="AO7" s="93">
        <v>12.03</v>
      </c>
      <c r="AP7" s="84"/>
      <c r="AQ7" s="85"/>
      <c r="AR7" s="84"/>
    </row>
    <row r="8" spans="1:46" ht="15.75" customHeight="1">
      <c r="B8" s="67">
        <v>2</v>
      </c>
      <c r="C8" s="64">
        <v>12</v>
      </c>
      <c r="D8" s="189">
        <v>0.13</v>
      </c>
      <c r="E8" s="66">
        <v>1.21</v>
      </c>
      <c r="F8" s="54"/>
      <c r="G8" s="67">
        <v>2</v>
      </c>
      <c r="H8" s="64">
        <v>12</v>
      </c>
      <c r="I8" s="66">
        <v>7.0000000000000007E-2</v>
      </c>
      <c r="J8" s="66">
        <v>1.17</v>
      </c>
      <c r="K8" s="65">
        <v>1109</v>
      </c>
      <c r="L8" s="65">
        <v>550</v>
      </c>
      <c r="M8" s="65">
        <v>3695</v>
      </c>
      <c r="N8" s="66">
        <v>10.08</v>
      </c>
      <c r="O8" s="94">
        <f t="shared" ref="O8:O43" si="0">(H8-N8)*0.64*725*0.8</f>
        <v>712.70399999999995</v>
      </c>
      <c r="P8" s="66">
        <v>11.87</v>
      </c>
      <c r="R8" s="67">
        <v>2</v>
      </c>
      <c r="S8" s="64">
        <v>12</v>
      </c>
      <c r="T8" s="191">
        <v>11.05</v>
      </c>
      <c r="U8" s="94">
        <f t="shared" ref="U8:U43" si="1">(S8-T8)*0.64*725*0.9</f>
        <v>396.71999999999969</v>
      </c>
      <c r="V8" s="66">
        <v>12</v>
      </c>
      <c r="W8" s="84"/>
      <c r="X8" s="85"/>
      <c r="Y8" s="84"/>
      <c r="Z8" s="67">
        <v>2</v>
      </c>
      <c r="AA8" s="64">
        <v>12</v>
      </c>
      <c r="AB8" s="66">
        <v>0.94</v>
      </c>
      <c r="AC8" s="66">
        <v>1.94</v>
      </c>
      <c r="AD8" s="65">
        <v>1109</v>
      </c>
      <c r="AE8" s="65">
        <v>550</v>
      </c>
      <c r="AF8" s="65">
        <v>3695</v>
      </c>
      <c r="AG8" s="66">
        <v>10.67</v>
      </c>
      <c r="AH8" s="65">
        <v>493.69600000000003</v>
      </c>
      <c r="AI8" s="66">
        <v>11.98</v>
      </c>
      <c r="AJ8" s="45"/>
      <c r="AK8" s="67">
        <v>2</v>
      </c>
      <c r="AL8" s="64">
        <v>12</v>
      </c>
      <c r="AM8" s="189">
        <v>11.95</v>
      </c>
      <c r="AN8" s="65">
        <f t="shared" ref="AN8:AN43" si="2">IF((AL8-AM8)&gt;0,(AL8-AM8)*0.64*725*0.9,"")</f>
        <v>20.880000000000301</v>
      </c>
      <c r="AO8" s="66">
        <v>12</v>
      </c>
      <c r="AP8" s="84"/>
      <c r="AQ8" s="85"/>
      <c r="AR8" s="84"/>
    </row>
    <row r="9" spans="1:46" ht="15.75" customHeight="1">
      <c r="A9" s="69"/>
      <c r="B9" s="67">
        <v>3</v>
      </c>
      <c r="C9" s="64">
        <v>12</v>
      </c>
      <c r="D9" s="189">
        <v>0.11</v>
      </c>
      <c r="E9" s="66">
        <v>1.2</v>
      </c>
      <c r="F9" s="54"/>
      <c r="G9" s="67">
        <v>3</v>
      </c>
      <c r="H9" s="64">
        <v>12</v>
      </c>
      <c r="I9" s="66">
        <v>0.08</v>
      </c>
      <c r="J9" s="66">
        <v>1.17</v>
      </c>
      <c r="K9" s="65">
        <v>1109</v>
      </c>
      <c r="L9" s="65">
        <v>550</v>
      </c>
      <c r="M9" s="65">
        <v>3695</v>
      </c>
      <c r="N9" s="66">
        <v>10.119999999999999</v>
      </c>
      <c r="O9" s="94">
        <f t="shared" si="0"/>
        <v>697.85600000000034</v>
      </c>
      <c r="P9" s="66">
        <v>11.86</v>
      </c>
      <c r="R9" s="67">
        <v>3</v>
      </c>
      <c r="S9" s="64">
        <v>12</v>
      </c>
      <c r="T9" s="191">
        <v>11.03</v>
      </c>
      <c r="U9" s="94">
        <f t="shared" si="1"/>
        <v>405.07200000000029</v>
      </c>
      <c r="V9" s="66">
        <v>12.16</v>
      </c>
      <c r="W9" s="84"/>
      <c r="X9" s="86"/>
      <c r="Y9" s="84"/>
      <c r="Z9" s="67">
        <v>3</v>
      </c>
      <c r="AA9" s="64">
        <v>12</v>
      </c>
      <c r="AB9" s="66">
        <v>0.9</v>
      </c>
      <c r="AC9" s="66">
        <v>1.92</v>
      </c>
      <c r="AD9" s="65">
        <v>1109</v>
      </c>
      <c r="AE9" s="65">
        <v>550</v>
      </c>
      <c r="AF9" s="65">
        <v>3695</v>
      </c>
      <c r="AG9" s="66">
        <v>10.72</v>
      </c>
      <c r="AH9" s="65">
        <v>475.1359999999998</v>
      </c>
      <c r="AI9" s="66">
        <v>11.94</v>
      </c>
      <c r="AJ9" s="45"/>
      <c r="AK9" s="67">
        <v>3</v>
      </c>
      <c r="AL9" s="64">
        <v>12</v>
      </c>
      <c r="AM9" s="189">
        <v>12</v>
      </c>
      <c r="AN9" s="194" t="s">
        <v>782</v>
      </c>
      <c r="AO9" s="66">
        <v>12</v>
      </c>
      <c r="AP9" s="84"/>
      <c r="AQ9" s="86"/>
      <c r="AR9" s="84"/>
    </row>
    <row r="10" spans="1:46" ht="15.75" customHeight="1">
      <c r="A10" s="69"/>
      <c r="B10" s="63">
        <v>4</v>
      </c>
      <c r="C10" s="64">
        <v>12</v>
      </c>
      <c r="D10" s="189">
        <v>0.14000000000000001</v>
      </c>
      <c r="E10" s="66">
        <v>1.23</v>
      </c>
      <c r="F10" s="54"/>
      <c r="G10" s="67">
        <v>4</v>
      </c>
      <c r="H10" s="64">
        <v>12</v>
      </c>
      <c r="I10" s="66">
        <v>0.08</v>
      </c>
      <c r="J10" s="66">
        <v>1.1599999999999999</v>
      </c>
      <c r="K10" s="65">
        <v>1109</v>
      </c>
      <c r="L10" s="65">
        <v>550</v>
      </c>
      <c r="M10" s="65">
        <v>3695</v>
      </c>
      <c r="N10" s="66">
        <v>10.050000000000001</v>
      </c>
      <c r="O10" s="94">
        <f t="shared" si="0"/>
        <v>723.8399999999998</v>
      </c>
      <c r="P10" s="66">
        <v>11.93</v>
      </c>
      <c r="R10" s="63">
        <v>4</v>
      </c>
      <c r="S10" s="64">
        <v>12</v>
      </c>
      <c r="T10" s="191">
        <v>11.06</v>
      </c>
      <c r="U10" s="94">
        <f t="shared" si="1"/>
        <v>392.54399999999981</v>
      </c>
      <c r="V10" s="66">
        <v>12.14</v>
      </c>
      <c r="W10" s="84"/>
      <c r="X10" s="85"/>
      <c r="Y10" s="84"/>
      <c r="Z10" s="67">
        <v>4</v>
      </c>
      <c r="AA10" s="64">
        <v>12</v>
      </c>
      <c r="AB10" s="66">
        <v>0.88</v>
      </c>
      <c r="AC10" s="66">
        <v>1.89</v>
      </c>
      <c r="AD10" s="65">
        <v>1109</v>
      </c>
      <c r="AE10" s="65">
        <v>550</v>
      </c>
      <c r="AF10" s="65">
        <v>3695</v>
      </c>
      <c r="AG10" s="66">
        <v>10.37</v>
      </c>
      <c r="AH10" s="65">
        <v>605.05600000000038</v>
      </c>
      <c r="AI10" s="66">
        <v>11.98</v>
      </c>
      <c r="AJ10" s="45"/>
      <c r="AK10" s="63">
        <v>4</v>
      </c>
      <c r="AL10" s="64">
        <v>12</v>
      </c>
      <c r="AM10" s="189">
        <v>12.24</v>
      </c>
      <c r="AN10" s="194" t="s">
        <v>782</v>
      </c>
      <c r="AO10" s="66">
        <v>12.24</v>
      </c>
      <c r="AP10" s="84"/>
      <c r="AQ10" s="85"/>
      <c r="AR10" s="84"/>
    </row>
    <row r="11" spans="1:46" ht="15.75" customHeight="1">
      <c r="B11" s="67">
        <v>5</v>
      </c>
      <c r="C11" s="64">
        <v>12</v>
      </c>
      <c r="D11" s="189">
        <v>0.12</v>
      </c>
      <c r="E11" s="66">
        <v>1.23</v>
      </c>
      <c r="F11" s="54"/>
      <c r="G11" s="67">
        <v>5</v>
      </c>
      <c r="H11" s="64">
        <v>12</v>
      </c>
      <c r="I11" s="66">
        <v>0.06</v>
      </c>
      <c r="J11" s="66">
        <v>1.17</v>
      </c>
      <c r="K11" s="65">
        <v>1109</v>
      </c>
      <c r="L11" s="65">
        <v>550</v>
      </c>
      <c r="M11" s="65">
        <v>3695</v>
      </c>
      <c r="N11" s="66">
        <v>10.039999999999999</v>
      </c>
      <c r="O11" s="94">
        <f t="shared" si="0"/>
        <v>727.55200000000048</v>
      </c>
      <c r="P11" s="66">
        <v>11.96</v>
      </c>
      <c r="R11" s="67">
        <v>5</v>
      </c>
      <c r="S11" s="64">
        <v>12</v>
      </c>
      <c r="T11" s="191">
        <v>11.44</v>
      </c>
      <c r="U11" s="94">
        <f t="shared" si="1"/>
        <v>233.85600000000025</v>
      </c>
      <c r="V11" s="66">
        <v>11.97</v>
      </c>
      <c r="W11" s="84"/>
      <c r="X11" s="86"/>
      <c r="Y11" s="84"/>
      <c r="Z11" s="67">
        <v>5</v>
      </c>
      <c r="AA11" s="64">
        <v>12</v>
      </c>
      <c r="AB11" s="66">
        <v>0.81</v>
      </c>
      <c r="AC11" s="66">
        <v>1.84</v>
      </c>
      <c r="AD11" s="65">
        <v>1109</v>
      </c>
      <c r="AE11" s="65">
        <v>550</v>
      </c>
      <c r="AF11" s="65">
        <v>3695</v>
      </c>
      <c r="AG11" s="66">
        <v>10.52</v>
      </c>
      <c r="AH11" s="65">
        <v>549.37600000000009</v>
      </c>
      <c r="AI11" s="66">
        <v>12</v>
      </c>
      <c r="AJ11" s="45"/>
      <c r="AK11" s="67">
        <v>5</v>
      </c>
      <c r="AL11" s="64">
        <v>12</v>
      </c>
      <c r="AM11" s="189">
        <v>12.16</v>
      </c>
      <c r="AN11" s="194" t="s">
        <v>782</v>
      </c>
      <c r="AO11" s="66">
        <v>12.16</v>
      </c>
      <c r="AP11" s="84"/>
      <c r="AQ11" s="86"/>
      <c r="AR11" s="84"/>
    </row>
    <row r="12" spans="1:46" ht="15.75" customHeight="1">
      <c r="B12" s="67">
        <v>6</v>
      </c>
      <c r="C12" s="64">
        <v>12</v>
      </c>
      <c r="D12" s="189">
        <v>0.14000000000000001</v>
      </c>
      <c r="E12" s="66">
        <v>1.2</v>
      </c>
      <c r="F12" s="54"/>
      <c r="G12" s="67">
        <v>6</v>
      </c>
      <c r="H12" s="64">
        <v>12</v>
      </c>
      <c r="I12" s="66">
        <v>0.09</v>
      </c>
      <c r="J12" s="66">
        <v>1.19</v>
      </c>
      <c r="K12" s="65">
        <v>1109</v>
      </c>
      <c r="L12" s="65">
        <v>550</v>
      </c>
      <c r="M12" s="65">
        <v>3695</v>
      </c>
      <c r="N12" s="66">
        <v>10.210000000000001</v>
      </c>
      <c r="O12" s="94">
        <f t="shared" si="0"/>
        <v>664.44799999999975</v>
      </c>
      <c r="P12" s="66">
        <v>11.95</v>
      </c>
      <c r="R12" s="67">
        <v>6</v>
      </c>
      <c r="S12" s="64">
        <v>12</v>
      </c>
      <c r="T12" s="191">
        <v>10.98</v>
      </c>
      <c r="U12" s="94">
        <f t="shared" si="1"/>
        <v>425.95199999999983</v>
      </c>
      <c r="V12" s="66">
        <v>11.93</v>
      </c>
      <c r="W12" s="84"/>
      <c r="X12" s="85"/>
      <c r="Y12" s="84"/>
      <c r="Z12" s="67">
        <v>6</v>
      </c>
      <c r="AA12" s="64">
        <v>12</v>
      </c>
      <c r="AB12" s="66">
        <v>1.06</v>
      </c>
      <c r="AC12" s="66">
        <v>2.02</v>
      </c>
      <c r="AD12" s="65">
        <v>1109</v>
      </c>
      <c r="AE12" s="65">
        <v>550</v>
      </c>
      <c r="AF12" s="65">
        <v>3695</v>
      </c>
      <c r="AG12" s="66">
        <v>10.55</v>
      </c>
      <c r="AH12" s="65">
        <v>538.23999999999978</v>
      </c>
      <c r="AI12" s="66">
        <v>12</v>
      </c>
      <c r="AJ12" s="45"/>
      <c r="AK12" s="67">
        <v>6</v>
      </c>
      <c r="AL12" s="64">
        <v>12</v>
      </c>
      <c r="AM12" s="189">
        <v>12.09</v>
      </c>
      <c r="AN12" s="194" t="s">
        <v>782</v>
      </c>
      <c r="AO12" s="66">
        <v>12.09</v>
      </c>
      <c r="AP12" s="84"/>
      <c r="AQ12" s="85"/>
      <c r="AR12" s="84"/>
    </row>
    <row r="13" spans="1:46" ht="15.75" customHeight="1">
      <c r="A13" s="69"/>
      <c r="B13" s="63">
        <v>7</v>
      </c>
      <c r="C13" s="64">
        <v>12</v>
      </c>
      <c r="D13" s="189">
        <v>0.14000000000000001</v>
      </c>
      <c r="E13" s="66">
        <v>1.22</v>
      </c>
      <c r="F13" s="54"/>
      <c r="G13" s="67">
        <v>7</v>
      </c>
      <c r="H13" s="64">
        <v>12</v>
      </c>
      <c r="I13" s="66">
        <v>0.06</v>
      </c>
      <c r="J13" s="66">
        <v>1.17</v>
      </c>
      <c r="K13" s="65">
        <v>1109</v>
      </c>
      <c r="L13" s="65">
        <v>550</v>
      </c>
      <c r="M13" s="65">
        <v>3695</v>
      </c>
      <c r="N13" s="66">
        <v>10.15</v>
      </c>
      <c r="O13" s="94">
        <f t="shared" si="0"/>
        <v>686.7199999999998</v>
      </c>
      <c r="P13" s="66">
        <v>12.05</v>
      </c>
      <c r="R13" s="63">
        <v>7</v>
      </c>
      <c r="S13" s="64">
        <v>12</v>
      </c>
      <c r="T13" s="191">
        <v>11.03</v>
      </c>
      <c r="U13" s="94">
        <f t="shared" si="1"/>
        <v>405.07200000000029</v>
      </c>
      <c r="V13" s="66">
        <v>12.05</v>
      </c>
      <c r="W13" s="84"/>
      <c r="X13" s="85"/>
      <c r="Y13" s="84"/>
      <c r="Z13" s="67">
        <v>7</v>
      </c>
      <c r="AA13" s="64">
        <v>12</v>
      </c>
      <c r="AB13" s="66">
        <v>0.88</v>
      </c>
      <c r="AC13" s="66">
        <v>1.93</v>
      </c>
      <c r="AD13" s="65">
        <v>1109</v>
      </c>
      <c r="AE13" s="65">
        <v>550</v>
      </c>
      <c r="AF13" s="65">
        <v>3695</v>
      </c>
      <c r="AG13" s="66">
        <v>10.71</v>
      </c>
      <c r="AH13" s="65">
        <v>478.84799999999973</v>
      </c>
      <c r="AI13" s="66">
        <v>11.97</v>
      </c>
      <c r="AJ13" s="45"/>
      <c r="AK13" s="63">
        <v>7</v>
      </c>
      <c r="AL13" s="64">
        <v>12</v>
      </c>
      <c r="AM13" s="189">
        <v>11.93</v>
      </c>
      <c r="AN13" s="65">
        <f t="shared" si="2"/>
        <v>29.23200000000012</v>
      </c>
      <c r="AO13" s="66">
        <v>12.1</v>
      </c>
      <c r="AP13" s="84"/>
      <c r="AQ13" s="85"/>
      <c r="AR13" s="84"/>
      <c r="AT13" s="187"/>
    </row>
    <row r="14" spans="1:46" ht="15.75" customHeight="1">
      <c r="A14" s="69"/>
      <c r="B14" s="67">
        <v>8</v>
      </c>
      <c r="C14" s="64">
        <v>12</v>
      </c>
      <c r="D14" s="189">
        <v>0.11</v>
      </c>
      <c r="E14" s="66">
        <v>1.2</v>
      </c>
      <c r="F14" s="54"/>
      <c r="G14" s="67">
        <v>8</v>
      </c>
      <c r="H14" s="64">
        <v>12</v>
      </c>
      <c r="I14" s="66">
        <v>0.06</v>
      </c>
      <c r="J14" s="66">
        <v>1.17</v>
      </c>
      <c r="K14" s="65">
        <v>1109</v>
      </c>
      <c r="L14" s="65">
        <v>550</v>
      </c>
      <c r="M14" s="65">
        <v>3695</v>
      </c>
      <c r="N14" s="66">
        <v>10.18</v>
      </c>
      <c r="O14" s="94">
        <f t="shared" si="0"/>
        <v>675.58400000000029</v>
      </c>
      <c r="P14" s="66">
        <v>11.94</v>
      </c>
      <c r="R14" s="67">
        <v>8</v>
      </c>
      <c r="S14" s="64">
        <v>12</v>
      </c>
      <c r="T14" s="191">
        <v>10.96</v>
      </c>
      <c r="U14" s="94">
        <f t="shared" si="1"/>
        <v>434.30399999999958</v>
      </c>
      <c r="V14" s="66">
        <v>12.12</v>
      </c>
      <c r="W14" s="84"/>
      <c r="X14" s="85"/>
      <c r="Y14" s="84"/>
      <c r="Z14" s="67">
        <v>8</v>
      </c>
      <c r="AA14" s="64">
        <v>12</v>
      </c>
      <c r="AB14" s="66">
        <v>0.7</v>
      </c>
      <c r="AC14" s="66">
        <v>1.77</v>
      </c>
      <c r="AD14" s="65">
        <v>1109</v>
      </c>
      <c r="AE14" s="65">
        <v>550</v>
      </c>
      <c r="AF14" s="65">
        <v>3695</v>
      </c>
      <c r="AG14" s="66">
        <v>10.54</v>
      </c>
      <c r="AH14" s="65">
        <v>541.95200000000034</v>
      </c>
      <c r="AI14" s="66">
        <v>11.91</v>
      </c>
      <c r="AJ14" s="45"/>
      <c r="AK14" s="67">
        <v>8</v>
      </c>
      <c r="AL14" s="64">
        <v>12</v>
      </c>
      <c r="AM14" s="189">
        <v>12.07</v>
      </c>
      <c r="AN14" s="194" t="s">
        <v>782</v>
      </c>
      <c r="AO14" s="66">
        <v>12.07</v>
      </c>
      <c r="AP14" s="84"/>
      <c r="AQ14" s="85"/>
      <c r="AR14" s="84"/>
      <c r="AT14" s="187"/>
    </row>
    <row r="15" spans="1:46" ht="15.75" customHeight="1">
      <c r="B15" s="67">
        <v>9</v>
      </c>
      <c r="C15" s="64">
        <v>12</v>
      </c>
      <c r="D15" s="189">
        <v>0.14000000000000001</v>
      </c>
      <c r="E15" s="66">
        <v>1.23</v>
      </c>
      <c r="F15" s="70"/>
      <c r="G15" s="67">
        <v>9</v>
      </c>
      <c r="H15" s="64">
        <v>12</v>
      </c>
      <c r="I15" s="66">
        <v>0.05</v>
      </c>
      <c r="J15" s="66">
        <v>1.1399999999999999</v>
      </c>
      <c r="K15" s="65">
        <v>1109</v>
      </c>
      <c r="L15" s="65">
        <v>550</v>
      </c>
      <c r="M15" s="65">
        <v>3695</v>
      </c>
      <c r="N15" s="66">
        <v>10.19</v>
      </c>
      <c r="O15" s="94">
        <f t="shared" si="0"/>
        <v>671.8720000000003</v>
      </c>
      <c r="P15" s="66">
        <v>11.84</v>
      </c>
      <c r="R15" s="67">
        <v>9</v>
      </c>
      <c r="S15" s="64">
        <v>12</v>
      </c>
      <c r="T15" s="191">
        <v>11.03</v>
      </c>
      <c r="U15" s="94">
        <f t="shared" si="1"/>
        <v>405.07200000000029</v>
      </c>
      <c r="V15" s="66">
        <v>12.11</v>
      </c>
      <c r="W15" s="84"/>
      <c r="X15" s="86"/>
      <c r="Y15" s="84"/>
      <c r="Z15" s="67">
        <v>9</v>
      </c>
      <c r="AA15" s="64">
        <v>12</v>
      </c>
      <c r="AB15" s="66">
        <v>0.67</v>
      </c>
      <c r="AC15" s="66">
        <v>1.7</v>
      </c>
      <c r="AD15" s="65">
        <v>1109</v>
      </c>
      <c r="AE15" s="65">
        <v>550</v>
      </c>
      <c r="AF15" s="65">
        <v>3695</v>
      </c>
      <c r="AG15" s="66">
        <v>10.46</v>
      </c>
      <c r="AH15" s="65">
        <v>571.64799999999968</v>
      </c>
      <c r="AI15" s="66">
        <v>11.91</v>
      </c>
      <c r="AJ15" s="45"/>
      <c r="AK15" s="67">
        <v>9</v>
      </c>
      <c r="AL15" s="64">
        <v>12</v>
      </c>
      <c r="AM15" s="189">
        <v>12.06</v>
      </c>
      <c r="AN15" s="194" t="s">
        <v>782</v>
      </c>
      <c r="AO15" s="66">
        <v>12.06</v>
      </c>
      <c r="AP15" s="84"/>
      <c r="AQ15" s="86"/>
      <c r="AR15" s="84"/>
      <c r="AT15" s="187"/>
    </row>
    <row r="16" spans="1:46" ht="15.75" customHeight="1">
      <c r="B16" s="63">
        <v>10</v>
      </c>
      <c r="C16" s="64">
        <v>12</v>
      </c>
      <c r="D16" s="189">
        <v>0.14000000000000001</v>
      </c>
      <c r="E16" s="66">
        <v>1.24</v>
      </c>
      <c r="F16" s="71"/>
      <c r="G16" s="67">
        <v>10</v>
      </c>
      <c r="H16" s="64">
        <v>12</v>
      </c>
      <c r="I16" s="66">
        <v>7.0000000000000007E-2</v>
      </c>
      <c r="J16" s="66">
        <v>1.17</v>
      </c>
      <c r="K16" s="65">
        <v>1109</v>
      </c>
      <c r="L16" s="65">
        <v>550</v>
      </c>
      <c r="M16" s="65">
        <v>3695</v>
      </c>
      <c r="N16" s="66">
        <v>10.1</v>
      </c>
      <c r="O16" s="94">
        <f t="shared" si="0"/>
        <v>705.2800000000002</v>
      </c>
      <c r="P16" s="66">
        <v>11.96</v>
      </c>
      <c r="R16" s="63">
        <v>10</v>
      </c>
      <c r="S16" s="64">
        <v>12</v>
      </c>
      <c r="T16" s="191">
        <v>11.36</v>
      </c>
      <c r="U16" s="94">
        <f t="shared" si="1"/>
        <v>267.26400000000024</v>
      </c>
      <c r="V16" s="66">
        <v>11.89</v>
      </c>
      <c r="W16" s="84"/>
      <c r="X16" s="85"/>
      <c r="Y16" s="84"/>
      <c r="Z16" s="67">
        <v>10</v>
      </c>
      <c r="AA16" s="64">
        <v>12</v>
      </c>
      <c r="AB16" s="66">
        <v>0.61</v>
      </c>
      <c r="AC16" s="66">
        <v>1.65</v>
      </c>
      <c r="AD16" s="65">
        <v>1109</v>
      </c>
      <c r="AE16" s="65">
        <v>550</v>
      </c>
      <c r="AF16" s="65">
        <v>3695</v>
      </c>
      <c r="AG16" s="66">
        <v>10.5</v>
      </c>
      <c r="AH16" s="65">
        <v>556.80000000000007</v>
      </c>
      <c r="AI16" s="66">
        <v>11.96</v>
      </c>
      <c r="AJ16" s="45"/>
      <c r="AK16" s="63">
        <v>10</v>
      </c>
      <c r="AL16" s="64">
        <v>12</v>
      </c>
      <c r="AM16" s="189">
        <v>12.01</v>
      </c>
      <c r="AN16" s="194" t="s">
        <v>782</v>
      </c>
      <c r="AO16" s="66">
        <v>12.01</v>
      </c>
      <c r="AP16" s="84"/>
      <c r="AQ16" s="85"/>
      <c r="AR16" s="84"/>
    </row>
    <row r="17" spans="1:44" ht="15.75" customHeight="1">
      <c r="B17" s="67">
        <v>11</v>
      </c>
      <c r="C17" s="64">
        <v>12</v>
      </c>
      <c r="D17" s="189">
        <v>0.13</v>
      </c>
      <c r="E17" s="66">
        <v>1.2</v>
      </c>
      <c r="F17" s="71"/>
      <c r="G17" s="67">
        <v>11</v>
      </c>
      <c r="H17" s="64">
        <v>12</v>
      </c>
      <c r="I17" s="66">
        <v>0.08</v>
      </c>
      <c r="J17" s="66">
        <v>1.18</v>
      </c>
      <c r="K17" s="65">
        <v>1109</v>
      </c>
      <c r="L17" s="65">
        <v>550</v>
      </c>
      <c r="M17" s="65">
        <v>3695</v>
      </c>
      <c r="N17" s="66">
        <v>10.15</v>
      </c>
      <c r="O17" s="94">
        <f t="shared" si="0"/>
        <v>686.7199999999998</v>
      </c>
      <c r="P17" s="66">
        <v>11.93</v>
      </c>
      <c r="R17" s="67">
        <v>11</v>
      </c>
      <c r="S17" s="64">
        <v>12</v>
      </c>
      <c r="T17" s="191">
        <v>11.03</v>
      </c>
      <c r="U17" s="94">
        <f t="shared" si="1"/>
        <v>405.07200000000029</v>
      </c>
      <c r="V17" s="66">
        <v>11.98</v>
      </c>
      <c r="W17" s="84"/>
      <c r="X17" s="85"/>
      <c r="Y17" s="84"/>
      <c r="Z17" s="67">
        <v>11</v>
      </c>
      <c r="AA17" s="64">
        <v>12</v>
      </c>
      <c r="AB17" s="66">
        <v>0.69</v>
      </c>
      <c r="AC17" s="66">
        <v>1.72</v>
      </c>
      <c r="AD17" s="65">
        <v>1109</v>
      </c>
      <c r="AE17" s="65">
        <v>550</v>
      </c>
      <c r="AF17" s="65">
        <v>3695</v>
      </c>
      <c r="AG17" s="66">
        <v>10.4</v>
      </c>
      <c r="AH17" s="65">
        <v>593.91999999999996</v>
      </c>
      <c r="AI17" s="66">
        <v>11.98</v>
      </c>
      <c r="AJ17" s="45"/>
      <c r="AK17" s="67">
        <v>11</v>
      </c>
      <c r="AL17" s="64">
        <v>12</v>
      </c>
      <c r="AM17" s="189">
        <v>12</v>
      </c>
      <c r="AN17" s="194" t="s">
        <v>782</v>
      </c>
      <c r="AO17" s="66">
        <v>12</v>
      </c>
      <c r="AP17" s="84"/>
      <c r="AQ17" s="85"/>
      <c r="AR17" s="84"/>
    </row>
    <row r="18" spans="1:44" ht="15.75" customHeight="1">
      <c r="B18" s="67">
        <v>12</v>
      </c>
      <c r="C18" s="64">
        <v>12</v>
      </c>
      <c r="D18" s="189">
        <v>0.13</v>
      </c>
      <c r="E18" s="66">
        <v>1.2</v>
      </c>
      <c r="F18" s="71"/>
      <c r="G18" s="67">
        <v>12</v>
      </c>
      <c r="H18" s="64">
        <v>12</v>
      </c>
      <c r="I18" s="66">
        <v>0.08</v>
      </c>
      <c r="J18" s="66">
        <v>1.19</v>
      </c>
      <c r="K18" s="65">
        <v>1109</v>
      </c>
      <c r="L18" s="65">
        <v>550</v>
      </c>
      <c r="M18" s="65">
        <v>3695</v>
      </c>
      <c r="N18" s="66">
        <v>9.69</v>
      </c>
      <c r="O18" s="94">
        <f t="shared" si="0"/>
        <v>857.47200000000032</v>
      </c>
      <c r="P18" s="66">
        <v>12.32</v>
      </c>
      <c r="R18" s="67">
        <v>12</v>
      </c>
      <c r="S18" s="64">
        <v>12</v>
      </c>
      <c r="T18" s="191">
        <v>11.43</v>
      </c>
      <c r="U18" s="94">
        <f t="shared" si="1"/>
        <v>238.03200000000012</v>
      </c>
      <c r="V18" s="66">
        <v>12.04</v>
      </c>
      <c r="W18" s="84"/>
      <c r="X18" s="86"/>
      <c r="Y18" s="84"/>
      <c r="Z18" s="67">
        <v>12</v>
      </c>
      <c r="AA18" s="64">
        <v>12</v>
      </c>
      <c r="AB18" s="66">
        <v>0.97</v>
      </c>
      <c r="AC18" s="66">
        <v>1.98</v>
      </c>
      <c r="AD18" s="65">
        <v>1109</v>
      </c>
      <c r="AE18" s="65">
        <v>550</v>
      </c>
      <c r="AF18" s="65">
        <v>3695</v>
      </c>
      <c r="AG18" s="66">
        <v>10.41</v>
      </c>
      <c r="AH18" s="65">
        <v>590.20799999999997</v>
      </c>
      <c r="AI18" s="66">
        <v>12.01</v>
      </c>
      <c r="AJ18" s="45"/>
      <c r="AK18" s="67">
        <v>12</v>
      </c>
      <c r="AL18" s="64">
        <v>12</v>
      </c>
      <c r="AM18" s="189">
        <v>12.16</v>
      </c>
      <c r="AN18" s="194" t="s">
        <v>782</v>
      </c>
      <c r="AO18" s="66">
        <v>12.16</v>
      </c>
      <c r="AP18" s="84"/>
      <c r="AQ18" s="86"/>
      <c r="AR18" s="84"/>
    </row>
    <row r="19" spans="1:44" ht="15.75" customHeight="1">
      <c r="B19" s="63">
        <v>13</v>
      </c>
      <c r="C19" s="64">
        <v>12</v>
      </c>
      <c r="D19" s="189">
        <v>0.1</v>
      </c>
      <c r="E19" s="66">
        <v>1.19</v>
      </c>
      <c r="F19" s="72"/>
      <c r="G19" s="67">
        <v>13</v>
      </c>
      <c r="H19" s="64">
        <v>12</v>
      </c>
      <c r="I19" s="66">
        <v>7.0000000000000007E-2</v>
      </c>
      <c r="J19" s="66">
        <v>1.18</v>
      </c>
      <c r="K19" s="65">
        <v>1109</v>
      </c>
      <c r="L19" s="65">
        <v>550</v>
      </c>
      <c r="M19" s="65">
        <v>3695</v>
      </c>
      <c r="N19" s="66">
        <v>9.9600000000000009</v>
      </c>
      <c r="O19" s="94">
        <f t="shared" si="0"/>
        <v>757.24799999999971</v>
      </c>
      <c r="P19" s="66">
        <v>12.04</v>
      </c>
      <c r="R19" s="63">
        <v>13</v>
      </c>
      <c r="S19" s="64">
        <v>12</v>
      </c>
      <c r="T19" s="191">
        <v>11.24</v>
      </c>
      <c r="U19" s="94">
        <f t="shared" si="1"/>
        <v>317.37599999999992</v>
      </c>
      <c r="V19" s="66">
        <v>12.02</v>
      </c>
      <c r="W19" s="84"/>
      <c r="X19" s="85"/>
      <c r="Y19" s="84"/>
      <c r="Z19" s="67">
        <v>13</v>
      </c>
      <c r="AA19" s="64">
        <v>12</v>
      </c>
      <c r="AB19" s="66">
        <v>0.69</v>
      </c>
      <c r="AC19" s="66">
        <v>1.71</v>
      </c>
      <c r="AD19" s="65">
        <v>1109</v>
      </c>
      <c r="AE19" s="65">
        <v>550</v>
      </c>
      <c r="AF19" s="65">
        <v>3695</v>
      </c>
      <c r="AG19" s="66">
        <v>10.41</v>
      </c>
      <c r="AH19" s="65">
        <v>590.20799999999997</v>
      </c>
      <c r="AI19" s="66">
        <v>12</v>
      </c>
      <c r="AJ19" s="45"/>
      <c r="AK19" s="63">
        <v>13</v>
      </c>
      <c r="AL19" s="64">
        <v>12</v>
      </c>
      <c r="AM19" s="189">
        <v>12.05</v>
      </c>
      <c r="AN19" s="194" t="s">
        <v>782</v>
      </c>
      <c r="AO19" s="66">
        <v>12.05</v>
      </c>
      <c r="AP19" s="84"/>
      <c r="AQ19" s="85"/>
      <c r="AR19" s="84"/>
    </row>
    <row r="20" spans="1:44" s="75" customFormat="1" ht="15.75" customHeight="1">
      <c r="A20" s="73"/>
      <c r="B20" s="67">
        <v>14</v>
      </c>
      <c r="C20" s="64">
        <v>12</v>
      </c>
      <c r="D20" s="189">
        <v>0.13</v>
      </c>
      <c r="E20" s="66">
        <v>1.21</v>
      </c>
      <c r="F20" s="45"/>
      <c r="G20" s="67">
        <v>14</v>
      </c>
      <c r="H20" s="64">
        <v>12</v>
      </c>
      <c r="I20" s="66">
        <v>7.0000000000000007E-2</v>
      </c>
      <c r="J20" s="66">
        <v>1.18</v>
      </c>
      <c r="K20" s="65">
        <v>1109</v>
      </c>
      <c r="L20" s="65">
        <v>550</v>
      </c>
      <c r="M20" s="65">
        <v>3695</v>
      </c>
      <c r="N20" s="66">
        <v>9.89</v>
      </c>
      <c r="O20" s="94">
        <f t="shared" si="0"/>
        <v>783.23199999999986</v>
      </c>
      <c r="P20" s="66">
        <v>12</v>
      </c>
      <c r="Q20" s="74"/>
      <c r="R20" s="67">
        <v>14</v>
      </c>
      <c r="S20" s="64">
        <v>12</v>
      </c>
      <c r="T20" s="191">
        <v>11.22</v>
      </c>
      <c r="U20" s="94">
        <f t="shared" si="1"/>
        <v>325.72799999999972</v>
      </c>
      <c r="V20" s="66">
        <v>12.01</v>
      </c>
      <c r="W20" s="84"/>
      <c r="X20" s="85"/>
      <c r="Y20" s="84"/>
      <c r="Z20" s="67">
        <v>14</v>
      </c>
      <c r="AA20" s="64">
        <v>12</v>
      </c>
      <c r="AB20" s="66">
        <v>0.88</v>
      </c>
      <c r="AC20" s="66">
        <v>1.89</v>
      </c>
      <c r="AD20" s="65">
        <v>1109</v>
      </c>
      <c r="AE20" s="65">
        <v>550</v>
      </c>
      <c r="AF20" s="65">
        <v>3695</v>
      </c>
      <c r="AG20" s="66">
        <v>10.53</v>
      </c>
      <c r="AH20" s="65">
        <v>545.66400000000021</v>
      </c>
      <c r="AI20" s="178">
        <v>11.73</v>
      </c>
      <c r="AJ20" s="74"/>
      <c r="AK20" s="67">
        <v>14</v>
      </c>
      <c r="AL20" s="64">
        <v>12</v>
      </c>
      <c r="AM20" s="189">
        <v>11.79</v>
      </c>
      <c r="AN20" s="65">
        <f t="shared" si="2"/>
        <v>87.696000000000353</v>
      </c>
      <c r="AO20" s="66">
        <v>12.12</v>
      </c>
      <c r="AP20" s="84"/>
      <c r="AQ20" s="85"/>
      <c r="AR20" s="84"/>
    </row>
    <row r="21" spans="1:44" ht="15.75" customHeight="1">
      <c r="B21" s="67">
        <v>15</v>
      </c>
      <c r="C21" s="64">
        <v>12</v>
      </c>
      <c r="D21" s="189">
        <v>0.13</v>
      </c>
      <c r="E21" s="66">
        <v>1.23</v>
      </c>
      <c r="G21" s="67">
        <v>15</v>
      </c>
      <c r="H21" s="64">
        <v>12</v>
      </c>
      <c r="I21" s="66">
        <v>7.0000000000000007E-2</v>
      </c>
      <c r="J21" s="66">
        <v>1.18</v>
      </c>
      <c r="K21" s="65">
        <v>1109</v>
      </c>
      <c r="L21" s="65">
        <v>550</v>
      </c>
      <c r="M21" s="65">
        <v>3695</v>
      </c>
      <c r="N21" s="66">
        <v>10.1</v>
      </c>
      <c r="O21" s="94">
        <f t="shared" si="0"/>
        <v>705.2800000000002</v>
      </c>
      <c r="P21" s="66">
        <v>11.96</v>
      </c>
      <c r="R21" s="67">
        <v>15</v>
      </c>
      <c r="S21" s="64">
        <v>12</v>
      </c>
      <c r="T21" s="191">
        <v>11.26</v>
      </c>
      <c r="U21" s="94">
        <f t="shared" si="1"/>
        <v>309.02400000000006</v>
      </c>
      <c r="V21" s="66">
        <v>11.89</v>
      </c>
      <c r="W21" s="84"/>
      <c r="X21" s="85"/>
      <c r="Y21" s="84"/>
      <c r="Z21" s="67">
        <v>15</v>
      </c>
      <c r="AA21" s="64">
        <v>12</v>
      </c>
      <c r="AB21" s="66">
        <v>0.88</v>
      </c>
      <c r="AC21" s="66">
        <v>1.89</v>
      </c>
      <c r="AD21" s="65">
        <v>1109</v>
      </c>
      <c r="AE21" s="65">
        <v>550</v>
      </c>
      <c r="AF21" s="65">
        <v>3695</v>
      </c>
      <c r="AG21" s="66">
        <v>10.57</v>
      </c>
      <c r="AH21" s="65">
        <v>530.81599999999992</v>
      </c>
      <c r="AI21" s="66">
        <v>11.92</v>
      </c>
      <c r="AJ21" s="45"/>
      <c r="AK21" s="67">
        <v>15</v>
      </c>
      <c r="AL21" s="64">
        <v>12</v>
      </c>
      <c r="AM21" s="189">
        <v>12.04</v>
      </c>
      <c r="AN21" s="194" t="s">
        <v>782</v>
      </c>
      <c r="AO21" s="66">
        <v>12.04</v>
      </c>
      <c r="AP21" s="84"/>
      <c r="AQ21" s="85"/>
      <c r="AR21" s="84"/>
    </row>
    <row r="22" spans="1:44" s="75" customFormat="1" ht="15.75" customHeight="1">
      <c r="A22" s="76"/>
      <c r="B22" s="63">
        <v>16</v>
      </c>
      <c r="C22" s="64">
        <v>12</v>
      </c>
      <c r="D22" s="189">
        <v>0.12</v>
      </c>
      <c r="E22" s="66">
        <v>1.19</v>
      </c>
      <c r="F22" s="45"/>
      <c r="G22" s="67">
        <v>16</v>
      </c>
      <c r="H22" s="64">
        <v>12</v>
      </c>
      <c r="I22" s="66">
        <v>0.09</v>
      </c>
      <c r="J22" s="66">
        <v>1.18</v>
      </c>
      <c r="K22" s="65">
        <v>1109</v>
      </c>
      <c r="L22" s="65">
        <v>550</v>
      </c>
      <c r="M22" s="65">
        <v>3695</v>
      </c>
      <c r="N22" s="66">
        <v>9.91</v>
      </c>
      <c r="O22" s="94">
        <f t="shared" si="0"/>
        <v>775.80799999999999</v>
      </c>
      <c r="P22" s="66">
        <v>11.86</v>
      </c>
      <c r="Q22" s="74"/>
      <c r="R22" s="63">
        <v>16</v>
      </c>
      <c r="S22" s="64">
        <v>12</v>
      </c>
      <c r="T22" s="191">
        <v>11.09</v>
      </c>
      <c r="U22" s="94">
        <f t="shared" si="1"/>
        <v>380.01600000000013</v>
      </c>
      <c r="V22" s="66">
        <v>12.03</v>
      </c>
      <c r="W22" s="84"/>
      <c r="X22" s="85"/>
      <c r="Y22" s="84"/>
      <c r="Z22" s="67">
        <v>16</v>
      </c>
      <c r="AA22" s="64">
        <v>12</v>
      </c>
      <c r="AB22" s="66">
        <v>1.06</v>
      </c>
      <c r="AC22" s="66">
        <v>2.06</v>
      </c>
      <c r="AD22" s="65">
        <v>1109</v>
      </c>
      <c r="AE22" s="65">
        <v>550</v>
      </c>
      <c r="AF22" s="65">
        <v>3695</v>
      </c>
      <c r="AG22" s="66">
        <v>10.76</v>
      </c>
      <c r="AH22" s="65">
        <v>460.28800000000012</v>
      </c>
      <c r="AI22" s="66">
        <v>11.95</v>
      </c>
      <c r="AJ22" s="74"/>
      <c r="AK22" s="63">
        <v>16</v>
      </c>
      <c r="AL22" s="64">
        <v>12</v>
      </c>
      <c r="AM22" s="189">
        <v>12.04</v>
      </c>
      <c r="AN22" s="194" t="s">
        <v>782</v>
      </c>
      <c r="AO22" s="66">
        <v>12.04</v>
      </c>
      <c r="AP22" s="84"/>
      <c r="AQ22" s="85"/>
      <c r="AR22" s="84"/>
    </row>
    <row r="23" spans="1:44" s="75" customFormat="1" ht="15.75" customHeight="1">
      <c r="A23" s="73"/>
      <c r="B23" s="67">
        <v>17</v>
      </c>
      <c r="C23" s="64">
        <v>12</v>
      </c>
      <c r="D23" s="189">
        <v>0.14000000000000001</v>
      </c>
      <c r="E23" s="66">
        <v>1.22</v>
      </c>
      <c r="F23" s="70"/>
      <c r="G23" s="67">
        <v>17</v>
      </c>
      <c r="H23" s="64">
        <v>12</v>
      </c>
      <c r="I23" s="66">
        <v>7.0000000000000007E-2</v>
      </c>
      <c r="J23" s="66">
        <v>1.17</v>
      </c>
      <c r="K23" s="65">
        <v>1109</v>
      </c>
      <c r="L23" s="65">
        <v>550</v>
      </c>
      <c r="M23" s="65">
        <v>3695</v>
      </c>
      <c r="N23" s="66">
        <v>9.92</v>
      </c>
      <c r="O23" s="94">
        <f t="shared" si="0"/>
        <v>772.09600000000012</v>
      </c>
      <c r="P23" s="66">
        <v>12</v>
      </c>
      <c r="Q23" s="74"/>
      <c r="R23" s="67">
        <v>17</v>
      </c>
      <c r="S23" s="64">
        <v>12</v>
      </c>
      <c r="T23" s="191">
        <v>11.33</v>
      </c>
      <c r="U23" s="94">
        <f t="shared" si="1"/>
        <v>279.79200000000003</v>
      </c>
      <c r="V23" s="66">
        <v>12.06</v>
      </c>
      <c r="W23" s="84"/>
      <c r="X23" s="86"/>
      <c r="Y23" s="84"/>
      <c r="Z23" s="67">
        <v>17</v>
      </c>
      <c r="AA23" s="64">
        <v>12</v>
      </c>
      <c r="AB23" s="66">
        <v>0.95</v>
      </c>
      <c r="AC23" s="66">
        <v>1.97</v>
      </c>
      <c r="AD23" s="65">
        <v>1109</v>
      </c>
      <c r="AE23" s="65">
        <v>550</v>
      </c>
      <c r="AF23" s="65">
        <v>3695</v>
      </c>
      <c r="AG23" s="66">
        <v>10.75</v>
      </c>
      <c r="AH23" s="65">
        <v>464</v>
      </c>
      <c r="AI23" s="66">
        <v>11.97</v>
      </c>
      <c r="AJ23" s="74"/>
      <c r="AK23" s="67">
        <v>17</v>
      </c>
      <c r="AL23" s="64">
        <v>12</v>
      </c>
      <c r="AM23" s="189">
        <v>12.6</v>
      </c>
      <c r="AN23" s="194" t="s">
        <v>782</v>
      </c>
      <c r="AO23" s="66">
        <v>12.6</v>
      </c>
      <c r="AP23" s="84"/>
      <c r="AQ23" s="86"/>
      <c r="AR23" s="84"/>
    </row>
    <row r="24" spans="1:44" s="75" customFormat="1" ht="15.75" customHeight="1">
      <c r="A24" s="73"/>
      <c r="B24" s="67">
        <v>18</v>
      </c>
      <c r="C24" s="64">
        <v>12</v>
      </c>
      <c r="D24" s="189">
        <v>0.11</v>
      </c>
      <c r="E24" s="66">
        <v>1.19</v>
      </c>
      <c r="F24" s="70"/>
      <c r="G24" s="67">
        <v>18</v>
      </c>
      <c r="H24" s="64">
        <v>12</v>
      </c>
      <c r="I24" s="66">
        <v>7.0000000000000007E-2</v>
      </c>
      <c r="J24" s="66">
        <v>1.1399999999999999</v>
      </c>
      <c r="K24" s="65">
        <v>1109</v>
      </c>
      <c r="L24" s="65">
        <v>550</v>
      </c>
      <c r="M24" s="65">
        <v>3695</v>
      </c>
      <c r="N24" s="66">
        <v>9.9600000000000009</v>
      </c>
      <c r="O24" s="94">
        <f t="shared" si="0"/>
        <v>757.24799999999971</v>
      </c>
      <c r="P24" s="66">
        <v>11.8</v>
      </c>
      <c r="Q24" s="74"/>
      <c r="R24" s="67">
        <v>18</v>
      </c>
      <c r="S24" s="64">
        <v>12</v>
      </c>
      <c r="T24" s="191">
        <v>10.86</v>
      </c>
      <c r="U24" s="94">
        <f t="shared" si="1"/>
        <v>476.06400000000025</v>
      </c>
      <c r="V24" s="66">
        <v>12.03</v>
      </c>
      <c r="W24" s="84"/>
      <c r="X24" s="85"/>
      <c r="Y24" s="84"/>
      <c r="Z24" s="67">
        <v>18</v>
      </c>
      <c r="AA24" s="64">
        <v>12</v>
      </c>
      <c r="AB24" s="66">
        <v>1.05</v>
      </c>
      <c r="AC24" s="66">
        <v>2.0499999999999998</v>
      </c>
      <c r="AD24" s="65">
        <v>1109</v>
      </c>
      <c r="AE24" s="65">
        <v>550</v>
      </c>
      <c r="AF24" s="65">
        <v>3695</v>
      </c>
      <c r="AG24" s="66">
        <v>10.7</v>
      </c>
      <c r="AH24" s="65">
        <v>482.56000000000034</v>
      </c>
      <c r="AI24" s="66">
        <v>11.92</v>
      </c>
      <c r="AJ24" s="74"/>
      <c r="AK24" s="67">
        <v>18</v>
      </c>
      <c r="AL24" s="64">
        <v>12</v>
      </c>
      <c r="AM24" s="189">
        <v>11.99</v>
      </c>
      <c r="AN24" s="65">
        <f t="shared" si="2"/>
        <v>4.1759999999999113</v>
      </c>
      <c r="AO24" s="66">
        <v>12.16</v>
      </c>
      <c r="AP24" s="84"/>
      <c r="AQ24" s="85"/>
      <c r="AR24" s="84"/>
    </row>
    <row r="25" spans="1:44" s="75" customFormat="1" ht="15.75" customHeight="1">
      <c r="A25" s="73"/>
      <c r="B25" s="63">
        <v>19</v>
      </c>
      <c r="C25" s="64">
        <v>12</v>
      </c>
      <c r="D25" s="189">
        <v>0.13</v>
      </c>
      <c r="E25" s="66">
        <v>1.21</v>
      </c>
      <c r="F25" s="70"/>
      <c r="G25" s="67">
        <v>19</v>
      </c>
      <c r="H25" s="64">
        <v>12</v>
      </c>
      <c r="I25" s="66">
        <v>0.06</v>
      </c>
      <c r="J25" s="66">
        <v>1.163</v>
      </c>
      <c r="K25" s="65">
        <v>1109</v>
      </c>
      <c r="L25" s="65">
        <v>550</v>
      </c>
      <c r="M25" s="65">
        <v>3695</v>
      </c>
      <c r="N25" s="66">
        <v>10.02</v>
      </c>
      <c r="O25" s="94">
        <f t="shared" si="0"/>
        <v>734.97600000000023</v>
      </c>
      <c r="P25" s="66">
        <v>11.98</v>
      </c>
      <c r="Q25" s="74"/>
      <c r="R25" s="63">
        <v>19</v>
      </c>
      <c r="S25" s="64">
        <v>12</v>
      </c>
      <c r="T25" s="191">
        <v>11.3</v>
      </c>
      <c r="U25" s="94">
        <f t="shared" si="1"/>
        <v>292.31999999999971</v>
      </c>
      <c r="V25" s="66">
        <v>11.94</v>
      </c>
      <c r="W25" s="84"/>
      <c r="X25" s="86"/>
      <c r="Y25" s="84"/>
      <c r="Z25" s="67">
        <v>19</v>
      </c>
      <c r="AA25" s="64">
        <v>12</v>
      </c>
      <c r="AB25" s="66">
        <v>0.64</v>
      </c>
      <c r="AC25" s="66">
        <v>1.64</v>
      </c>
      <c r="AD25" s="65">
        <v>1109</v>
      </c>
      <c r="AE25" s="65">
        <v>550</v>
      </c>
      <c r="AF25" s="65">
        <v>3695</v>
      </c>
      <c r="AG25" s="66">
        <v>10.33</v>
      </c>
      <c r="AH25" s="65">
        <v>619.904</v>
      </c>
      <c r="AI25" s="66">
        <v>11.97</v>
      </c>
      <c r="AJ25" s="74"/>
      <c r="AK25" s="63">
        <v>19</v>
      </c>
      <c r="AL25" s="64">
        <v>12</v>
      </c>
      <c r="AM25" s="189">
        <v>12.11</v>
      </c>
      <c r="AN25" s="194" t="s">
        <v>782</v>
      </c>
      <c r="AO25" s="66">
        <v>12.11</v>
      </c>
      <c r="AP25" s="84"/>
      <c r="AQ25" s="86"/>
      <c r="AR25" s="84"/>
    </row>
    <row r="26" spans="1:44" s="75" customFormat="1" ht="15.75" customHeight="1">
      <c r="A26" s="73"/>
      <c r="B26" s="67">
        <v>20</v>
      </c>
      <c r="C26" s="64">
        <v>12</v>
      </c>
      <c r="D26" s="189">
        <v>0.15</v>
      </c>
      <c r="E26" s="66">
        <v>1.22</v>
      </c>
      <c r="F26" s="70"/>
      <c r="G26" s="67">
        <v>20</v>
      </c>
      <c r="H26" s="64">
        <v>12</v>
      </c>
      <c r="I26" s="66">
        <v>0.06</v>
      </c>
      <c r="J26" s="66">
        <v>1.17</v>
      </c>
      <c r="K26" s="65">
        <v>1109</v>
      </c>
      <c r="L26" s="65">
        <v>550</v>
      </c>
      <c r="M26" s="65">
        <v>3695</v>
      </c>
      <c r="N26" s="66">
        <v>9.5</v>
      </c>
      <c r="O26" s="94">
        <f t="shared" si="0"/>
        <v>928</v>
      </c>
      <c r="P26" s="66">
        <v>11.97</v>
      </c>
      <c r="Q26" s="74"/>
      <c r="R26" s="67">
        <v>20</v>
      </c>
      <c r="S26" s="64">
        <v>12</v>
      </c>
      <c r="T26" s="191">
        <v>11.3</v>
      </c>
      <c r="U26" s="94">
        <f t="shared" si="1"/>
        <v>292.31999999999971</v>
      </c>
      <c r="V26" s="66">
        <v>11.92</v>
      </c>
      <c r="W26" s="84"/>
      <c r="X26" s="85"/>
      <c r="Y26" s="84"/>
      <c r="Z26" s="67">
        <v>20</v>
      </c>
      <c r="AA26" s="64">
        <v>12</v>
      </c>
      <c r="AB26" s="66">
        <v>0.86</v>
      </c>
      <c r="AC26" s="66">
        <v>1.88</v>
      </c>
      <c r="AD26" s="65">
        <v>1109</v>
      </c>
      <c r="AE26" s="65">
        <v>550</v>
      </c>
      <c r="AF26" s="65">
        <v>3695</v>
      </c>
      <c r="AG26" s="66">
        <v>10.43</v>
      </c>
      <c r="AH26" s="65">
        <v>582.78400000000011</v>
      </c>
      <c r="AI26" s="66">
        <v>11.99</v>
      </c>
      <c r="AJ26" s="74"/>
      <c r="AK26" s="67">
        <v>20</v>
      </c>
      <c r="AL26" s="64">
        <v>12</v>
      </c>
      <c r="AM26" s="189">
        <v>12.18</v>
      </c>
      <c r="AN26" s="194" t="s">
        <v>782</v>
      </c>
      <c r="AO26" s="66">
        <v>12.18</v>
      </c>
      <c r="AP26" s="84"/>
      <c r="AQ26" s="85"/>
      <c r="AR26" s="84"/>
    </row>
    <row r="27" spans="1:44" ht="15.75" customHeight="1">
      <c r="B27" s="67">
        <v>21</v>
      </c>
      <c r="C27" s="64">
        <v>12</v>
      </c>
      <c r="D27" s="189">
        <v>0.13</v>
      </c>
      <c r="E27" s="66">
        <v>1.2</v>
      </c>
      <c r="G27" s="67">
        <v>21</v>
      </c>
      <c r="H27" s="64">
        <v>12</v>
      </c>
      <c r="I27" s="66">
        <v>0.09</v>
      </c>
      <c r="J27" s="66">
        <v>1.18</v>
      </c>
      <c r="K27" s="65">
        <v>1109</v>
      </c>
      <c r="L27" s="65">
        <v>550</v>
      </c>
      <c r="M27" s="65">
        <v>3695</v>
      </c>
      <c r="N27" s="66">
        <v>10.029999999999999</v>
      </c>
      <c r="O27" s="94">
        <f t="shared" si="0"/>
        <v>731.26400000000024</v>
      </c>
      <c r="P27" s="66">
        <v>12.02</v>
      </c>
      <c r="R27" s="67">
        <v>21</v>
      </c>
      <c r="S27" s="64">
        <v>12</v>
      </c>
      <c r="T27" s="191">
        <v>11.23</v>
      </c>
      <c r="U27" s="94">
        <f t="shared" si="1"/>
        <v>321.55199999999985</v>
      </c>
      <c r="V27" s="66">
        <v>12.01</v>
      </c>
      <c r="W27" s="84"/>
      <c r="X27" s="85"/>
      <c r="Y27" s="84"/>
      <c r="Z27" s="67">
        <v>21</v>
      </c>
      <c r="AA27" s="64">
        <v>12</v>
      </c>
      <c r="AB27" s="66">
        <v>0.78</v>
      </c>
      <c r="AC27" s="66">
        <v>1.81</v>
      </c>
      <c r="AD27" s="65">
        <v>1109</v>
      </c>
      <c r="AE27" s="65">
        <v>550</v>
      </c>
      <c r="AF27" s="65">
        <v>3695</v>
      </c>
      <c r="AG27" s="66">
        <v>10.32</v>
      </c>
      <c r="AH27" s="65">
        <v>623.61599999999999</v>
      </c>
      <c r="AI27" s="66">
        <v>11.95</v>
      </c>
      <c r="AJ27" s="45"/>
      <c r="AK27" s="67">
        <v>21</v>
      </c>
      <c r="AL27" s="64">
        <v>12</v>
      </c>
      <c r="AM27" s="189">
        <v>12.03</v>
      </c>
      <c r="AN27" s="194" t="s">
        <v>782</v>
      </c>
      <c r="AO27" s="66">
        <v>12.03</v>
      </c>
      <c r="AP27" s="84"/>
      <c r="AQ27" s="85"/>
      <c r="AR27" s="84"/>
    </row>
    <row r="28" spans="1:44" ht="15.75" customHeight="1">
      <c r="B28" s="63">
        <v>22</v>
      </c>
      <c r="C28" s="64">
        <v>12</v>
      </c>
      <c r="D28" s="189">
        <v>0.15</v>
      </c>
      <c r="E28" s="66">
        <v>1.22</v>
      </c>
      <c r="G28" s="67">
        <v>22</v>
      </c>
      <c r="H28" s="64">
        <v>12</v>
      </c>
      <c r="I28" s="66">
        <v>7.0000000000000007E-2</v>
      </c>
      <c r="J28" s="66">
        <v>1.19</v>
      </c>
      <c r="K28" s="65">
        <v>1109</v>
      </c>
      <c r="L28" s="65">
        <v>550</v>
      </c>
      <c r="M28" s="65">
        <v>3695</v>
      </c>
      <c r="N28" s="66">
        <v>10.039999999999999</v>
      </c>
      <c r="O28" s="94">
        <f t="shared" si="0"/>
        <v>727.55200000000048</v>
      </c>
      <c r="P28" s="66">
        <v>12.2</v>
      </c>
      <c r="R28" s="63">
        <v>22</v>
      </c>
      <c r="S28" s="64">
        <v>12</v>
      </c>
      <c r="T28" s="191">
        <v>11.21</v>
      </c>
      <c r="U28" s="94">
        <f t="shared" si="1"/>
        <v>329.90399999999971</v>
      </c>
      <c r="V28" s="66">
        <v>12.04</v>
      </c>
      <c r="W28" s="84"/>
      <c r="X28" s="86"/>
      <c r="Y28" s="84"/>
      <c r="Z28" s="67">
        <v>22</v>
      </c>
      <c r="AA28" s="64">
        <v>12</v>
      </c>
      <c r="AB28" s="66">
        <v>0.8</v>
      </c>
      <c r="AC28" s="66">
        <v>1.82</v>
      </c>
      <c r="AD28" s="65">
        <v>1109</v>
      </c>
      <c r="AE28" s="65">
        <v>550</v>
      </c>
      <c r="AF28" s="65">
        <v>3695</v>
      </c>
      <c r="AG28" s="66">
        <v>10.41</v>
      </c>
      <c r="AH28" s="65">
        <v>590.20799999999997</v>
      </c>
      <c r="AI28" s="66">
        <v>12.01</v>
      </c>
      <c r="AJ28" s="45"/>
      <c r="AK28" s="63">
        <v>22</v>
      </c>
      <c r="AL28" s="64">
        <v>12</v>
      </c>
      <c r="AM28" s="189">
        <v>12.05</v>
      </c>
      <c r="AN28" s="194" t="s">
        <v>782</v>
      </c>
      <c r="AO28" s="66">
        <v>12.05</v>
      </c>
      <c r="AP28" s="84"/>
      <c r="AQ28" s="86"/>
      <c r="AR28" s="84"/>
    </row>
    <row r="29" spans="1:44" s="75" customFormat="1" ht="15.75" customHeight="1">
      <c r="A29" s="73"/>
      <c r="B29" s="67">
        <v>23</v>
      </c>
      <c r="C29" s="64">
        <v>12</v>
      </c>
      <c r="D29" s="189">
        <v>0.12</v>
      </c>
      <c r="E29" s="66">
        <v>1.2</v>
      </c>
      <c r="F29" s="45"/>
      <c r="G29" s="67">
        <v>23</v>
      </c>
      <c r="H29" s="64">
        <v>12</v>
      </c>
      <c r="I29" s="66">
        <v>7.0000000000000007E-2</v>
      </c>
      <c r="J29" s="66">
        <v>1.18</v>
      </c>
      <c r="K29" s="65">
        <v>1109</v>
      </c>
      <c r="L29" s="65">
        <v>550</v>
      </c>
      <c r="M29" s="65">
        <v>3695</v>
      </c>
      <c r="N29" s="66">
        <v>10.029999999999999</v>
      </c>
      <c r="O29" s="94">
        <f t="shared" si="0"/>
        <v>731.26400000000024</v>
      </c>
      <c r="P29" s="66">
        <v>11.97</v>
      </c>
      <c r="Q29" s="74"/>
      <c r="R29" s="67">
        <v>23</v>
      </c>
      <c r="S29" s="64">
        <v>12</v>
      </c>
      <c r="T29" s="191">
        <v>11.23</v>
      </c>
      <c r="U29" s="94">
        <f t="shared" si="1"/>
        <v>321.55199999999985</v>
      </c>
      <c r="V29" s="66">
        <v>12.01</v>
      </c>
      <c r="W29" s="84"/>
      <c r="X29" s="85"/>
      <c r="Y29" s="84"/>
      <c r="Z29" s="67">
        <v>23</v>
      </c>
      <c r="AA29" s="64">
        <v>12</v>
      </c>
      <c r="AB29" s="66">
        <v>0.93</v>
      </c>
      <c r="AC29" s="66">
        <v>1.89</v>
      </c>
      <c r="AD29" s="65">
        <v>1109</v>
      </c>
      <c r="AE29" s="65">
        <v>550</v>
      </c>
      <c r="AF29" s="65">
        <v>3695</v>
      </c>
      <c r="AG29" s="66">
        <v>10.61</v>
      </c>
      <c r="AH29" s="65">
        <v>515.96800000000019</v>
      </c>
      <c r="AI29" s="66">
        <v>11.95</v>
      </c>
      <c r="AJ29" s="74"/>
      <c r="AK29" s="67">
        <v>23</v>
      </c>
      <c r="AL29" s="64">
        <v>12</v>
      </c>
      <c r="AM29" s="189">
        <v>12.01</v>
      </c>
      <c r="AN29" s="194" t="s">
        <v>782</v>
      </c>
      <c r="AO29" s="66">
        <v>12.01</v>
      </c>
      <c r="AP29" s="84"/>
      <c r="AQ29" s="85"/>
      <c r="AR29" s="84"/>
    </row>
    <row r="30" spans="1:44" s="75" customFormat="1" ht="15.75" customHeight="1">
      <c r="A30" s="73"/>
      <c r="B30" s="67">
        <v>24</v>
      </c>
      <c r="C30" s="64">
        <v>12</v>
      </c>
      <c r="D30" s="189">
        <v>0.13</v>
      </c>
      <c r="E30" s="66">
        <v>1.23</v>
      </c>
      <c r="F30" s="70"/>
      <c r="G30" s="67">
        <v>24</v>
      </c>
      <c r="H30" s="64">
        <v>12</v>
      </c>
      <c r="I30" s="66">
        <v>0.05</v>
      </c>
      <c r="J30" s="66">
        <v>1.17</v>
      </c>
      <c r="K30" s="65">
        <v>1109</v>
      </c>
      <c r="L30" s="65">
        <v>550</v>
      </c>
      <c r="M30" s="65">
        <v>3695</v>
      </c>
      <c r="N30" s="66">
        <v>10.06</v>
      </c>
      <c r="O30" s="94">
        <f t="shared" si="0"/>
        <v>720.12799999999993</v>
      </c>
      <c r="P30" s="66">
        <v>12.14</v>
      </c>
      <c r="Q30" s="74"/>
      <c r="R30" s="67">
        <v>24</v>
      </c>
      <c r="S30" s="64">
        <v>12</v>
      </c>
      <c r="T30" s="191">
        <v>11.35</v>
      </c>
      <c r="U30" s="94">
        <f t="shared" si="1"/>
        <v>271.44000000000017</v>
      </c>
      <c r="V30" s="66">
        <v>11.98</v>
      </c>
      <c r="W30" s="84"/>
      <c r="X30" s="86"/>
      <c r="Y30" s="84"/>
      <c r="Z30" s="67">
        <v>24</v>
      </c>
      <c r="AA30" s="64">
        <v>12</v>
      </c>
      <c r="AB30" s="66">
        <v>0.63</v>
      </c>
      <c r="AC30" s="66">
        <v>1.66</v>
      </c>
      <c r="AD30" s="65">
        <v>1109</v>
      </c>
      <c r="AE30" s="65">
        <v>550</v>
      </c>
      <c r="AF30" s="65">
        <v>3695</v>
      </c>
      <c r="AG30" s="66">
        <v>10.46</v>
      </c>
      <c r="AH30" s="65">
        <v>571.64799999999968</v>
      </c>
      <c r="AI30" s="66">
        <v>12.01</v>
      </c>
      <c r="AJ30" s="74"/>
      <c r="AK30" s="67">
        <v>24</v>
      </c>
      <c r="AL30" s="64">
        <v>12</v>
      </c>
      <c r="AM30" s="189">
        <v>12.12</v>
      </c>
      <c r="AN30" s="194" t="s">
        <v>782</v>
      </c>
      <c r="AO30" s="66">
        <v>12.12</v>
      </c>
      <c r="AP30" s="84"/>
      <c r="AQ30" s="86"/>
      <c r="AR30" s="84"/>
    </row>
    <row r="31" spans="1:44" s="75" customFormat="1" ht="15.75" customHeight="1">
      <c r="A31" s="76"/>
      <c r="B31" s="63">
        <v>25</v>
      </c>
      <c r="C31" s="64">
        <v>12</v>
      </c>
      <c r="D31" s="189">
        <v>0.12</v>
      </c>
      <c r="E31" s="66">
        <v>1.21</v>
      </c>
      <c r="F31" s="70"/>
      <c r="G31" s="67">
        <v>25</v>
      </c>
      <c r="H31" s="64">
        <v>12</v>
      </c>
      <c r="I31" s="66">
        <v>0.06</v>
      </c>
      <c r="J31" s="66">
        <v>1.17</v>
      </c>
      <c r="K31" s="65">
        <v>1109</v>
      </c>
      <c r="L31" s="65">
        <v>550</v>
      </c>
      <c r="M31" s="65">
        <v>3695</v>
      </c>
      <c r="N31" s="66">
        <v>10.130000000000001</v>
      </c>
      <c r="O31" s="94">
        <f t="shared" si="0"/>
        <v>694.14399999999978</v>
      </c>
      <c r="P31" s="66">
        <v>11.99</v>
      </c>
      <c r="Q31" s="74"/>
      <c r="R31" s="63">
        <v>25</v>
      </c>
      <c r="S31" s="64">
        <v>12</v>
      </c>
      <c r="T31" s="191">
        <v>11.35</v>
      </c>
      <c r="U31" s="94">
        <f t="shared" si="1"/>
        <v>271.44000000000017</v>
      </c>
      <c r="V31" s="66">
        <v>11.83</v>
      </c>
      <c r="W31" s="84"/>
      <c r="X31" s="85"/>
      <c r="Y31" s="84"/>
      <c r="Z31" s="67">
        <v>25</v>
      </c>
      <c r="AA31" s="64">
        <v>12</v>
      </c>
      <c r="AB31" s="66">
        <v>0.72</v>
      </c>
      <c r="AC31" s="66">
        <v>1.74</v>
      </c>
      <c r="AD31" s="65">
        <v>1109</v>
      </c>
      <c r="AE31" s="65">
        <v>550</v>
      </c>
      <c r="AF31" s="65">
        <v>3695</v>
      </c>
      <c r="AG31" s="66">
        <v>10.44</v>
      </c>
      <c r="AH31" s="65">
        <v>579.07200000000023</v>
      </c>
      <c r="AI31" s="66">
        <v>12.01</v>
      </c>
      <c r="AJ31" s="74"/>
      <c r="AK31" s="63">
        <v>25</v>
      </c>
      <c r="AL31" s="64">
        <v>12</v>
      </c>
      <c r="AM31" s="189">
        <v>12.11</v>
      </c>
      <c r="AN31" s="194" t="s">
        <v>782</v>
      </c>
      <c r="AO31" s="66">
        <v>12.11</v>
      </c>
      <c r="AP31" s="84"/>
      <c r="AQ31" s="85"/>
      <c r="AR31" s="84"/>
    </row>
    <row r="32" spans="1:44" s="75" customFormat="1" ht="15.75" customHeight="1">
      <c r="A32" s="73"/>
      <c r="B32" s="67">
        <v>26</v>
      </c>
      <c r="C32" s="64">
        <v>12</v>
      </c>
      <c r="D32" s="189">
        <v>0.14000000000000001</v>
      </c>
      <c r="E32" s="66">
        <v>1.21</v>
      </c>
      <c r="F32" s="70"/>
      <c r="G32" s="67">
        <v>26</v>
      </c>
      <c r="H32" s="64">
        <v>12</v>
      </c>
      <c r="I32" s="66">
        <v>0.08</v>
      </c>
      <c r="J32" s="66">
        <v>1.133</v>
      </c>
      <c r="K32" s="65">
        <v>1109</v>
      </c>
      <c r="L32" s="65">
        <v>550</v>
      </c>
      <c r="M32" s="65">
        <v>3695</v>
      </c>
      <c r="N32" s="66">
        <v>9.8699999999999992</v>
      </c>
      <c r="O32" s="94">
        <f t="shared" si="0"/>
        <v>790.6560000000004</v>
      </c>
      <c r="P32" s="66">
        <v>11.92</v>
      </c>
      <c r="Q32" s="74"/>
      <c r="R32" s="67">
        <v>26</v>
      </c>
      <c r="S32" s="64">
        <v>12</v>
      </c>
      <c r="T32" s="191">
        <v>11.26</v>
      </c>
      <c r="U32" s="94">
        <f t="shared" si="1"/>
        <v>309.02400000000006</v>
      </c>
      <c r="V32" s="66">
        <v>11.99</v>
      </c>
      <c r="W32" s="84"/>
      <c r="X32" s="86"/>
      <c r="Y32" s="84"/>
      <c r="Z32" s="67">
        <v>26</v>
      </c>
      <c r="AA32" s="64">
        <v>12</v>
      </c>
      <c r="AB32" s="66">
        <v>0.86</v>
      </c>
      <c r="AC32" s="66">
        <v>1.86</v>
      </c>
      <c r="AD32" s="65">
        <v>1109</v>
      </c>
      <c r="AE32" s="65">
        <v>550</v>
      </c>
      <c r="AF32" s="65">
        <v>3695</v>
      </c>
      <c r="AG32" s="66">
        <v>10.44</v>
      </c>
      <c r="AH32" s="65">
        <v>579.07200000000023</v>
      </c>
      <c r="AI32" s="66">
        <v>11.94</v>
      </c>
      <c r="AJ32" s="74"/>
      <c r="AK32" s="67">
        <v>26</v>
      </c>
      <c r="AL32" s="64">
        <v>12</v>
      </c>
      <c r="AM32" s="189">
        <v>11.91</v>
      </c>
      <c r="AN32" s="65">
        <f t="shared" si="2"/>
        <v>37.583999999999939</v>
      </c>
      <c r="AO32" s="66">
        <v>12.19</v>
      </c>
      <c r="AP32" s="84"/>
      <c r="AQ32" s="86"/>
      <c r="AR32" s="84"/>
    </row>
    <row r="33" spans="1:46" s="75" customFormat="1" ht="15.75" customHeight="1">
      <c r="A33" s="73"/>
      <c r="B33" s="67">
        <v>27</v>
      </c>
      <c r="C33" s="64">
        <v>12</v>
      </c>
      <c r="D33" s="189">
        <v>0.13</v>
      </c>
      <c r="E33" s="66">
        <v>1.22</v>
      </c>
      <c r="F33" s="70"/>
      <c r="G33" s="67">
        <v>27</v>
      </c>
      <c r="H33" s="64">
        <v>12</v>
      </c>
      <c r="I33" s="66">
        <v>0.06</v>
      </c>
      <c r="J33" s="66">
        <v>1.18</v>
      </c>
      <c r="K33" s="65">
        <v>1109</v>
      </c>
      <c r="L33" s="65">
        <v>550</v>
      </c>
      <c r="M33" s="65">
        <v>3695</v>
      </c>
      <c r="N33" s="66">
        <v>10.11</v>
      </c>
      <c r="O33" s="94">
        <f t="shared" si="0"/>
        <v>701.56800000000032</v>
      </c>
      <c r="P33" s="66">
        <v>12.22</v>
      </c>
      <c r="Q33" s="74"/>
      <c r="R33" s="67">
        <v>27</v>
      </c>
      <c r="S33" s="64">
        <v>12</v>
      </c>
      <c r="T33" s="191">
        <v>11.19</v>
      </c>
      <c r="U33" s="94">
        <f t="shared" si="1"/>
        <v>338.2560000000002</v>
      </c>
      <c r="V33" s="66">
        <v>12.06</v>
      </c>
      <c r="W33" s="84"/>
      <c r="X33" s="85"/>
      <c r="Y33" s="84"/>
      <c r="Z33" s="67">
        <v>27</v>
      </c>
      <c r="AA33" s="64">
        <v>12</v>
      </c>
      <c r="AB33" s="66">
        <v>0.95</v>
      </c>
      <c r="AC33" s="66">
        <v>1.95</v>
      </c>
      <c r="AD33" s="65">
        <v>1109</v>
      </c>
      <c r="AE33" s="65">
        <v>550</v>
      </c>
      <c r="AF33" s="65">
        <v>3695</v>
      </c>
      <c r="AG33" s="66">
        <v>10.59</v>
      </c>
      <c r="AH33" s="65">
        <v>523.39200000000005</v>
      </c>
      <c r="AI33" s="66">
        <v>12.03</v>
      </c>
      <c r="AJ33" s="74"/>
      <c r="AK33" s="67">
        <v>27</v>
      </c>
      <c r="AL33" s="64">
        <v>12</v>
      </c>
      <c r="AM33" s="189">
        <v>11.94</v>
      </c>
      <c r="AN33" s="65">
        <f t="shared" si="2"/>
        <v>25.056000000000203</v>
      </c>
      <c r="AO33" s="66">
        <v>12.15</v>
      </c>
      <c r="AP33" s="84"/>
      <c r="AQ33" s="85"/>
      <c r="AR33" s="84"/>
    </row>
    <row r="34" spans="1:46" ht="15.75" customHeight="1">
      <c r="A34" s="69"/>
      <c r="B34" s="63">
        <v>28</v>
      </c>
      <c r="C34" s="64">
        <v>12</v>
      </c>
      <c r="D34" s="189">
        <v>0.11</v>
      </c>
      <c r="E34" s="66">
        <v>1.2</v>
      </c>
      <c r="G34" s="67">
        <v>28</v>
      </c>
      <c r="H34" s="64">
        <v>12</v>
      </c>
      <c r="I34" s="66">
        <v>0.09</v>
      </c>
      <c r="J34" s="66">
        <v>1.18</v>
      </c>
      <c r="K34" s="65">
        <v>1109</v>
      </c>
      <c r="L34" s="65">
        <v>550</v>
      </c>
      <c r="M34" s="65">
        <v>3695</v>
      </c>
      <c r="N34" s="66">
        <v>10.09</v>
      </c>
      <c r="O34" s="94">
        <f t="shared" si="0"/>
        <v>708.99200000000019</v>
      </c>
      <c r="P34" s="66">
        <v>12.13</v>
      </c>
      <c r="R34" s="63">
        <v>28</v>
      </c>
      <c r="S34" s="64">
        <v>12</v>
      </c>
      <c r="T34" s="191">
        <v>11.18</v>
      </c>
      <c r="U34" s="94">
        <f t="shared" si="1"/>
        <v>342.43200000000013</v>
      </c>
      <c r="V34" s="66">
        <v>12.04</v>
      </c>
      <c r="W34" s="84"/>
      <c r="X34" s="85"/>
      <c r="Y34" s="84"/>
      <c r="Z34" s="67">
        <v>28</v>
      </c>
      <c r="AA34" s="64">
        <v>12</v>
      </c>
      <c r="AB34" s="66">
        <v>0.99</v>
      </c>
      <c r="AC34" s="66">
        <v>2.04</v>
      </c>
      <c r="AD34" s="65">
        <v>1109</v>
      </c>
      <c r="AE34" s="65">
        <v>550</v>
      </c>
      <c r="AF34" s="65">
        <v>3695</v>
      </c>
      <c r="AG34" s="66">
        <v>10.61</v>
      </c>
      <c r="AH34" s="65">
        <v>515.96800000000019</v>
      </c>
      <c r="AI34" s="66">
        <v>12</v>
      </c>
      <c r="AJ34" s="45"/>
      <c r="AK34" s="63">
        <v>28</v>
      </c>
      <c r="AL34" s="64">
        <v>12</v>
      </c>
      <c r="AM34" s="189">
        <v>11.93</v>
      </c>
      <c r="AN34" s="65">
        <f t="shared" si="2"/>
        <v>29.23200000000012</v>
      </c>
      <c r="AO34" s="66">
        <v>12.11</v>
      </c>
      <c r="AP34" s="84"/>
      <c r="AQ34" s="85"/>
      <c r="AR34" s="84"/>
    </row>
    <row r="35" spans="1:46" s="75" customFormat="1" ht="15.75" customHeight="1">
      <c r="A35" s="76"/>
      <c r="B35" s="67">
        <v>29</v>
      </c>
      <c r="C35" s="64">
        <v>12</v>
      </c>
      <c r="D35" s="189">
        <v>0.15</v>
      </c>
      <c r="E35" s="66">
        <v>1.23</v>
      </c>
      <c r="F35" s="45"/>
      <c r="G35" s="67">
        <v>29</v>
      </c>
      <c r="H35" s="64">
        <v>12</v>
      </c>
      <c r="I35" s="66">
        <v>7.0000000000000007E-2</v>
      </c>
      <c r="J35" s="66">
        <v>1.17</v>
      </c>
      <c r="K35" s="65">
        <v>1109</v>
      </c>
      <c r="L35" s="65">
        <v>550</v>
      </c>
      <c r="M35" s="65">
        <v>3695</v>
      </c>
      <c r="N35" s="66">
        <v>9.99</v>
      </c>
      <c r="O35" s="94">
        <f t="shared" si="0"/>
        <v>746.11200000000008</v>
      </c>
      <c r="P35" s="66">
        <v>12.05</v>
      </c>
      <c r="Q35" s="74"/>
      <c r="R35" s="67">
        <v>29</v>
      </c>
      <c r="S35" s="64">
        <v>12</v>
      </c>
      <c r="T35" s="191">
        <v>11.32</v>
      </c>
      <c r="U35" s="94">
        <f t="shared" si="1"/>
        <v>283.9679999999999</v>
      </c>
      <c r="V35" s="66">
        <v>11.95</v>
      </c>
      <c r="W35" s="84"/>
      <c r="X35" s="85"/>
      <c r="Y35" s="84"/>
      <c r="Z35" s="67">
        <v>29</v>
      </c>
      <c r="AA35" s="64">
        <v>12</v>
      </c>
      <c r="AB35" s="66">
        <v>0.94</v>
      </c>
      <c r="AC35" s="66">
        <v>1.94</v>
      </c>
      <c r="AD35" s="65">
        <v>1109</v>
      </c>
      <c r="AE35" s="65">
        <v>550</v>
      </c>
      <c r="AF35" s="65">
        <v>3695</v>
      </c>
      <c r="AG35" s="66">
        <v>10.48</v>
      </c>
      <c r="AH35" s="65">
        <v>564.22399999999993</v>
      </c>
      <c r="AI35" s="66">
        <v>11.93</v>
      </c>
      <c r="AJ35" s="74"/>
      <c r="AK35" s="67">
        <v>29</v>
      </c>
      <c r="AL35" s="64">
        <v>12</v>
      </c>
      <c r="AM35" s="189">
        <v>12.05</v>
      </c>
      <c r="AN35" s="194" t="s">
        <v>782</v>
      </c>
      <c r="AO35" s="66">
        <v>12.05</v>
      </c>
      <c r="AP35" s="84"/>
      <c r="AQ35" s="85"/>
      <c r="AR35" s="84"/>
    </row>
    <row r="36" spans="1:46" s="75" customFormat="1" ht="15.75" customHeight="1">
      <c r="A36" s="76"/>
      <c r="B36" s="67">
        <v>30</v>
      </c>
      <c r="C36" s="64">
        <v>12</v>
      </c>
      <c r="D36" s="189">
        <v>0.13</v>
      </c>
      <c r="E36" s="66">
        <v>1.22</v>
      </c>
      <c r="F36" s="70"/>
      <c r="G36" s="67">
        <v>30</v>
      </c>
      <c r="H36" s="64">
        <v>12</v>
      </c>
      <c r="I36" s="66">
        <v>0.08</v>
      </c>
      <c r="J36" s="66">
        <v>1.17</v>
      </c>
      <c r="K36" s="65">
        <v>1109</v>
      </c>
      <c r="L36" s="65">
        <v>550</v>
      </c>
      <c r="M36" s="65">
        <v>3695</v>
      </c>
      <c r="N36" s="66">
        <v>10.02</v>
      </c>
      <c r="O36" s="94">
        <f t="shared" si="0"/>
        <v>734.97600000000023</v>
      </c>
      <c r="P36" s="66">
        <v>11.96</v>
      </c>
      <c r="Q36" s="74"/>
      <c r="R36" s="67">
        <v>30</v>
      </c>
      <c r="S36" s="64">
        <v>12</v>
      </c>
      <c r="T36" s="191">
        <v>11.34</v>
      </c>
      <c r="U36" s="94">
        <f t="shared" si="1"/>
        <v>275.61600000000004</v>
      </c>
      <c r="V36" s="66">
        <v>11.89</v>
      </c>
      <c r="W36" s="84"/>
      <c r="X36" s="86"/>
      <c r="Y36" s="84"/>
      <c r="Z36" s="67">
        <v>30</v>
      </c>
      <c r="AA36" s="64">
        <v>12</v>
      </c>
      <c r="AB36" s="66">
        <v>0.79</v>
      </c>
      <c r="AC36" s="66">
        <v>1.8</v>
      </c>
      <c r="AD36" s="65">
        <v>1109</v>
      </c>
      <c r="AE36" s="65">
        <v>550</v>
      </c>
      <c r="AF36" s="65">
        <v>3695</v>
      </c>
      <c r="AG36" s="66">
        <v>10.36</v>
      </c>
      <c r="AH36" s="65">
        <v>608.76800000000026</v>
      </c>
      <c r="AI36" s="66">
        <v>11.94</v>
      </c>
      <c r="AJ36" s="74"/>
      <c r="AK36" s="67">
        <v>30</v>
      </c>
      <c r="AL36" s="64">
        <v>12</v>
      </c>
      <c r="AM36" s="189">
        <v>12.02</v>
      </c>
      <c r="AN36" s="194" t="s">
        <v>782</v>
      </c>
      <c r="AO36" s="66">
        <v>12.02</v>
      </c>
      <c r="AP36" s="84"/>
      <c r="AQ36" s="86"/>
      <c r="AR36" s="84"/>
    </row>
    <row r="37" spans="1:46" s="75" customFormat="1" ht="15.75" customHeight="1">
      <c r="A37" s="73"/>
      <c r="B37" s="63">
        <v>31</v>
      </c>
      <c r="C37" s="64">
        <v>12</v>
      </c>
      <c r="D37" s="189">
        <v>0.1</v>
      </c>
      <c r="E37" s="66">
        <v>1.18</v>
      </c>
      <c r="F37" s="70"/>
      <c r="G37" s="67">
        <v>31</v>
      </c>
      <c r="H37" s="64">
        <v>12</v>
      </c>
      <c r="I37" s="66">
        <v>0.06</v>
      </c>
      <c r="J37" s="66">
        <v>1.17</v>
      </c>
      <c r="K37" s="65">
        <v>1109</v>
      </c>
      <c r="L37" s="65">
        <v>550</v>
      </c>
      <c r="M37" s="65">
        <v>3695</v>
      </c>
      <c r="N37" s="66">
        <v>10.11</v>
      </c>
      <c r="O37" s="94">
        <f t="shared" si="0"/>
        <v>701.56800000000032</v>
      </c>
      <c r="P37" s="66">
        <v>11.94</v>
      </c>
      <c r="Q37" s="74"/>
      <c r="R37" s="63">
        <v>31</v>
      </c>
      <c r="S37" s="64">
        <v>12</v>
      </c>
      <c r="T37" s="191">
        <v>11.06</v>
      </c>
      <c r="U37" s="94">
        <f t="shared" si="1"/>
        <v>392.54399999999981</v>
      </c>
      <c r="V37" s="66">
        <v>11.99</v>
      </c>
      <c r="W37" s="84"/>
      <c r="X37" s="85"/>
      <c r="Y37" s="84"/>
      <c r="Z37" s="67">
        <v>31</v>
      </c>
      <c r="AA37" s="64">
        <v>12</v>
      </c>
      <c r="AB37" s="66">
        <v>0.76</v>
      </c>
      <c r="AC37" s="66">
        <v>1.78</v>
      </c>
      <c r="AD37" s="65">
        <v>1109</v>
      </c>
      <c r="AE37" s="65">
        <v>550</v>
      </c>
      <c r="AF37" s="65">
        <v>3695</v>
      </c>
      <c r="AG37" s="66">
        <v>10.4</v>
      </c>
      <c r="AH37" s="65">
        <v>593.91999999999996</v>
      </c>
      <c r="AI37" s="66">
        <v>11.97</v>
      </c>
      <c r="AJ37" s="74"/>
      <c r="AK37" s="63">
        <v>31</v>
      </c>
      <c r="AL37" s="64">
        <v>12</v>
      </c>
      <c r="AM37" s="189">
        <v>11.96</v>
      </c>
      <c r="AN37" s="65">
        <f t="shared" si="2"/>
        <v>16.703999999999645</v>
      </c>
      <c r="AO37" s="66">
        <v>12.03</v>
      </c>
      <c r="AP37" s="84"/>
      <c r="AQ37" s="85"/>
      <c r="AR37" s="84"/>
    </row>
    <row r="38" spans="1:46" s="75" customFormat="1" ht="15.75" customHeight="1">
      <c r="A38" s="73"/>
      <c r="B38" s="67">
        <v>32</v>
      </c>
      <c r="C38" s="64">
        <v>12</v>
      </c>
      <c r="D38" s="189">
        <v>0.14000000000000001</v>
      </c>
      <c r="E38" s="66">
        <v>1.21</v>
      </c>
      <c r="F38" s="70"/>
      <c r="G38" s="67">
        <v>32</v>
      </c>
      <c r="H38" s="64">
        <v>12</v>
      </c>
      <c r="I38" s="66">
        <v>0.09</v>
      </c>
      <c r="J38" s="66">
        <v>1.19</v>
      </c>
      <c r="K38" s="65">
        <v>1109</v>
      </c>
      <c r="L38" s="65">
        <v>550</v>
      </c>
      <c r="M38" s="65">
        <v>3695</v>
      </c>
      <c r="N38" s="66">
        <v>10.119999999999999</v>
      </c>
      <c r="O38" s="94">
        <f t="shared" si="0"/>
        <v>697.85600000000034</v>
      </c>
      <c r="P38" s="66">
        <v>11.91</v>
      </c>
      <c r="Q38" s="74"/>
      <c r="R38" s="67">
        <v>32</v>
      </c>
      <c r="S38" s="64">
        <v>12</v>
      </c>
      <c r="T38" s="191">
        <v>11.11</v>
      </c>
      <c r="U38" s="94">
        <f t="shared" si="1"/>
        <v>371.66400000000027</v>
      </c>
      <c r="V38" s="66">
        <v>12.03</v>
      </c>
      <c r="W38" s="84"/>
      <c r="X38" s="85"/>
      <c r="Y38" s="84"/>
      <c r="Z38" s="67">
        <v>32</v>
      </c>
      <c r="AA38" s="64">
        <v>12</v>
      </c>
      <c r="AB38" s="66">
        <v>0.97</v>
      </c>
      <c r="AC38" s="66">
        <v>1.96</v>
      </c>
      <c r="AD38" s="65">
        <v>1109</v>
      </c>
      <c r="AE38" s="65">
        <v>550</v>
      </c>
      <c r="AF38" s="65">
        <v>3695</v>
      </c>
      <c r="AG38" s="66">
        <v>10.5</v>
      </c>
      <c r="AH38" s="65">
        <v>556.80000000000007</v>
      </c>
      <c r="AI38" s="66">
        <v>12.05</v>
      </c>
      <c r="AJ38" s="74"/>
      <c r="AK38" s="67">
        <v>32</v>
      </c>
      <c r="AL38" s="64">
        <v>12</v>
      </c>
      <c r="AM38" s="189">
        <v>12.07</v>
      </c>
      <c r="AN38" s="194" t="s">
        <v>782</v>
      </c>
      <c r="AO38" s="66">
        <v>12.07</v>
      </c>
      <c r="AP38" s="84"/>
      <c r="AQ38" s="85"/>
      <c r="AR38" s="84"/>
    </row>
    <row r="39" spans="1:46" s="75" customFormat="1" ht="15.75" customHeight="1">
      <c r="A39" s="73"/>
      <c r="B39" s="67">
        <v>33</v>
      </c>
      <c r="C39" s="64">
        <v>12</v>
      </c>
      <c r="D39" s="189">
        <v>0.12</v>
      </c>
      <c r="E39" s="66">
        <v>1.21</v>
      </c>
      <c r="F39" s="70"/>
      <c r="G39" s="67">
        <v>33</v>
      </c>
      <c r="H39" s="64">
        <v>12</v>
      </c>
      <c r="I39" s="66">
        <v>7.0000000000000007E-2</v>
      </c>
      <c r="J39" s="66">
        <v>1.17</v>
      </c>
      <c r="K39" s="65">
        <v>1109</v>
      </c>
      <c r="L39" s="65">
        <v>550</v>
      </c>
      <c r="M39" s="65">
        <v>3695</v>
      </c>
      <c r="N39" s="66">
        <v>10.029999999999999</v>
      </c>
      <c r="O39" s="94">
        <f t="shared" si="0"/>
        <v>731.26400000000024</v>
      </c>
      <c r="P39" s="66">
        <v>12.01</v>
      </c>
      <c r="Q39" s="74"/>
      <c r="R39" s="67">
        <v>33</v>
      </c>
      <c r="S39" s="64">
        <v>12</v>
      </c>
      <c r="T39" s="191">
        <v>11.32</v>
      </c>
      <c r="U39" s="94">
        <f t="shared" si="1"/>
        <v>283.9679999999999</v>
      </c>
      <c r="V39" s="66">
        <v>12.01</v>
      </c>
      <c r="W39" s="84"/>
      <c r="X39" s="86"/>
      <c r="Y39" s="84"/>
      <c r="Z39" s="67">
        <v>33</v>
      </c>
      <c r="AA39" s="64">
        <v>12</v>
      </c>
      <c r="AB39" s="66">
        <v>0.91</v>
      </c>
      <c r="AC39" s="66">
        <v>1.92</v>
      </c>
      <c r="AD39" s="65">
        <v>1109</v>
      </c>
      <c r="AE39" s="65">
        <v>550</v>
      </c>
      <c r="AF39" s="65">
        <v>3695</v>
      </c>
      <c r="AG39" s="66">
        <v>10.31</v>
      </c>
      <c r="AH39" s="65">
        <v>627.32799999999986</v>
      </c>
      <c r="AI39" s="66">
        <v>12.05</v>
      </c>
      <c r="AJ39" s="74"/>
      <c r="AK39" s="67">
        <v>33</v>
      </c>
      <c r="AL39" s="64">
        <v>12</v>
      </c>
      <c r="AM39" s="189">
        <v>12.3</v>
      </c>
      <c r="AN39" s="194" t="s">
        <v>782</v>
      </c>
      <c r="AO39" s="66">
        <v>12.3</v>
      </c>
      <c r="AP39" s="84"/>
      <c r="AQ39" s="86"/>
      <c r="AR39" s="84"/>
    </row>
    <row r="40" spans="1:46" ht="15.75" customHeight="1">
      <c r="B40" s="63">
        <v>34</v>
      </c>
      <c r="C40" s="64">
        <v>12</v>
      </c>
      <c r="D40" s="189">
        <v>0.14000000000000001</v>
      </c>
      <c r="E40" s="66">
        <v>1.22</v>
      </c>
      <c r="G40" s="67">
        <v>34</v>
      </c>
      <c r="H40" s="64">
        <v>12</v>
      </c>
      <c r="I40" s="66">
        <v>0.06</v>
      </c>
      <c r="J40" s="66">
        <v>1.18</v>
      </c>
      <c r="K40" s="65">
        <v>1109</v>
      </c>
      <c r="L40" s="65">
        <v>550</v>
      </c>
      <c r="M40" s="65">
        <v>3695</v>
      </c>
      <c r="N40" s="66">
        <v>10.24</v>
      </c>
      <c r="O40" s="94">
        <f t="shared" si="0"/>
        <v>653.3119999999999</v>
      </c>
      <c r="P40" s="66">
        <v>11.55</v>
      </c>
      <c r="R40" s="63">
        <v>34</v>
      </c>
      <c r="S40" s="64">
        <v>12</v>
      </c>
      <c r="T40" s="191">
        <v>10.84</v>
      </c>
      <c r="U40" s="94">
        <f t="shared" si="1"/>
        <v>484.416</v>
      </c>
      <c r="V40" s="66">
        <v>11.9</v>
      </c>
      <c r="W40" s="84"/>
      <c r="X40" s="86"/>
      <c r="Y40" s="84"/>
      <c r="Z40" s="67">
        <v>34</v>
      </c>
      <c r="AA40" s="64">
        <v>12</v>
      </c>
      <c r="AB40" s="66">
        <v>0.93</v>
      </c>
      <c r="AC40" s="66">
        <v>1.93</v>
      </c>
      <c r="AD40" s="65">
        <v>1109</v>
      </c>
      <c r="AE40" s="65">
        <v>550</v>
      </c>
      <c r="AF40" s="65">
        <v>3695</v>
      </c>
      <c r="AG40" s="66">
        <v>10.55</v>
      </c>
      <c r="AH40" s="65">
        <v>538.23999999999978</v>
      </c>
      <c r="AI40" s="66">
        <v>12.06</v>
      </c>
      <c r="AJ40" s="45"/>
      <c r="AK40" s="63">
        <v>34</v>
      </c>
      <c r="AL40" s="64">
        <v>12</v>
      </c>
      <c r="AM40" s="189">
        <v>12.1</v>
      </c>
      <c r="AN40" s="194" t="s">
        <v>782</v>
      </c>
      <c r="AO40" s="66">
        <v>12.1</v>
      </c>
      <c r="AP40" s="84"/>
      <c r="AQ40" s="86"/>
      <c r="AR40" s="84"/>
    </row>
    <row r="41" spans="1:46" ht="15.75" customHeight="1">
      <c r="B41" s="67">
        <v>35</v>
      </c>
      <c r="C41" s="64">
        <v>12</v>
      </c>
      <c r="D41" s="189">
        <v>0.12</v>
      </c>
      <c r="E41" s="66">
        <v>1.2</v>
      </c>
      <c r="G41" s="67">
        <v>35</v>
      </c>
      <c r="H41" s="64">
        <v>12</v>
      </c>
      <c r="I41" s="66">
        <v>7.0000000000000007E-2</v>
      </c>
      <c r="J41" s="66">
        <v>1.18</v>
      </c>
      <c r="K41" s="65">
        <v>1109</v>
      </c>
      <c r="L41" s="65">
        <v>550</v>
      </c>
      <c r="M41" s="65">
        <v>3695</v>
      </c>
      <c r="N41" s="66">
        <v>10.15</v>
      </c>
      <c r="O41" s="94">
        <f t="shared" si="0"/>
        <v>686.7199999999998</v>
      </c>
      <c r="P41" s="66">
        <v>11.88</v>
      </c>
      <c r="R41" s="67">
        <v>35</v>
      </c>
      <c r="S41" s="64">
        <v>12</v>
      </c>
      <c r="T41" s="191">
        <v>11.26</v>
      </c>
      <c r="U41" s="94">
        <f t="shared" si="1"/>
        <v>309.02400000000006</v>
      </c>
      <c r="V41" s="66">
        <v>11.76</v>
      </c>
      <c r="W41" s="84"/>
      <c r="X41" s="85"/>
      <c r="Y41" s="84"/>
      <c r="Z41" s="67">
        <v>35</v>
      </c>
      <c r="AA41" s="64">
        <v>12</v>
      </c>
      <c r="AB41" s="66">
        <v>0.65</v>
      </c>
      <c r="AC41" s="66">
        <v>1.86</v>
      </c>
      <c r="AD41" s="65">
        <v>1109</v>
      </c>
      <c r="AE41" s="65">
        <v>550</v>
      </c>
      <c r="AF41" s="65">
        <v>3695</v>
      </c>
      <c r="AG41" s="66">
        <v>10.44</v>
      </c>
      <c r="AH41" s="65">
        <v>579.07200000000023</v>
      </c>
      <c r="AI41" s="66">
        <v>11.92</v>
      </c>
      <c r="AJ41" s="45"/>
      <c r="AK41" s="67">
        <v>35</v>
      </c>
      <c r="AL41" s="64">
        <v>12</v>
      </c>
      <c r="AM41" s="189">
        <v>11.9</v>
      </c>
      <c r="AN41" s="65">
        <f t="shared" si="2"/>
        <v>41.759999999999856</v>
      </c>
      <c r="AO41" s="66">
        <v>12.17</v>
      </c>
      <c r="AP41" s="84"/>
      <c r="AQ41" s="85"/>
      <c r="AR41" s="84"/>
    </row>
    <row r="42" spans="1:46" ht="15.75" customHeight="1">
      <c r="B42" s="67">
        <v>36</v>
      </c>
      <c r="C42" s="64">
        <v>12</v>
      </c>
      <c r="D42" s="66">
        <v>0.1</v>
      </c>
      <c r="E42" s="66">
        <v>1.17</v>
      </c>
      <c r="G42" s="67">
        <v>36</v>
      </c>
      <c r="H42" s="64">
        <v>12</v>
      </c>
      <c r="I42" s="66">
        <v>0.09</v>
      </c>
      <c r="J42" s="66">
        <v>1.17</v>
      </c>
      <c r="K42" s="65">
        <v>1109</v>
      </c>
      <c r="L42" s="65">
        <v>550</v>
      </c>
      <c r="M42" s="65">
        <v>3695</v>
      </c>
      <c r="N42" s="66">
        <v>10.130000000000001</v>
      </c>
      <c r="O42" s="94">
        <f t="shared" si="0"/>
        <v>694.14399999999978</v>
      </c>
      <c r="P42" s="66">
        <v>11.95</v>
      </c>
      <c r="R42" s="67">
        <v>36</v>
      </c>
      <c r="S42" s="64">
        <v>12</v>
      </c>
      <c r="T42" s="191">
        <v>11.17</v>
      </c>
      <c r="U42" s="94">
        <f t="shared" si="1"/>
        <v>346.608</v>
      </c>
      <c r="V42" s="66">
        <v>12.09</v>
      </c>
      <c r="W42" s="84"/>
      <c r="X42" s="85"/>
      <c r="Y42" s="84"/>
      <c r="Z42" s="67">
        <v>36</v>
      </c>
      <c r="AA42" s="64">
        <v>12</v>
      </c>
      <c r="AB42" s="66">
        <v>1</v>
      </c>
      <c r="AC42" s="66">
        <v>2.02</v>
      </c>
      <c r="AD42" s="65">
        <v>1109</v>
      </c>
      <c r="AE42" s="65">
        <v>550</v>
      </c>
      <c r="AF42" s="65">
        <v>3695</v>
      </c>
      <c r="AG42" s="66">
        <v>10.54</v>
      </c>
      <c r="AH42" s="65">
        <v>541.95200000000034</v>
      </c>
      <c r="AI42" s="66">
        <v>11.96</v>
      </c>
      <c r="AJ42" s="45"/>
      <c r="AK42" s="67">
        <v>36</v>
      </c>
      <c r="AL42" s="64">
        <v>12</v>
      </c>
      <c r="AM42" s="66">
        <v>12.03</v>
      </c>
      <c r="AN42" s="194" t="s">
        <v>782</v>
      </c>
      <c r="AO42" s="66">
        <v>12.03</v>
      </c>
      <c r="AP42" s="84"/>
      <c r="AQ42" s="85"/>
      <c r="AR42" s="84"/>
    </row>
    <row r="43" spans="1:46" ht="15.75" customHeight="1">
      <c r="B43" s="63">
        <v>37</v>
      </c>
      <c r="C43" s="64">
        <v>12</v>
      </c>
      <c r="D43" s="66">
        <v>0.13</v>
      </c>
      <c r="E43" s="66">
        <v>1.21</v>
      </c>
      <c r="G43" s="67">
        <v>37</v>
      </c>
      <c r="H43" s="64">
        <v>12</v>
      </c>
      <c r="I43" s="66">
        <v>0.09</v>
      </c>
      <c r="J43" s="66">
        <v>1.18</v>
      </c>
      <c r="K43" s="65">
        <v>1109</v>
      </c>
      <c r="L43" s="65">
        <v>550</v>
      </c>
      <c r="M43" s="65">
        <v>3695</v>
      </c>
      <c r="N43" s="190">
        <v>10.1</v>
      </c>
      <c r="O43" s="94">
        <f t="shared" si="0"/>
        <v>705.2800000000002</v>
      </c>
      <c r="P43" s="66">
        <v>12.26</v>
      </c>
      <c r="R43" s="63">
        <v>37</v>
      </c>
      <c r="S43" s="64">
        <v>12</v>
      </c>
      <c r="T43" s="191">
        <v>11.52</v>
      </c>
      <c r="U43" s="94">
        <f t="shared" si="1"/>
        <v>200.44800000000021</v>
      </c>
      <c r="V43" s="66">
        <v>12.14</v>
      </c>
      <c r="W43" s="84"/>
      <c r="X43" s="85"/>
      <c r="Y43" s="84"/>
      <c r="Z43" s="67">
        <v>37</v>
      </c>
      <c r="AA43" s="64">
        <v>12</v>
      </c>
      <c r="AB43" s="66">
        <v>0.21</v>
      </c>
      <c r="AC43" s="66">
        <v>1.28</v>
      </c>
      <c r="AD43" s="65">
        <v>1109</v>
      </c>
      <c r="AE43" s="65">
        <v>550</v>
      </c>
      <c r="AF43" s="65">
        <v>3695</v>
      </c>
      <c r="AG43" s="66">
        <v>10.14</v>
      </c>
      <c r="AH43" s="65">
        <v>690.43199999999979</v>
      </c>
      <c r="AI43" s="66">
        <v>11.9</v>
      </c>
      <c r="AJ43" s="45"/>
      <c r="AK43" s="63">
        <v>37</v>
      </c>
      <c r="AL43" s="64">
        <v>12</v>
      </c>
      <c r="AM43" s="66">
        <v>11.88</v>
      </c>
      <c r="AN43" s="65">
        <f t="shared" si="2"/>
        <v>50.111999999999682</v>
      </c>
      <c r="AO43" s="66">
        <v>12.02</v>
      </c>
      <c r="AP43" s="84"/>
      <c r="AQ43" s="85"/>
      <c r="AR43" s="84"/>
    </row>
    <row r="44" spans="1:46" ht="15.75" customHeight="1">
      <c r="B44" s="88"/>
      <c r="C44" s="88"/>
      <c r="D44" s="86"/>
      <c r="E44" s="86"/>
      <c r="G44" s="88"/>
      <c r="H44" s="88"/>
      <c r="I44" s="85"/>
      <c r="J44" s="86"/>
      <c r="K44" s="84"/>
      <c r="L44" s="84"/>
      <c r="M44" s="84"/>
      <c r="N44" s="86"/>
      <c r="O44" s="84"/>
      <c r="P44" s="86"/>
      <c r="R44" s="88"/>
      <c r="S44" s="88"/>
      <c r="T44" s="86"/>
      <c r="U44" s="86"/>
      <c r="V44" s="86"/>
      <c r="W44" s="84"/>
      <c r="X44" s="85"/>
      <c r="Y44" s="84"/>
      <c r="Z44" s="88"/>
      <c r="AA44" s="88"/>
      <c r="AB44" s="85"/>
      <c r="AC44" s="86"/>
      <c r="AD44" s="84"/>
      <c r="AE44" s="84"/>
      <c r="AF44" s="84"/>
      <c r="AG44" s="86"/>
      <c r="AH44" s="84"/>
      <c r="AI44" s="86"/>
      <c r="AJ44" s="45"/>
      <c r="AK44" s="88"/>
      <c r="AL44" s="88"/>
      <c r="AM44" s="86"/>
      <c r="AN44" s="86"/>
      <c r="AO44" s="86"/>
      <c r="AP44" s="84"/>
      <c r="AQ44" s="85"/>
      <c r="AR44" s="84"/>
    </row>
    <row r="45" spans="1:46" ht="15.75" customHeight="1">
      <c r="B45" s="48" t="s">
        <v>759</v>
      </c>
      <c r="C45" s="42"/>
      <c r="D45" s="42"/>
      <c r="E45" s="44"/>
      <c r="F45" s="42"/>
      <c r="G45" s="48" t="s">
        <v>772</v>
      </c>
      <c r="H45" s="46"/>
      <c r="I45" s="46"/>
      <c r="J45" s="46"/>
      <c r="K45" s="46"/>
      <c r="L45" s="46"/>
      <c r="M45" s="46"/>
      <c r="N45" s="45"/>
      <c r="O45" s="45"/>
      <c r="P45" s="45"/>
      <c r="R45" s="48" t="s">
        <v>776</v>
      </c>
      <c r="S45" s="45"/>
      <c r="T45" s="45"/>
      <c r="U45" s="45"/>
      <c r="V45" s="45"/>
      <c r="W45" s="45"/>
      <c r="X45" s="45"/>
      <c r="Y45" s="45"/>
      <c r="Z45" s="48" t="s">
        <v>771</v>
      </c>
      <c r="AA45" s="46"/>
      <c r="AB45" s="46"/>
      <c r="AC45" s="46"/>
      <c r="AD45" s="46"/>
      <c r="AE45" s="46"/>
      <c r="AF45" s="46"/>
      <c r="AG45" s="45"/>
      <c r="AH45" s="45"/>
      <c r="AI45" s="45"/>
      <c r="AJ45" s="45"/>
      <c r="AK45" s="48" t="s">
        <v>777</v>
      </c>
      <c r="AL45" s="45"/>
      <c r="AM45" s="45"/>
      <c r="AN45" s="45"/>
      <c r="AO45" s="45"/>
      <c r="AP45" s="84"/>
      <c r="AQ45" s="48" t="s">
        <v>1053</v>
      </c>
      <c r="AR45" s="45"/>
      <c r="AS45" s="45"/>
      <c r="AT45" s="45"/>
    </row>
    <row r="46" spans="1:46" ht="41.25" customHeight="1" thickBot="1">
      <c r="B46" s="229" t="s">
        <v>1050</v>
      </c>
      <c r="C46" s="229"/>
      <c r="D46" s="229"/>
      <c r="E46" s="229"/>
      <c r="F46" s="42"/>
      <c r="G46" s="229" t="s">
        <v>1051</v>
      </c>
      <c r="H46" s="229"/>
      <c r="I46" s="229"/>
      <c r="J46" s="229"/>
      <c r="K46" s="46"/>
      <c r="L46" s="46"/>
      <c r="M46" s="46"/>
      <c r="N46" s="45"/>
      <c r="O46" s="45"/>
      <c r="P46" s="45"/>
      <c r="R46" s="228">
        <v>45379</v>
      </c>
      <c r="S46" s="228"/>
      <c r="T46" s="228"/>
      <c r="U46" s="228"/>
      <c r="V46" s="228"/>
      <c r="W46" s="45"/>
      <c r="X46" s="45"/>
      <c r="Y46" s="45"/>
      <c r="Z46" s="229" t="s">
        <v>1052</v>
      </c>
      <c r="AA46" s="229"/>
      <c r="AB46" s="229"/>
      <c r="AC46" s="229"/>
      <c r="AD46" s="46"/>
      <c r="AE46" s="46"/>
      <c r="AF46" s="46"/>
      <c r="AG46" s="45"/>
      <c r="AH46" s="45"/>
      <c r="AI46" s="45"/>
      <c r="AJ46" s="45"/>
      <c r="AK46" s="228">
        <v>45407</v>
      </c>
      <c r="AL46" s="228"/>
      <c r="AM46" s="228"/>
      <c r="AN46" s="228"/>
      <c r="AO46" s="228"/>
      <c r="AP46" s="45"/>
      <c r="AQ46" s="228">
        <v>45418</v>
      </c>
      <c r="AR46" s="228"/>
      <c r="AS46" s="228"/>
      <c r="AT46" s="228"/>
    </row>
    <row r="47" spans="1:46" ht="15.75" customHeight="1" thickBot="1">
      <c r="B47" s="226" t="s">
        <v>100</v>
      </c>
      <c r="C47" s="51" t="s">
        <v>760</v>
      </c>
      <c r="D47" s="52" t="s">
        <v>761</v>
      </c>
      <c r="E47" s="53" t="s">
        <v>762</v>
      </c>
      <c r="F47" s="54"/>
      <c r="G47" s="226" t="s">
        <v>100</v>
      </c>
      <c r="H47" s="51" t="s">
        <v>760</v>
      </c>
      <c r="I47" s="52" t="s">
        <v>761</v>
      </c>
      <c r="J47" s="53" t="s">
        <v>762</v>
      </c>
      <c r="K47" s="55" t="s">
        <v>763</v>
      </c>
      <c r="L47" s="55" t="s">
        <v>764</v>
      </c>
      <c r="M47" s="55" t="s">
        <v>765</v>
      </c>
      <c r="N47" s="52" t="s">
        <v>103</v>
      </c>
      <c r="O47" s="55" t="s">
        <v>766</v>
      </c>
      <c r="P47" s="52" t="s">
        <v>103</v>
      </c>
      <c r="R47" s="226" t="s">
        <v>100</v>
      </c>
      <c r="S47" s="51" t="s">
        <v>760</v>
      </c>
      <c r="T47" s="52" t="s">
        <v>103</v>
      </c>
      <c r="U47" s="52" t="s">
        <v>767</v>
      </c>
      <c r="V47" s="52" t="s">
        <v>761</v>
      </c>
      <c r="W47" s="59"/>
      <c r="X47" s="83"/>
      <c r="Y47" s="59"/>
      <c r="Z47" s="226" t="s">
        <v>100</v>
      </c>
      <c r="AA47" s="51" t="s">
        <v>760</v>
      </c>
      <c r="AB47" s="52" t="s">
        <v>761</v>
      </c>
      <c r="AC47" s="53" t="s">
        <v>762</v>
      </c>
      <c r="AD47" s="55" t="s">
        <v>763</v>
      </c>
      <c r="AE47" s="55" t="s">
        <v>764</v>
      </c>
      <c r="AF47" s="55" t="s">
        <v>765</v>
      </c>
      <c r="AG47" s="52" t="s">
        <v>103</v>
      </c>
      <c r="AH47" s="55" t="s">
        <v>766</v>
      </c>
      <c r="AI47" s="52" t="s">
        <v>103</v>
      </c>
      <c r="AJ47" s="45"/>
      <c r="AK47" s="226" t="s">
        <v>100</v>
      </c>
      <c r="AL47" s="51" t="s">
        <v>760</v>
      </c>
      <c r="AM47" s="52" t="s">
        <v>103</v>
      </c>
      <c r="AN47" s="52" t="s">
        <v>767</v>
      </c>
      <c r="AO47" s="52" t="s">
        <v>761</v>
      </c>
      <c r="AP47" s="84"/>
      <c r="AQ47" s="226" t="s">
        <v>100</v>
      </c>
      <c r="AR47" s="51" t="s">
        <v>760</v>
      </c>
      <c r="AS47" s="52" t="s">
        <v>761</v>
      </c>
      <c r="AT47" s="53" t="s">
        <v>762</v>
      </c>
    </row>
    <row r="48" spans="1:46" ht="15.75" customHeight="1" thickBot="1">
      <c r="B48" s="227"/>
      <c r="C48" s="56" t="s">
        <v>768</v>
      </c>
      <c r="D48" s="57" t="s">
        <v>768</v>
      </c>
      <c r="E48" s="58" t="s">
        <v>768</v>
      </c>
      <c r="F48" s="59"/>
      <c r="G48" s="227"/>
      <c r="H48" s="56" t="s">
        <v>768</v>
      </c>
      <c r="I48" s="60" t="s">
        <v>768</v>
      </c>
      <c r="J48" s="61" t="s">
        <v>768</v>
      </c>
      <c r="K48" s="62" t="s">
        <v>769</v>
      </c>
      <c r="L48" s="62" t="s">
        <v>769</v>
      </c>
      <c r="M48" s="62" t="s">
        <v>769</v>
      </c>
      <c r="N48" s="61" t="s">
        <v>768</v>
      </c>
      <c r="O48" s="61" t="s">
        <v>769</v>
      </c>
      <c r="P48" s="61" t="s">
        <v>768</v>
      </c>
      <c r="R48" s="227"/>
      <c r="S48" s="56" t="s">
        <v>768</v>
      </c>
      <c r="T48" s="60" t="s">
        <v>768</v>
      </c>
      <c r="U48" s="61" t="s">
        <v>769</v>
      </c>
      <c r="V48" s="87" t="s">
        <v>768</v>
      </c>
      <c r="W48" s="59"/>
      <c r="X48" s="72"/>
      <c r="Y48" s="72"/>
      <c r="Z48" s="227"/>
      <c r="AA48" s="56" t="s">
        <v>768</v>
      </c>
      <c r="AB48" s="60" t="s">
        <v>768</v>
      </c>
      <c r="AC48" s="61" t="s">
        <v>768</v>
      </c>
      <c r="AD48" s="62" t="s">
        <v>769</v>
      </c>
      <c r="AE48" s="62" t="s">
        <v>769</v>
      </c>
      <c r="AF48" s="62" t="s">
        <v>769</v>
      </c>
      <c r="AG48" s="61" t="s">
        <v>768</v>
      </c>
      <c r="AH48" s="61" t="s">
        <v>769</v>
      </c>
      <c r="AI48" s="61" t="s">
        <v>768</v>
      </c>
      <c r="AJ48" s="45"/>
      <c r="AK48" s="227"/>
      <c r="AL48" s="56" t="s">
        <v>768</v>
      </c>
      <c r="AM48" s="60" t="s">
        <v>768</v>
      </c>
      <c r="AN48" s="61" t="s">
        <v>769</v>
      </c>
      <c r="AO48" s="60" t="s">
        <v>768</v>
      </c>
      <c r="AP48" s="84"/>
      <c r="AQ48" s="227"/>
      <c r="AR48" s="56" t="s">
        <v>768</v>
      </c>
      <c r="AS48" s="60" t="s">
        <v>768</v>
      </c>
      <c r="AT48" s="61" t="s">
        <v>768</v>
      </c>
    </row>
    <row r="49" spans="1:46" ht="15.75" customHeight="1">
      <c r="B49" s="67">
        <v>38</v>
      </c>
      <c r="C49" s="64">
        <v>12</v>
      </c>
      <c r="D49" s="66">
        <v>0.13</v>
      </c>
      <c r="E49" s="66">
        <v>1.21</v>
      </c>
      <c r="G49" s="63">
        <v>38</v>
      </c>
      <c r="H49" s="64">
        <v>12</v>
      </c>
      <c r="I49" s="93">
        <v>0.08</v>
      </c>
      <c r="J49" s="93">
        <v>1.1599999999999999</v>
      </c>
      <c r="K49" s="94">
        <v>1109</v>
      </c>
      <c r="L49" s="94">
        <v>550</v>
      </c>
      <c r="M49" s="94">
        <v>3695</v>
      </c>
      <c r="N49" s="93">
        <v>10.17</v>
      </c>
      <c r="O49" s="94">
        <f t="shared" ref="O49:O65" si="3">(H49-N49)*0.64*725*0.8</f>
        <v>679.29600000000005</v>
      </c>
      <c r="P49" s="93">
        <v>11.83</v>
      </c>
      <c r="R49" s="67">
        <v>38</v>
      </c>
      <c r="S49" s="64">
        <v>12</v>
      </c>
      <c r="T49" s="66">
        <v>11.18</v>
      </c>
      <c r="U49" s="65">
        <f t="shared" ref="U49:U65" si="4">(S49-T49)*0.64*725*0.9</f>
        <v>342.43200000000013</v>
      </c>
      <c r="V49" s="66">
        <v>12.08</v>
      </c>
      <c r="W49" s="84"/>
      <c r="X49" s="85"/>
      <c r="Y49" s="84"/>
      <c r="Z49" s="67">
        <v>38</v>
      </c>
      <c r="AA49" s="64">
        <v>12</v>
      </c>
      <c r="AB49" s="93">
        <v>0.61</v>
      </c>
      <c r="AC49" s="93">
        <v>1.64</v>
      </c>
      <c r="AD49" s="94">
        <v>1109</v>
      </c>
      <c r="AE49" s="94">
        <v>550</v>
      </c>
      <c r="AF49" s="94">
        <v>3695</v>
      </c>
      <c r="AG49" s="93">
        <v>10.47</v>
      </c>
      <c r="AH49" s="94">
        <v>567.93599999999981</v>
      </c>
      <c r="AI49" s="93">
        <v>11.97</v>
      </c>
      <c r="AJ49" s="45"/>
      <c r="AK49" s="63">
        <v>38</v>
      </c>
      <c r="AL49" s="64">
        <v>12</v>
      </c>
      <c r="AM49" s="93">
        <v>11.66</v>
      </c>
      <c r="AN49" s="94">
        <f t="shared" ref="AN49:AN65" si="5">IF((AL49-AM49)&gt;0,(AL49-AM49)*0.64*725*0.9,"")</f>
        <v>141.98399999999995</v>
      </c>
      <c r="AO49" s="93">
        <v>12.06</v>
      </c>
      <c r="AP49" s="84"/>
      <c r="AQ49" s="63">
        <v>38</v>
      </c>
      <c r="AR49" s="64">
        <v>12</v>
      </c>
      <c r="AS49" s="90" t="s">
        <v>782</v>
      </c>
      <c r="AT49" s="90" t="s">
        <v>782</v>
      </c>
    </row>
    <row r="50" spans="1:46" ht="15.75" customHeight="1">
      <c r="B50" s="67">
        <v>39</v>
      </c>
      <c r="C50" s="64">
        <v>12</v>
      </c>
      <c r="D50" s="66">
        <v>0.13</v>
      </c>
      <c r="E50" s="66">
        <v>1.21</v>
      </c>
      <c r="G50" s="67">
        <v>39</v>
      </c>
      <c r="H50" s="64">
        <v>12</v>
      </c>
      <c r="I50" s="66">
        <v>0.06</v>
      </c>
      <c r="J50" s="66">
        <v>1.1499999999999999</v>
      </c>
      <c r="K50" s="65">
        <v>1109</v>
      </c>
      <c r="L50" s="65">
        <v>550</v>
      </c>
      <c r="M50" s="65">
        <v>3695</v>
      </c>
      <c r="N50" s="66">
        <v>10.039999999999999</v>
      </c>
      <c r="O50" s="65">
        <f t="shared" si="3"/>
        <v>727.55200000000048</v>
      </c>
      <c r="P50" s="66">
        <v>11.86</v>
      </c>
      <c r="R50" s="67">
        <v>39</v>
      </c>
      <c r="S50" s="64">
        <v>12</v>
      </c>
      <c r="T50" s="66">
        <v>11.29</v>
      </c>
      <c r="U50" s="65">
        <f t="shared" si="4"/>
        <v>296.49600000000038</v>
      </c>
      <c r="V50" s="66">
        <v>11.95</v>
      </c>
      <c r="W50" s="84"/>
      <c r="X50" s="85"/>
      <c r="Y50" s="84"/>
      <c r="Z50" s="67">
        <v>39</v>
      </c>
      <c r="AA50" s="64">
        <v>12</v>
      </c>
      <c r="AB50" s="66">
        <v>0.69</v>
      </c>
      <c r="AC50" s="66">
        <v>1.69</v>
      </c>
      <c r="AD50" s="65">
        <v>1109</v>
      </c>
      <c r="AE50" s="65">
        <v>550</v>
      </c>
      <c r="AF50" s="65">
        <v>3695</v>
      </c>
      <c r="AG50" s="66">
        <v>10.36</v>
      </c>
      <c r="AH50" s="65">
        <v>608.76800000000026</v>
      </c>
      <c r="AI50" s="66">
        <v>11.89</v>
      </c>
      <c r="AJ50" s="45"/>
      <c r="AK50" s="67">
        <v>39</v>
      </c>
      <c r="AL50" s="64">
        <v>12</v>
      </c>
      <c r="AM50" s="66">
        <v>11.83</v>
      </c>
      <c r="AN50" s="65">
        <f t="shared" si="5"/>
        <v>70.991999999999976</v>
      </c>
      <c r="AO50" s="66">
        <v>12.04</v>
      </c>
      <c r="AP50" s="84"/>
      <c r="AQ50" s="67">
        <v>39</v>
      </c>
      <c r="AR50" s="64">
        <v>12</v>
      </c>
      <c r="AS50" s="90" t="s">
        <v>782</v>
      </c>
      <c r="AT50" s="90" t="s">
        <v>782</v>
      </c>
    </row>
    <row r="51" spans="1:46" ht="15.75" customHeight="1">
      <c r="B51" s="63">
        <v>40</v>
      </c>
      <c r="C51" s="64">
        <v>12</v>
      </c>
      <c r="D51" s="66">
        <v>0.1</v>
      </c>
      <c r="E51" s="66">
        <v>1.2</v>
      </c>
      <c r="G51" s="67">
        <v>40</v>
      </c>
      <c r="H51" s="64">
        <v>12</v>
      </c>
      <c r="I51" s="66">
        <v>7.0000000000000007E-2</v>
      </c>
      <c r="J51" s="66">
        <v>1.17</v>
      </c>
      <c r="K51" s="65">
        <v>1109</v>
      </c>
      <c r="L51" s="65">
        <v>550</v>
      </c>
      <c r="M51" s="65">
        <v>3695</v>
      </c>
      <c r="N51" s="66">
        <v>9.9600000000000009</v>
      </c>
      <c r="O51" s="65">
        <f t="shared" si="3"/>
        <v>757.24799999999971</v>
      </c>
      <c r="P51" s="66">
        <v>12.19</v>
      </c>
      <c r="R51" s="63">
        <v>40</v>
      </c>
      <c r="S51" s="64">
        <v>12</v>
      </c>
      <c r="T51" s="66">
        <v>11.44</v>
      </c>
      <c r="U51" s="65">
        <f t="shared" si="4"/>
        <v>233.85600000000025</v>
      </c>
      <c r="V51" s="66">
        <v>11.85</v>
      </c>
      <c r="W51" s="84"/>
      <c r="X51" s="85"/>
      <c r="Y51" s="84"/>
      <c r="Z51" s="67">
        <v>40</v>
      </c>
      <c r="AA51" s="64">
        <v>12</v>
      </c>
      <c r="AB51" s="66">
        <v>0.89</v>
      </c>
      <c r="AC51" s="66">
        <v>1.86</v>
      </c>
      <c r="AD51" s="65">
        <v>1109</v>
      </c>
      <c r="AE51" s="65">
        <v>550</v>
      </c>
      <c r="AF51" s="65">
        <v>3695</v>
      </c>
      <c r="AG51" s="66">
        <v>10.44</v>
      </c>
      <c r="AH51" s="65">
        <v>579.07200000000023</v>
      </c>
      <c r="AI51" s="66">
        <v>12.02</v>
      </c>
      <c r="AJ51" s="45"/>
      <c r="AK51" s="63">
        <v>40</v>
      </c>
      <c r="AL51" s="64">
        <v>12</v>
      </c>
      <c r="AM51" s="66">
        <v>12.03</v>
      </c>
      <c r="AN51" s="194" t="s">
        <v>782</v>
      </c>
      <c r="AO51" s="66">
        <v>12.03</v>
      </c>
      <c r="AP51" s="84"/>
      <c r="AQ51" s="63">
        <v>40</v>
      </c>
      <c r="AR51" s="64">
        <v>12</v>
      </c>
      <c r="AS51" s="90" t="s">
        <v>782</v>
      </c>
      <c r="AT51" s="90" t="s">
        <v>782</v>
      </c>
    </row>
    <row r="52" spans="1:46" ht="15.75" customHeight="1">
      <c r="B52" s="67">
        <v>41</v>
      </c>
      <c r="C52" s="64">
        <v>12</v>
      </c>
      <c r="D52" s="66">
        <v>0.11</v>
      </c>
      <c r="E52" s="66">
        <v>1.19</v>
      </c>
      <c r="G52" s="67">
        <v>41</v>
      </c>
      <c r="H52" s="64">
        <v>12</v>
      </c>
      <c r="I52" s="66">
        <v>0.08</v>
      </c>
      <c r="J52" s="66">
        <v>1.2</v>
      </c>
      <c r="K52" s="65">
        <v>1109</v>
      </c>
      <c r="L52" s="65">
        <v>550</v>
      </c>
      <c r="M52" s="65">
        <v>3695</v>
      </c>
      <c r="N52" s="66">
        <v>9.6199999999999992</v>
      </c>
      <c r="O52" s="65">
        <f t="shared" si="3"/>
        <v>883.45600000000036</v>
      </c>
      <c r="P52" s="66">
        <v>12.03</v>
      </c>
      <c r="R52" s="67">
        <v>41</v>
      </c>
      <c r="S52" s="64">
        <v>12</v>
      </c>
      <c r="T52" s="66">
        <v>11.59</v>
      </c>
      <c r="U52" s="65">
        <f t="shared" si="4"/>
        <v>171.21600000000007</v>
      </c>
      <c r="V52" s="66">
        <v>11.95</v>
      </c>
      <c r="W52" s="84"/>
      <c r="X52" s="85"/>
      <c r="Y52" s="84"/>
      <c r="Z52" s="67">
        <v>41</v>
      </c>
      <c r="AA52" s="64">
        <v>12</v>
      </c>
      <c r="AB52" s="66">
        <v>0.76</v>
      </c>
      <c r="AC52" s="66">
        <v>1.76</v>
      </c>
      <c r="AD52" s="65">
        <v>1109</v>
      </c>
      <c r="AE52" s="65">
        <v>550</v>
      </c>
      <c r="AF52" s="65">
        <v>3695</v>
      </c>
      <c r="AG52" s="66">
        <v>10.49</v>
      </c>
      <c r="AH52" s="65">
        <v>560.51200000000006</v>
      </c>
      <c r="AI52" s="66">
        <v>11.93</v>
      </c>
      <c r="AJ52" s="45"/>
      <c r="AK52" s="67">
        <v>41</v>
      </c>
      <c r="AL52" s="64">
        <v>12</v>
      </c>
      <c r="AM52" s="66">
        <v>11.83</v>
      </c>
      <c r="AN52" s="65">
        <f t="shared" si="5"/>
        <v>70.991999999999976</v>
      </c>
      <c r="AO52" s="66">
        <v>11.99</v>
      </c>
      <c r="AP52" s="84"/>
      <c r="AQ52" s="67">
        <v>41</v>
      </c>
      <c r="AR52" s="64">
        <v>12</v>
      </c>
      <c r="AS52" s="90" t="s">
        <v>782</v>
      </c>
      <c r="AT52" s="90" t="s">
        <v>782</v>
      </c>
    </row>
    <row r="53" spans="1:46" ht="15.75" customHeight="1">
      <c r="B53" s="67">
        <v>42</v>
      </c>
      <c r="C53" s="64">
        <v>12</v>
      </c>
      <c r="D53" s="66">
        <v>0.14000000000000001</v>
      </c>
      <c r="E53" s="66">
        <v>1.22</v>
      </c>
      <c r="G53" s="67">
        <v>42</v>
      </c>
      <c r="H53" s="64">
        <v>12</v>
      </c>
      <c r="I53" s="66">
        <v>0.09</v>
      </c>
      <c r="J53" s="66">
        <v>1.19</v>
      </c>
      <c r="K53" s="65">
        <v>1109</v>
      </c>
      <c r="L53" s="65">
        <v>550</v>
      </c>
      <c r="M53" s="65">
        <v>3695</v>
      </c>
      <c r="N53" s="66">
        <v>10.09</v>
      </c>
      <c r="O53" s="65">
        <f t="shared" si="3"/>
        <v>708.99200000000019</v>
      </c>
      <c r="P53" s="66">
        <v>11.94</v>
      </c>
      <c r="R53" s="67">
        <v>42</v>
      </c>
      <c r="S53" s="64">
        <v>12</v>
      </c>
      <c r="T53" s="66">
        <v>11.26</v>
      </c>
      <c r="U53" s="65">
        <f t="shared" si="4"/>
        <v>309.02400000000006</v>
      </c>
      <c r="V53" s="66">
        <v>11.97</v>
      </c>
      <c r="W53" s="84"/>
      <c r="X53" s="85"/>
      <c r="Y53" s="84"/>
      <c r="Z53" s="67">
        <v>42</v>
      </c>
      <c r="AA53" s="64">
        <v>12</v>
      </c>
      <c r="AB53" s="66">
        <v>0.97</v>
      </c>
      <c r="AC53" s="66">
        <v>1.99</v>
      </c>
      <c r="AD53" s="65">
        <v>1109</v>
      </c>
      <c r="AE53" s="65">
        <v>550</v>
      </c>
      <c r="AF53" s="65">
        <v>3695</v>
      </c>
      <c r="AG53" s="66">
        <v>10.61</v>
      </c>
      <c r="AH53" s="65">
        <v>515.96800000000019</v>
      </c>
      <c r="AI53" s="66">
        <v>11.98</v>
      </c>
      <c r="AJ53" s="45"/>
      <c r="AK53" s="67">
        <v>42</v>
      </c>
      <c r="AL53" s="64">
        <v>12</v>
      </c>
      <c r="AM53" s="66">
        <v>11.91</v>
      </c>
      <c r="AN53" s="65">
        <f t="shared" si="5"/>
        <v>37.583999999999939</v>
      </c>
      <c r="AO53" s="66">
        <v>12.02</v>
      </c>
      <c r="AP53" s="84"/>
      <c r="AQ53" s="67">
        <v>42</v>
      </c>
      <c r="AR53" s="64">
        <v>12</v>
      </c>
      <c r="AS53" s="90" t="s">
        <v>782</v>
      </c>
      <c r="AT53" s="90" t="s">
        <v>782</v>
      </c>
    </row>
    <row r="54" spans="1:46" ht="15.75" customHeight="1">
      <c r="B54" s="63">
        <v>43</v>
      </c>
      <c r="C54" s="64">
        <v>12</v>
      </c>
      <c r="D54" s="66">
        <v>0.13</v>
      </c>
      <c r="E54" s="66">
        <v>1.21</v>
      </c>
      <c r="G54" s="67">
        <v>43</v>
      </c>
      <c r="H54" s="64">
        <v>12</v>
      </c>
      <c r="I54" s="66">
        <v>0.06</v>
      </c>
      <c r="J54" s="66">
        <v>1.1399999999999999</v>
      </c>
      <c r="K54" s="65">
        <v>1109</v>
      </c>
      <c r="L54" s="65">
        <v>550</v>
      </c>
      <c r="M54" s="65">
        <v>3695</v>
      </c>
      <c r="N54" s="66">
        <v>10.029999999999999</v>
      </c>
      <c r="O54" s="65">
        <f t="shared" si="3"/>
        <v>731.26400000000024</v>
      </c>
      <c r="P54" s="66">
        <v>11.93</v>
      </c>
      <c r="R54" s="63">
        <v>43</v>
      </c>
      <c r="S54" s="64">
        <v>12</v>
      </c>
      <c r="T54" s="66">
        <v>11.29</v>
      </c>
      <c r="U54" s="65">
        <f t="shared" si="4"/>
        <v>296.49600000000038</v>
      </c>
      <c r="V54" s="66">
        <v>12.02</v>
      </c>
      <c r="W54" s="84"/>
      <c r="X54" s="85"/>
      <c r="Y54" s="84"/>
      <c r="Z54" s="67">
        <v>43</v>
      </c>
      <c r="AA54" s="64">
        <v>12</v>
      </c>
      <c r="AB54" s="66">
        <v>1.03</v>
      </c>
      <c r="AC54" s="66">
        <v>2.0499999999999998</v>
      </c>
      <c r="AD54" s="65">
        <v>1109</v>
      </c>
      <c r="AE54" s="65">
        <v>550</v>
      </c>
      <c r="AF54" s="65">
        <v>3695</v>
      </c>
      <c r="AG54" s="66">
        <v>10.46</v>
      </c>
      <c r="AH54" s="65">
        <v>571.64799999999968</v>
      </c>
      <c r="AI54" s="66">
        <v>11.98</v>
      </c>
      <c r="AJ54" s="45"/>
      <c r="AK54" s="63">
        <v>43</v>
      </c>
      <c r="AL54" s="64">
        <v>12</v>
      </c>
      <c r="AM54" s="66">
        <v>12.1</v>
      </c>
      <c r="AN54" s="194" t="s">
        <v>782</v>
      </c>
      <c r="AO54" s="66">
        <v>12.1</v>
      </c>
      <c r="AP54" s="84"/>
      <c r="AQ54" s="63">
        <v>43</v>
      </c>
      <c r="AR54" s="64">
        <v>12</v>
      </c>
      <c r="AS54" s="90" t="s">
        <v>782</v>
      </c>
      <c r="AT54" s="90" t="s">
        <v>782</v>
      </c>
    </row>
    <row r="55" spans="1:46" ht="15.75" customHeight="1">
      <c r="B55" s="67">
        <v>44</v>
      </c>
      <c r="C55" s="64">
        <v>12</v>
      </c>
      <c r="D55" s="66">
        <v>0.13</v>
      </c>
      <c r="E55" s="66">
        <v>1.22</v>
      </c>
      <c r="G55" s="67">
        <v>44</v>
      </c>
      <c r="H55" s="64">
        <v>12</v>
      </c>
      <c r="I55" s="66">
        <v>7.0000000000000007E-2</v>
      </c>
      <c r="J55" s="66">
        <v>1.19</v>
      </c>
      <c r="K55" s="65">
        <v>1109</v>
      </c>
      <c r="L55" s="65">
        <v>550</v>
      </c>
      <c r="M55" s="65">
        <v>3695</v>
      </c>
      <c r="N55" s="66">
        <v>10.08</v>
      </c>
      <c r="O55" s="65">
        <f t="shared" si="3"/>
        <v>712.70399999999995</v>
      </c>
      <c r="P55" s="66">
        <v>11.98</v>
      </c>
      <c r="R55" s="67">
        <v>44</v>
      </c>
      <c r="S55" s="64">
        <v>12</v>
      </c>
      <c r="T55" s="66">
        <v>11.4</v>
      </c>
      <c r="U55" s="65">
        <f t="shared" si="4"/>
        <v>250.55999999999989</v>
      </c>
      <c r="V55" s="66">
        <v>11.92</v>
      </c>
      <c r="W55" s="84"/>
      <c r="X55" s="85"/>
      <c r="Y55" s="84"/>
      <c r="Z55" s="67">
        <v>44</v>
      </c>
      <c r="AA55" s="64">
        <v>12</v>
      </c>
      <c r="AB55" s="66">
        <v>0.77</v>
      </c>
      <c r="AC55" s="66">
        <v>1.81</v>
      </c>
      <c r="AD55" s="65">
        <v>1109</v>
      </c>
      <c r="AE55" s="65">
        <v>550</v>
      </c>
      <c r="AF55" s="65">
        <v>3695</v>
      </c>
      <c r="AG55" s="66">
        <v>10.53</v>
      </c>
      <c r="AH55" s="65">
        <v>545.66400000000021</v>
      </c>
      <c r="AI55" s="66">
        <v>11.96</v>
      </c>
      <c r="AJ55" s="45"/>
      <c r="AK55" s="67">
        <v>44</v>
      </c>
      <c r="AL55" s="64">
        <v>12</v>
      </c>
      <c r="AM55" s="66">
        <v>11.89</v>
      </c>
      <c r="AN55" s="65">
        <f t="shared" si="5"/>
        <v>45.935999999999773</v>
      </c>
      <c r="AO55" s="66">
        <v>12.07</v>
      </c>
      <c r="AP55" s="84"/>
      <c r="AQ55" s="67">
        <v>44</v>
      </c>
      <c r="AR55" s="64">
        <v>12</v>
      </c>
      <c r="AS55" s="90" t="s">
        <v>782</v>
      </c>
      <c r="AT55" s="90" t="s">
        <v>782</v>
      </c>
    </row>
    <row r="56" spans="1:46" ht="15.75" customHeight="1">
      <c r="B56" s="67">
        <v>45</v>
      </c>
      <c r="C56" s="64">
        <v>12</v>
      </c>
      <c r="D56" s="66">
        <v>0.1</v>
      </c>
      <c r="E56" s="66">
        <v>1.21</v>
      </c>
      <c r="G56" s="67">
        <v>45</v>
      </c>
      <c r="H56" s="64">
        <v>12</v>
      </c>
      <c r="I56" s="66">
        <v>0.06</v>
      </c>
      <c r="J56" s="66">
        <v>1.17</v>
      </c>
      <c r="K56" s="65">
        <v>1109</v>
      </c>
      <c r="L56" s="65">
        <v>550</v>
      </c>
      <c r="M56" s="65">
        <v>3695</v>
      </c>
      <c r="N56" s="66">
        <v>10.15</v>
      </c>
      <c r="O56" s="65">
        <f t="shared" si="3"/>
        <v>686.7199999999998</v>
      </c>
      <c r="P56" s="66">
        <v>11.87</v>
      </c>
      <c r="R56" s="67">
        <v>45</v>
      </c>
      <c r="S56" s="64">
        <v>12</v>
      </c>
      <c r="T56" s="66">
        <v>11.44</v>
      </c>
      <c r="U56" s="65">
        <f t="shared" si="4"/>
        <v>233.85600000000025</v>
      </c>
      <c r="V56" s="66">
        <v>11.8</v>
      </c>
      <c r="W56" s="84"/>
      <c r="X56" s="85"/>
      <c r="Y56" s="84"/>
      <c r="Z56" s="67">
        <v>45</v>
      </c>
      <c r="AA56" s="64">
        <v>12</v>
      </c>
      <c r="AB56" s="66">
        <v>0.71</v>
      </c>
      <c r="AC56" s="66">
        <v>1.74</v>
      </c>
      <c r="AD56" s="65">
        <v>1109</v>
      </c>
      <c r="AE56" s="65">
        <v>550</v>
      </c>
      <c r="AF56" s="65">
        <v>3695</v>
      </c>
      <c r="AG56" s="66">
        <v>10.33</v>
      </c>
      <c r="AH56" s="65">
        <v>619.904</v>
      </c>
      <c r="AI56" s="66">
        <v>11.98</v>
      </c>
      <c r="AJ56" s="45"/>
      <c r="AK56" s="67">
        <v>45</v>
      </c>
      <c r="AL56" s="64">
        <v>12</v>
      </c>
      <c r="AM56" s="66">
        <v>12</v>
      </c>
      <c r="AN56" s="194" t="s">
        <v>782</v>
      </c>
      <c r="AO56" s="66">
        <v>12</v>
      </c>
      <c r="AP56" s="84"/>
      <c r="AQ56" s="67">
        <v>45</v>
      </c>
      <c r="AR56" s="64">
        <v>12</v>
      </c>
      <c r="AS56" s="90" t="s">
        <v>782</v>
      </c>
      <c r="AT56" s="90" t="s">
        <v>782</v>
      </c>
    </row>
    <row r="57" spans="1:46" ht="15.75" customHeight="1">
      <c r="A57" s="47"/>
      <c r="B57" s="63">
        <v>46</v>
      </c>
      <c r="C57" s="64">
        <v>12</v>
      </c>
      <c r="D57" s="66">
        <v>0.14000000000000001</v>
      </c>
      <c r="E57" s="66">
        <v>1.21</v>
      </c>
      <c r="G57" s="67">
        <v>46</v>
      </c>
      <c r="H57" s="64">
        <v>12</v>
      </c>
      <c r="I57" s="66">
        <v>0.08</v>
      </c>
      <c r="J57" s="66">
        <v>1.1200000000000001</v>
      </c>
      <c r="K57" s="65">
        <v>1109</v>
      </c>
      <c r="L57" s="65">
        <v>550</v>
      </c>
      <c r="M57" s="65">
        <v>3695</v>
      </c>
      <c r="N57" s="66">
        <v>9.61</v>
      </c>
      <c r="O57" s="65">
        <f t="shared" si="3"/>
        <v>887.16800000000023</v>
      </c>
      <c r="P57" s="66">
        <v>11.96</v>
      </c>
      <c r="R57" s="63">
        <v>46</v>
      </c>
      <c r="S57" s="64">
        <v>12</v>
      </c>
      <c r="T57" s="66">
        <v>11.51</v>
      </c>
      <c r="U57" s="65">
        <f t="shared" si="4"/>
        <v>204.62400000000011</v>
      </c>
      <c r="V57" s="66">
        <v>12</v>
      </c>
      <c r="W57" s="84"/>
      <c r="X57" s="85"/>
      <c r="Y57" s="84"/>
      <c r="Z57" s="67">
        <v>46</v>
      </c>
      <c r="AA57" s="64">
        <v>12</v>
      </c>
      <c r="AB57" s="66">
        <v>0.88</v>
      </c>
      <c r="AC57" s="66">
        <v>1.89</v>
      </c>
      <c r="AD57" s="65">
        <v>1109</v>
      </c>
      <c r="AE57" s="65">
        <v>550</v>
      </c>
      <c r="AF57" s="65">
        <v>3695</v>
      </c>
      <c r="AG57" s="66">
        <v>10.51</v>
      </c>
      <c r="AH57" s="65">
        <v>553.08800000000008</v>
      </c>
      <c r="AI57" s="66">
        <v>11.95</v>
      </c>
      <c r="AJ57" s="45"/>
      <c r="AK57" s="63">
        <v>46</v>
      </c>
      <c r="AL57" s="64">
        <v>12</v>
      </c>
      <c r="AM57" s="66">
        <v>11.94</v>
      </c>
      <c r="AN57" s="65">
        <f t="shared" si="5"/>
        <v>25.056000000000203</v>
      </c>
      <c r="AO57" s="66">
        <v>12.01</v>
      </c>
      <c r="AQ57" s="63">
        <v>46</v>
      </c>
      <c r="AR57" s="64">
        <v>12</v>
      </c>
      <c r="AS57" s="90" t="s">
        <v>782</v>
      </c>
      <c r="AT57" s="90" t="s">
        <v>782</v>
      </c>
    </row>
    <row r="58" spans="1:46" ht="15.75" customHeight="1">
      <c r="A58" s="47"/>
      <c r="B58" s="67">
        <v>47</v>
      </c>
      <c r="C58" s="64">
        <v>12</v>
      </c>
      <c r="D58" s="66">
        <v>0.13</v>
      </c>
      <c r="E58" s="66">
        <v>1.21</v>
      </c>
      <c r="G58" s="67">
        <v>47</v>
      </c>
      <c r="H58" s="64">
        <v>12</v>
      </c>
      <c r="I58" s="66">
        <v>7.0000000000000007E-2</v>
      </c>
      <c r="J58" s="66">
        <v>1.1599999999999999</v>
      </c>
      <c r="K58" s="65">
        <v>1109</v>
      </c>
      <c r="L58" s="65">
        <v>550</v>
      </c>
      <c r="M58" s="65">
        <v>3695</v>
      </c>
      <c r="N58" s="66">
        <v>9.9499999999999993</v>
      </c>
      <c r="O58" s="65">
        <f t="shared" si="3"/>
        <v>760.96000000000038</v>
      </c>
      <c r="P58" s="66">
        <v>11.95</v>
      </c>
      <c r="R58" s="67">
        <v>47</v>
      </c>
      <c r="S58" s="64">
        <v>12</v>
      </c>
      <c r="T58" s="66">
        <v>11.21</v>
      </c>
      <c r="U58" s="65">
        <f t="shared" si="4"/>
        <v>329.90399999999971</v>
      </c>
      <c r="V58" s="66">
        <v>12.05</v>
      </c>
      <c r="W58" s="84"/>
      <c r="X58" s="85"/>
      <c r="Y58" s="84"/>
      <c r="Z58" s="67">
        <v>47</v>
      </c>
      <c r="AA58" s="64">
        <v>12</v>
      </c>
      <c r="AB58" s="66">
        <v>0.8</v>
      </c>
      <c r="AC58" s="66">
        <v>1.83</v>
      </c>
      <c r="AD58" s="65">
        <v>1109</v>
      </c>
      <c r="AE58" s="65">
        <v>550</v>
      </c>
      <c r="AF58" s="65">
        <v>3695</v>
      </c>
      <c r="AG58" s="66">
        <v>10.48</v>
      </c>
      <c r="AH58" s="65">
        <v>564.22399999999993</v>
      </c>
      <c r="AI58" s="66">
        <v>11.99</v>
      </c>
      <c r="AJ58" s="45"/>
      <c r="AK58" s="67">
        <v>47</v>
      </c>
      <c r="AL58" s="64">
        <v>12</v>
      </c>
      <c r="AM58" s="66">
        <v>11.96</v>
      </c>
      <c r="AN58" s="65">
        <f t="shared" si="5"/>
        <v>16.703999999999645</v>
      </c>
      <c r="AO58" s="66">
        <v>12.01</v>
      </c>
      <c r="AQ58" s="67">
        <v>47</v>
      </c>
      <c r="AR58" s="64">
        <v>12</v>
      </c>
      <c r="AS58" s="90" t="s">
        <v>782</v>
      </c>
      <c r="AT58" s="90" t="s">
        <v>782</v>
      </c>
    </row>
    <row r="59" spans="1:46" ht="15.75" customHeight="1">
      <c r="A59" s="47"/>
      <c r="B59" s="67">
        <v>48</v>
      </c>
      <c r="C59" s="64">
        <v>12</v>
      </c>
      <c r="D59" s="66">
        <v>0.13</v>
      </c>
      <c r="E59" s="66">
        <v>1.22</v>
      </c>
      <c r="G59" s="67">
        <v>48</v>
      </c>
      <c r="H59" s="64">
        <v>12</v>
      </c>
      <c r="I59" s="66">
        <v>7.0000000000000007E-2</v>
      </c>
      <c r="J59" s="66">
        <v>1.2</v>
      </c>
      <c r="K59" s="65">
        <v>1109</v>
      </c>
      <c r="L59" s="65">
        <v>550</v>
      </c>
      <c r="M59" s="65">
        <v>3695</v>
      </c>
      <c r="N59" s="66">
        <v>10.029999999999999</v>
      </c>
      <c r="O59" s="65">
        <f t="shared" si="3"/>
        <v>731.26400000000024</v>
      </c>
      <c r="P59" s="66">
        <v>11.94</v>
      </c>
      <c r="R59" s="67">
        <v>48</v>
      </c>
      <c r="S59" s="64">
        <v>12</v>
      </c>
      <c r="T59" s="66">
        <v>11.3</v>
      </c>
      <c r="U59" s="65">
        <f t="shared" si="4"/>
        <v>292.31999999999971</v>
      </c>
      <c r="V59" s="66">
        <v>12.08</v>
      </c>
      <c r="W59" s="84"/>
      <c r="X59" s="85"/>
      <c r="Y59" s="84"/>
      <c r="Z59" s="67">
        <v>48</v>
      </c>
      <c r="AA59" s="64">
        <v>12</v>
      </c>
      <c r="AB59" s="66">
        <v>0.98</v>
      </c>
      <c r="AC59" s="66">
        <v>1.99</v>
      </c>
      <c r="AD59" s="65">
        <v>1109</v>
      </c>
      <c r="AE59" s="65">
        <v>550</v>
      </c>
      <c r="AF59" s="65">
        <v>3695</v>
      </c>
      <c r="AG59" s="66">
        <v>10.5</v>
      </c>
      <c r="AH59" s="65">
        <v>556.80000000000007</v>
      </c>
      <c r="AI59" s="66">
        <v>11.92</v>
      </c>
      <c r="AJ59" s="45"/>
      <c r="AK59" s="67">
        <v>48</v>
      </c>
      <c r="AL59" s="64">
        <v>12</v>
      </c>
      <c r="AM59" s="66">
        <v>12.05</v>
      </c>
      <c r="AN59" s="194" t="s">
        <v>782</v>
      </c>
      <c r="AO59" s="66">
        <v>12.05</v>
      </c>
      <c r="AQ59" s="67">
        <v>48</v>
      </c>
      <c r="AR59" s="64">
        <v>12</v>
      </c>
      <c r="AS59" s="90" t="s">
        <v>782</v>
      </c>
      <c r="AT59" s="90" t="s">
        <v>782</v>
      </c>
    </row>
    <row r="60" spans="1:46" ht="15.75" customHeight="1">
      <c r="A60" s="47"/>
      <c r="B60" s="63">
        <v>49</v>
      </c>
      <c r="C60" s="64">
        <v>12</v>
      </c>
      <c r="D60" s="66">
        <v>0.14000000000000001</v>
      </c>
      <c r="E60" s="66">
        <v>1.22</v>
      </c>
      <c r="G60" s="67">
        <v>49</v>
      </c>
      <c r="H60" s="64">
        <v>12</v>
      </c>
      <c r="I60" s="66">
        <v>0.06</v>
      </c>
      <c r="J60" s="66">
        <v>1.1599999999999999</v>
      </c>
      <c r="K60" s="65">
        <v>1109</v>
      </c>
      <c r="L60" s="65">
        <v>550</v>
      </c>
      <c r="M60" s="65">
        <v>3695</v>
      </c>
      <c r="N60" s="66">
        <v>9.34</v>
      </c>
      <c r="O60" s="65">
        <f t="shared" si="3"/>
        <v>987.39200000000005</v>
      </c>
      <c r="P60" s="66">
        <v>12.23</v>
      </c>
      <c r="R60" s="63">
        <v>49</v>
      </c>
      <c r="S60" s="64">
        <v>12</v>
      </c>
      <c r="T60" s="66">
        <v>11.73</v>
      </c>
      <c r="U60" s="65">
        <f t="shared" si="4"/>
        <v>112.75199999999982</v>
      </c>
      <c r="V60" s="66">
        <v>12.03</v>
      </c>
      <c r="W60" s="84"/>
      <c r="X60" s="85"/>
      <c r="Y60" s="84"/>
      <c r="Z60" s="67">
        <v>49</v>
      </c>
      <c r="AA60" s="64">
        <v>12</v>
      </c>
      <c r="AB60" s="66">
        <v>0.86</v>
      </c>
      <c r="AC60" s="66">
        <v>1.88</v>
      </c>
      <c r="AD60" s="65">
        <v>1109</v>
      </c>
      <c r="AE60" s="65">
        <v>550</v>
      </c>
      <c r="AF60" s="65">
        <v>3695</v>
      </c>
      <c r="AG60" s="66">
        <v>10.48</v>
      </c>
      <c r="AH60" s="65">
        <v>564.22399999999993</v>
      </c>
      <c r="AI60" s="66">
        <v>11.98</v>
      </c>
      <c r="AJ60" s="45"/>
      <c r="AK60" s="63">
        <v>49</v>
      </c>
      <c r="AL60" s="64">
        <v>12</v>
      </c>
      <c r="AM60" s="66">
        <v>11.93</v>
      </c>
      <c r="AN60" s="65">
        <f t="shared" si="5"/>
        <v>29.23200000000012</v>
      </c>
      <c r="AO60" s="66">
        <v>12.1</v>
      </c>
      <c r="AQ60" s="63">
        <v>49</v>
      </c>
      <c r="AR60" s="64">
        <v>12</v>
      </c>
      <c r="AS60" s="90" t="s">
        <v>782</v>
      </c>
      <c r="AT60" s="90" t="s">
        <v>782</v>
      </c>
    </row>
    <row r="61" spans="1:46" ht="15.75" customHeight="1">
      <c r="B61" s="67">
        <v>50</v>
      </c>
      <c r="C61" s="64">
        <v>12</v>
      </c>
      <c r="D61" s="66">
        <v>0.1</v>
      </c>
      <c r="E61" s="66">
        <v>1.2</v>
      </c>
      <c r="G61" s="67">
        <v>50</v>
      </c>
      <c r="H61" s="64">
        <v>12</v>
      </c>
      <c r="I61" s="66">
        <v>0.06</v>
      </c>
      <c r="J61" s="66">
        <v>1.17</v>
      </c>
      <c r="K61" s="65">
        <v>1109</v>
      </c>
      <c r="L61" s="65">
        <v>550</v>
      </c>
      <c r="M61" s="65">
        <v>3695</v>
      </c>
      <c r="N61" s="66">
        <v>9.52</v>
      </c>
      <c r="O61" s="65">
        <f t="shared" si="3"/>
        <v>920.57600000000025</v>
      </c>
      <c r="P61" s="66">
        <v>12.2</v>
      </c>
      <c r="R61" s="67">
        <v>50</v>
      </c>
      <c r="S61" s="64">
        <v>12</v>
      </c>
      <c r="T61" s="66">
        <v>11.71</v>
      </c>
      <c r="U61" s="65">
        <f t="shared" si="4"/>
        <v>121.10399999999964</v>
      </c>
      <c r="V61" s="66">
        <v>11.9</v>
      </c>
      <c r="W61" s="84"/>
      <c r="X61" s="85"/>
      <c r="Y61" s="84"/>
      <c r="Z61" s="67">
        <v>50</v>
      </c>
      <c r="AA61" s="64">
        <v>12</v>
      </c>
      <c r="AB61" s="66">
        <v>0.89</v>
      </c>
      <c r="AC61" s="66">
        <v>1.91</v>
      </c>
      <c r="AD61" s="65">
        <v>1109</v>
      </c>
      <c r="AE61" s="65">
        <v>550</v>
      </c>
      <c r="AF61" s="65">
        <v>3695</v>
      </c>
      <c r="AG61" s="66">
        <v>10.48</v>
      </c>
      <c r="AH61" s="65">
        <v>564.22399999999993</v>
      </c>
      <c r="AI61" s="66">
        <v>11.96</v>
      </c>
      <c r="AJ61" s="45"/>
      <c r="AK61" s="67">
        <v>50</v>
      </c>
      <c r="AL61" s="64">
        <v>12</v>
      </c>
      <c r="AM61" s="66">
        <v>12</v>
      </c>
      <c r="AN61" s="194" t="s">
        <v>782</v>
      </c>
      <c r="AO61" s="66">
        <v>12</v>
      </c>
      <c r="AQ61" s="67">
        <v>50</v>
      </c>
      <c r="AR61" s="64">
        <v>12</v>
      </c>
      <c r="AS61" s="90" t="s">
        <v>782</v>
      </c>
      <c r="AT61" s="90" t="s">
        <v>782</v>
      </c>
    </row>
    <row r="62" spans="1:46" ht="15.75" customHeight="1">
      <c r="B62" s="67">
        <v>52</v>
      </c>
      <c r="C62" s="64">
        <v>12</v>
      </c>
      <c r="D62" s="66">
        <v>0.13</v>
      </c>
      <c r="E62" s="66">
        <v>1.19</v>
      </c>
      <c r="G62" s="67">
        <v>52</v>
      </c>
      <c r="H62" s="64">
        <v>12</v>
      </c>
      <c r="I62" s="66">
        <v>0.09</v>
      </c>
      <c r="J62" s="66">
        <v>1.1499999999999999</v>
      </c>
      <c r="K62" s="65">
        <v>1109</v>
      </c>
      <c r="L62" s="65">
        <v>550</v>
      </c>
      <c r="M62" s="65">
        <v>3695</v>
      </c>
      <c r="N62" s="66">
        <v>10.19</v>
      </c>
      <c r="O62" s="65">
        <f t="shared" si="3"/>
        <v>671.8720000000003</v>
      </c>
      <c r="P62" s="66">
        <v>11.73</v>
      </c>
      <c r="R62" s="67">
        <v>52</v>
      </c>
      <c r="S62" s="64">
        <v>12</v>
      </c>
      <c r="T62" s="66">
        <v>11.06</v>
      </c>
      <c r="U62" s="65">
        <f t="shared" si="4"/>
        <v>392.54399999999981</v>
      </c>
      <c r="V62" s="66">
        <v>11.99</v>
      </c>
      <c r="W62" s="84"/>
      <c r="X62" s="85"/>
      <c r="Y62" s="84"/>
      <c r="Z62" s="67">
        <v>52</v>
      </c>
      <c r="AA62" s="64">
        <v>12</v>
      </c>
      <c r="AB62" s="66">
        <v>1.02</v>
      </c>
      <c r="AC62" s="66">
        <v>1.85</v>
      </c>
      <c r="AD62" s="65">
        <v>1109</v>
      </c>
      <c r="AE62" s="65">
        <v>550</v>
      </c>
      <c r="AF62" s="65">
        <v>3695</v>
      </c>
      <c r="AG62" s="66">
        <v>10.49</v>
      </c>
      <c r="AH62" s="65">
        <v>560.51200000000006</v>
      </c>
      <c r="AI62" s="66">
        <v>12.03</v>
      </c>
      <c r="AJ62" s="45"/>
      <c r="AK62" s="67">
        <v>52</v>
      </c>
      <c r="AL62" s="64">
        <v>12</v>
      </c>
      <c r="AM62" s="66">
        <v>11.91</v>
      </c>
      <c r="AN62" s="65">
        <f t="shared" si="5"/>
        <v>37.583999999999939</v>
      </c>
      <c r="AO62" s="66">
        <v>12.07</v>
      </c>
      <c r="AP62" s="84"/>
      <c r="AQ62" s="67">
        <v>52</v>
      </c>
      <c r="AR62" s="64">
        <v>12</v>
      </c>
      <c r="AS62" s="90" t="s">
        <v>782</v>
      </c>
      <c r="AT62" s="90" t="s">
        <v>782</v>
      </c>
    </row>
    <row r="63" spans="1:46" ht="15.75" customHeight="1">
      <c r="B63" s="63">
        <v>53</v>
      </c>
      <c r="C63" s="64">
        <v>12</v>
      </c>
      <c r="D63" s="66">
        <v>0.13</v>
      </c>
      <c r="E63" s="66">
        <v>1.21</v>
      </c>
      <c r="G63" s="67">
        <v>53</v>
      </c>
      <c r="H63" s="64">
        <v>12</v>
      </c>
      <c r="I63" s="66">
        <v>7.0000000000000007E-2</v>
      </c>
      <c r="J63" s="66">
        <v>1.18</v>
      </c>
      <c r="K63" s="65">
        <v>1109</v>
      </c>
      <c r="L63" s="65">
        <v>550</v>
      </c>
      <c r="M63" s="65">
        <v>3695</v>
      </c>
      <c r="N63" s="66">
        <v>9.9600000000000009</v>
      </c>
      <c r="O63" s="65">
        <f t="shared" si="3"/>
        <v>757.24799999999971</v>
      </c>
      <c r="P63" s="66">
        <v>12.03</v>
      </c>
      <c r="R63" s="63">
        <v>53</v>
      </c>
      <c r="S63" s="64">
        <v>12</v>
      </c>
      <c r="T63" s="66">
        <v>11.48</v>
      </c>
      <c r="U63" s="65">
        <f t="shared" si="4"/>
        <v>217.15199999999979</v>
      </c>
      <c r="V63" s="66">
        <v>11.94</v>
      </c>
      <c r="W63" s="84"/>
      <c r="X63" s="85"/>
      <c r="Y63" s="84"/>
      <c r="Z63" s="67">
        <v>53</v>
      </c>
      <c r="AA63" s="64">
        <v>12</v>
      </c>
      <c r="AB63" s="66">
        <v>1.03</v>
      </c>
      <c r="AC63" s="66">
        <v>2.04</v>
      </c>
      <c r="AD63" s="65">
        <v>1109</v>
      </c>
      <c r="AE63" s="65">
        <v>550</v>
      </c>
      <c r="AF63" s="65">
        <v>3695</v>
      </c>
      <c r="AG63" s="66">
        <v>10.64</v>
      </c>
      <c r="AH63" s="65">
        <v>504.83199999999982</v>
      </c>
      <c r="AI63" s="66">
        <v>11.99</v>
      </c>
      <c r="AJ63" s="45"/>
      <c r="AK63" s="63">
        <v>53</v>
      </c>
      <c r="AL63" s="64">
        <v>12</v>
      </c>
      <c r="AM63" s="66">
        <v>12</v>
      </c>
      <c r="AN63" s="194" t="s">
        <v>782</v>
      </c>
      <c r="AO63" s="66">
        <v>12</v>
      </c>
      <c r="AP63" s="84"/>
      <c r="AQ63" s="63">
        <v>53</v>
      </c>
      <c r="AR63" s="64">
        <v>12</v>
      </c>
      <c r="AS63" s="90" t="s">
        <v>782</v>
      </c>
      <c r="AT63" s="90" t="s">
        <v>782</v>
      </c>
    </row>
    <row r="64" spans="1:46" ht="15.75" customHeight="1">
      <c r="B64" s="67">
        <v>54</v>
      </c>
      <c r="C64" s="64">
        <v>12</v>
      </c>
      <c r="D64" s="66">
        <v>0.14000000000000001</v>
      </c>
      <c r="E64" s="66">
        <v>1.22</v>
      </c>
      <c r="G64" s="67">
        <v>54</v>
      </c>
      <c r="H64" s="64">
        <v>12</v>
      </c>
      <c r="I64" s="66">
        <v>0.08</v>
      </c>
      <c r="J64" s="66">
        <v>1.17</v>
      </c>
      <c r="K64" s="65">
        <v>1109</v>
      </c>
      <c r="L64" s="65">
        <v>550</v>
      </c>
      <c r="M64" s="65">
        <v>3695</v>
      </c>
      <c r="N64" s="66">
        <v>9.86</v>
      </c>
      <c r="O64" s="65">
        <f t="shared" si="3"/>
        <v>794.36800000000028</v>
      </c>
      <c r="P64" s="66">
        <v>12.32</v>
      </c>
      <c r="R64" s="67">
        <v>54</v>
      </c>
      <c r="S64" s="64">
        <v>12</v>
      </c>
      <c r="T64" s="66">
        <v>11.71</v>
      </c>
      <c r="U64" s="65">
        <f t="shared" si="4"/>
        <v>121.10399999999964</v>
      </c>
      <c r="V64" s="66">
        <v>11.84</v>
      </c>
      <c r="W64" s="84"/>
      <c r="X64" s="85"/>
      <c r="Y64" s="84"/>
      <c r="Z64" s="67">
        <v>54</v>
      </c>
      <c r="AA64" s="64">
        <v>12</v>
      </c>
      <c r="AB64" s="66">
        <v>0.9</v>
      </c>
      <c r="AC64" s="66">
        <v>1.94</v>
      </c>
      <c r="AD64" s="65">
        <v>1109</v>
      </c>
      <c r="AE64" s="65">
        <v>550</v>
      </c>
      <c r="AF64" s="65">
        <v>3695</v>
      </c>
      <c r="AG64" s="66">
        <v>10.42</v>
      </c>
      <c r="AH64" s="65">
        <v>586.49600000000009</v>
      </c>
      <c r="AI64" s="66">
        <v>11.94</v>
      </c>
      <c r="AJ64" s="45"/>
      <c r="AK64" s="67">
        <v>54</v>
      </c>
      <c r="AL64" s="64">
        <v>12</v>
      </c>
      <c r="AM64" s="66">
        <v>12.08</v>
      </c>
      <c r="AN64" s="194" t="s">
        <v>782</v>
      </c>
      <c r="AO64" s="66">
        <v>12.08</v>
      </c>
      <c r="AP64" s="84"/>
      <c r="AQ64" s="67">
        <v>54</v>
      </c>
      <c r="AR64" s="64">
        <v>12</v>
      </c>
      <c r="AS64" s="90" t="s">
        <v>782</v>
      </c>
      <c r="AT64" s="90" t="s">
        <v>782</v>
      </c>
    </row>
    <row r="65" spans="1:46" ht="15.75" customHeight="1">
      <c r="B65" s="63">
        <v>55</v>
      </c>
      <c r="C65" s="64">
        <v>12</v>
      </c>
      <c r="D65" s="66">
        <v>0.14000000000000001</v>
      </c>
      <c r="E65" s="66">
        <v>1.23</v>
      </c>
      <c r="G65" s="67">
        <v>55</v>
      </c>
      <c r="H65" s="64">
        <v>12</v>
      </c>
      <c r="I65" s="66">
        <v>7.0000000000000007E-2</v>
      </c>
      <c r="J65" s="66">
        <v>1.1599999999999999</v>
      </c>
      <c r="K65" s="65">
        <v>1109</v>
      </c>
      <c r="L65" s="65">
        <v>550</v>
      </c>
      <c r="M65" s="65">
        <v>3695</v>
      </c>
      <c r="N65" s="66">
        <v>9.99</v>
      </c>
      <c r="O65" s="65">
        <f t="shared" si="3"/>
        <v>746.11200000000008</v>
      </c>
      <c r="P65" s="66">
        <v>11.88</v>
      </c>
      <c r="R65" s="63">
        <v>55</v>
      </c>
      <c r="S65" s="64">
        <v>12</v>
      </c>
      <c r="T65" s="66">
        <v>11.45</v>
      </c>
      <c r="U65" s="65">
        <f t="shared" si="4"/>
        <v>229.68000000000032</v>
      </c>
      <c r="V65" s="66">
        <v>11.78</v>
      </c>
      <c r="W65" s="84"/>
      <c r="X65" s="85"/>
      <c r="Y65" s="84"/>
      <c r="Z65" s="67">
        <v>55</v>
      </c>
      <c r="AA65" s="64">
        <v>12</v>
      </c>
      <c r="AB65" s="66">
        <v>0.71</v>
      </c>
      <c r="AC65" s="66">
        <v>1.74</v>
      </c>
      <c r="AD65" s="65">
        <v>1109</v>
      </c>
      <c r="AE65" s="65">
        <v>550</v>
      </c>
      <c r="AF65" s="65">
        <v>3695</v>
      </c>
      <c r="AG65" s="66">
        <v>10.45</v>
      </c>
      <c r="AH65" s="65">
        <v>575.36000000000024</v>
      </c>
      <c r="AI65" s="66">
        <v>11.92</v>
      </c>
      <c r="AJ65" s="45"/>
      <c r="AK65" s="63">
        <v>55</v>
      </c>
      <c r="AL65" s="64">
        <v>12</v>
      </c>
      <c r="AM65" s="66">
        <v>11.75</v>
      </c>
      <c r="AN65" s="65">
        <f t="shared" si="5"/>
        <v>104.4</v>
      </c>
      <c r="AO65" s="66">
        <v>12.05</v>
      </c>
      <c r="AP65" s="84"/>
      <c r="AQ65" s="63">
        <v>55</v>
      </c>
      <c r="AR65" s="64">
        <v>12</v>
      </c>
      <c r="AS65" s="90" t="s">
        <v>782</v>
      </c>
      <c r="AT65" s="90" t="s">
        <v>782</v>
      </c>
    </row>
    <row r="66" spans="1:46" ht="15.75" customHeight="1">
      <c r="B66" s="67">
        <v>56</v>
      </c>
      <c r="C66" s="68">
        <v>1.1000000000000001</v>
      </c>
      <c r="D66" s="66">
        <v>0.09</v>
      </c>
      <c r="E66" s="66">
        <v>1.1100000000000001</v>
      </c>
      <c r="G66" s="91">
        <v>56</v>
      </c>
      <c r="H66" s="68">
        <v>1.1000000000000001</v>
      </c>
      <c r="I66" s="66">
        <v>0.08</v>
      </c>
      <c r="J66" s="66">
        <v>1.17</v>
      </c>
      <c r="K66" s="90" t="s">
        <v>782</v>
      </c>
      <c r="L66" s="90" t="s">
        <v>782</v>
      </c>
      <c r="M66" s="90" t="s">
        <v>782</v>
      </c>
      <c r="N66" s="90" t="s">
        <v>782</v>
      </c>
      <c r="O66" s="90" t="s">
        <v>782</v>
      </c>
      <c r="P66" s="90" t="s">
        <v>782</v>
      </c>
      <c r="R66" s="91">
        <v>56</v>
      </c>
      <c r="S66" s="68">
        <v>1.1000000000000001</v>
      </c>
      <c r="T66" s="66">
        <v>0.93300000000000005</v>
      </c>
      <c r="U66" s="90" t="s">
        <v>782</v>
      </c>
      <c r="V66" s="90" t="s">
        <v>782</v>
      </c>
      <c r="W66" s="84"/>
      <c r="X66" s="85"/>
      <c r="Y66" s="84"/>
      <c r="Z66" s="91">
        <v>56</v>
      </c>
      <c r="AA66" s="68">
        <v>1.1000000000000001</v>
      </c>
      <c r="AB66" s="66">
        <v>0.04</v>
      </c>
      <c r="AC66" s="66">
        <v>0.95199999999999996</v>
      </c>
      <c r="AD66" s="90" t="s">
        <v>782</v>
      </c>
      <c r="AE66" s="90" t="s">
        <v>782</v>
      </c>
      <c r="AF66" s="90" t="s">
        <v>782</v>
      </c>
      <c r="AG66" s="90" t="s">
        <v>782</v>
      </c>
      <c r="AH66" s="90" t="s">
        <v>782</v>
      </c>
      <c r="AI66" s="90" t="s">
        <v>782</v>
      </c>
      <c r="AJ66" s="45"/>
      <c r="AK66" s="91">
        <v>56</v>
      </c>
      <c r="AL66" s="68">
        <v>1.1000000000000001</v>
      </c>
      <c r="AM66" s="90" t="s">
        <v>782</v>
      </c>
      <c r="AN66" s="90" t="s">
        <v>782</v>
      </c>
      <c r="AO66" s="90" t="s">
        <v>782</v>
      </c>
      <c r="AP66" s="84"/>
      <c r="AQ66" s="91">
        <v>56</v>
      </c>
      <c r="AR66" s="68">
        <v>1.1000000000000001</v>
      </c>
      <c r="AS66" s="66">
        <v>0.03</v>
      </c>
      <c r="AT66" s="192">
        <v>1.1299999999999999</v>
      </c>
    </row>
    <row r="67" spans="1:46" ht="15.75" customHeight="1">
      <c r="B67" s="63">
        <v>57</v>
      </c>
      <c r="C67" s="68">
        <v>1.1000000000000001</v>
      </c>
      <c r="D67" s="66">
        <v>0.1</v>
      </c>
      <c r="E67" s="66">
        <v>1.21</v>
      </c>
      <c r="G67" s="91">
        <v>57</v>
      </c>
      <c r="H67" s="68">
        <v>1.1000000000000001</v>
      </c>
      <c r="I67" s="66">
        <v>0.1</v>
      </c>
      <c r="J67" s="66">
        <v>1.21</v>
      </c>
      <c r="K67" s="90" t="s">
        <v>782</v>
      </c>
      <c r="L67" s="90" t="s">
        <v>782</v>
      </c>
      <c r="M67" s="90" t="s">
        <v>782</v>
      </c>
      <c r="N67" s="90" t="s">
        <v>782</v>
      </c>
      <c r="O67" s="90" t="s">
        <v>782</v>
      </c>
      <c r="P67" s="90" t="s">
        <v>782</v>
      </c>
      <c r="R67" s="92">
        <v>57</v>
      </c>
      <c r="S67" s="68">
        <v>1.1000000000000001</v>
      </c>
      <c r="T67" s="66">
        <v>0.98299999999999998</v>
      </c>
      <c r="U67" s="90" t="s">
        <v>782</v>
      </c>
      <c r="V67" s="90" t="s">
        <v>782</v>
      </c>
      <c r="W67" s="84"/>
      <c r="X67" s="85"/>
      <c r="Y67" s="84"/>
      <c r="Z67" s="91">
        <v>57</v>
      </c>
      <c r="AA67" s="68">
        <v>1.1000000000000001</v>
      </c>
      <c r="AB67" s="66">
        <v>0.04</v>
      </c>
      <c r="AC67" s="66">
        <v>1.1299999999999999</v>
      </c>
      <c r="AD67" s="90" t="s">
        <v>782</v>
      </c>
      <c r="AE67" s="90" t="s">
        <v>782</v>
      </c>
      <c r="AF67" s="90" t="s">
        <v>782</v>
      </c>
      <c r="AG67" s="90" t="s">
        <v>782</v>
      </c>
      <c r="AH67" s="90" t="s">
        <v>782</v>
      </c>
      <c r="AI67" s="90" t="s">
        <v>782</v>
      </c>
      <c r="AJ67" s="45"/>
      <c r="AK67" s="92">
        <v>57</v>
      </c>
      <c r="AL67" s="68">
        <v>1.1000000000000001</v>
      </c>
      <c r="AM67" s="90" t="s">
        <v>782</v>
      </c>
      <c r="AN67" s="90" t="s">
        <v>782</v>
      </c>
      <c r="AO67" s="90" t="s">
        <v>782</v>
      </c>
      <c r="AP67" s="84"/>
      <c r="AQ67" s="92">
        <v>57</v>
      </c>
      <c r="AR67" s="68">
        <v>1.1000000000000001</v>
      </c>
      <c r="AS67" s="66">
        <v>0.04</v>
      </c>
      <c r="AT67" s="192">
        <v>1.1599999999999999</v>
      </c>
    </row>
    <row r="68" spans="1:46" s="45" customFormat="1" ht="18.5">
      <c r="A68" s="43"/>
      <c r="B68" s="67">
        <v>58</v>
      </c>
      <c r="C68" s="68">
        <v>1.1000000000000001</v>
      </c>
      <c r="D68" s="66">
        <v>0.09</v>
      </c>
      <c r="E68" s="66">
        <v>1.1599999999999999</v>
      </c>
      <c r="G68" s="91">
        <v>58</v>
      </c>
      <c r="H68" s="68">
        <v>1.1000000000000001</v>
      </c>
      <c r="I68" s="66">
        <v>0.1</v>
      </c>
      <c r="J68" s="66">
        <v>1.1599999999999999</v>
      </c>
      <c r="K68" s="90" t="s">
        <v>782</v>
      </c>
      <c r="L68" s="90" t="s">
        <v>782</v>
      </c>
      <c r="M68" s="90" t="s">
        <v>782</v>
      </c>
      <c r="N68" s="90" t="s">
        <v>782</v>
      </c>
      <c r="O68" s="90" t="s">
        <v>782</v>
      </c>
      <c r="P68" s="90" t="s">
        <v>782</v>
      </c>
      <c r="R68" s="91">
        <v>58</v>
      </c>
      <c r="S68" s="68">
        <v>1.1000000000000001</v>
      </c>
      <c r="T68" s="66">
        <v>0.90200000000000002</v>
      </c>
      <c r="U68" s="90" t="s">
        <v>782</v>
      </c>
      <c r="V68" s="90" t="s">
        <v>782</v>
      </c>
      <c r="W68" s="84"/>
      <c r="X68" s="85"/>
      <c r="Y68" s="84"/>
      <c r="Z68" s="91">
        <v>58</v>
      </c>
      <c r="AA68" s="68">
        <v>1.1000000000000001</v>
      </c>
      <c r="AB68" s="66">
        <v>0.03</v>
      </c>
      <c r="AC68" s="66">
        <v>1.1200000000000001</v>
      </c>
      <c r="AD68" s="90" t="s">
        <v>782</v>
      </c>
      <c r="AE68" s="90" t="s">
        <v>782</v>
      </c>
      <c r="AF68" s="90" t="s">
        <v>782</v>
      </c>
      <c r="AG68" s="90" t="s">
        <v>782</v>
      </c>
      <c r="AH68" s="90" t="s">
        <v>782</v>
      </c>
      <c r="AI68" s="90" t="s">
        <v>782</v>
      </c>
      <c r="AK68" s="91">
        <v>58</v>
      </c>
      <c r="AL68" s="68">
        <v>1.1000000000000001</v>
      </c>
      <c r="AM68" s="90" t="s">
        <v>782</v>
      </c>
      <c r="AN68" s="90" t="s">
        <v>782</v>
      </c>
      <c r="AO68" s="90" t="s">
        <v>782</v>
      </c>
      <c r="AQ68" s="91">
        <v>58</v>
      </c>
      <c r="AR68" s="68">
        <v>1.1000000000000001</v>
      </c>
      <c r="AS68" s="66">
        <v>0.04</v>
      </c>
      <c r="AT68" s="192">
        <v>1.1599999999999999</v>
      </c>
    </row>
    <row r="69" spans="1:46" s="45" customFormat="1" ht="18.5">
      <c r="A69" s="43"/>
      <c r="B69" s="63">
        <v>59</v>
      </c>
      <c r="C69" s="68">
        <v>1.1000000000000001</v>
      </c>
      <c r="D69" s="66">
        <v>0.1</v>
      </c>
      <c r="E69" s="66">
        <v>1.19</v>
      </c>
      <c r="G69" s="91">
        <v>59</v>
      </c>
      <c r="H69" s="68">
        <v>1.1000000000000001</v>
      </c>
      <c r="I69" s="66">
        <v>0.06</v>
      </c>
      <c r="J69" s="66">
        <v>1.1599999999999999</v>
      </c>
      <c r="K69" s="90" t="s">
        <v>782</v>
      </c>
      <c r="L69" s="90" t="s">
        <v>782</v>
      </c>
      <c r="M69" s="90" t="s">
        <v>782</v>
      </c>
      <c r="N69" s="90" t="s">
        <v>782</v>
      </c>
      <c r="O69" s="90" t="s">
        <v>782</v>
      </c>
      <c r="P69" s="90" t="s">
        <v>782</v>
      </c>
      <c r="R69" s="92">
        <v>59</v>
      </c>
      <c r="S69" s="68">
        <v>1.1000000000000001</v>
      </c>
      <c r="T69" s="66">
        <v>0.93400000000000005</v>
      </c>
      <c r="U69" s="90" t="s">
        <v>782</v>
      </c>
      <c r="V69" s="90" t="s">
        <v>782</v>
      </c>
      <c r="W69" s="84"/>
      <c r="X69" s="85"/>
      <c r="Y69" s="84"/>
      <c r="Z69" s="91">
        <v>59</v>
      </c>
      <c r="AA69" s="68">
        <v>1.1000000000000001</v>
      </c>
      <c r="AB69" s="66">
        <v>0.02</v>
      </c>
      <c r="AC69" s="66">
        <v>1.1200000000000001</v>
      </c>
      <c r="AD69" s="90" t="s">
        <v>782</v>
      </c>
      <c r="AE69" s="90" t="s">
        <v>782</v>
      </c>
      <c r="AF69" s="90" t="s">
        <v>782</v>
      </c>
      <c r="AG69" s="90" t="s">
        <v>782</v>
      </c>
      <c r="AH69" s="90" t="s">
        <v>782</v>
      </c>
      <c r="AI69" s="90" t="s">
        <v>782</v>
      </c>
      <c r="AK69" s="92">
        <v>59</v>
      </c>
      <c r="AL69" s="68">
        <v>1.1000000000000001</v>
      </c>
      <c r="AM69" s="90" t="s">
        <v>782</v>
      </c>
      <c r="AN69" s="90" t="s">
        <v>782</v>
      </c>
      <c r="AO69" s="90" t="s">
        <v>782</v>
      </c>
      <c r="AQ69" s="92">
        <v>59</v>
      </c>
      <c r="AR69" s="68">
        <v>1.1000000000000001</v>
      </c>
      <c r="AS69" s="66">
        <v>0.03</v>
      </c>
      <c r="AT69" s="192">
        <v>1.1499999999999999</v>
      </c>
    </row>
    <row r="70" spans="1:46" s="45" customFormat="1" ht="18.5">
      <c r="A70" s="43"/>
      <c r="B70" s="67">
        <v>60</v>
      </c>
      <c r="C70" s="68">
        <v>1.1000000000000001</v>
      </c>
      <c r="D70" s="66">
        <v>6.9000000000000006E-2</v>
      </c>
      <c r="E70" s="66">
        <v>1.18</v>
      </c>
      <c r="G70" s="91">
        <v>60</v>
      </c>
      <c r="H70" s="68">
        <v>1.1000000000000001</v>
      </c>
      <c r="I70" s="66">
        <v>0.08</v>
      </c>
      <c r="J70" s="66">
        <v>1.18</v>
      </c>
      <c r="K70" s="90" t="s">
        <v>782</v>
      </c>
      <c r="L70" s="90" t="s">
        <v>782</v>
      </c>
      <c r="M70" s="90" t="s">
        <v>782</v>
      </c>
      <c r="N70" s="90" t="s">
        <v>782</v>
      </c>
      <c r="O70" s="90" t="s">
        <v>782</v>
      </c>
      <c r="P70" s="90" t="s">
        <v>782</v>
      </c>
      <c r="R70" s="91">
        <v>60</v>
      </c>
      <c r="S70" s="68">
        <v>1.1000000000000001</v>
      </c>
      <c r="T70" s="66">
        <v>0.93300000000000005</v>
      </c>
      <c r="U70" s="90" t="s">
        <v>782</v>
      </c>
      <c r="V70" s="90" t="s">
        <v>782</v>
      </c>
      <c r="W70" s="84"/>
      <c r="X70" s="85"/>
      <c r="Y70" s="84"/>
      <c r="Z70" s="91">
        <v>60</v>
      </c>
      <c r="AA70" s="68">
        <v>1.1000000000000001</v>
      </c>
      <c r="AB70" s="66">
        <v>0.02</v>
      </c>
      <c r="AC70" s="66">
        <v>1.1100000000000001</v>
      </c>
      <c r="AD70" s="90" t="s">
        <v>782</v>
      </c>
      <c r="AE70" s="90" t="s">
        <v>782</v>
      </c>
      <c r="AF70" s="90" t="s">
        <v>782</v>
      </c>
      <c r="AG70" s="90" t="s">
        <v>782</v>
      </c>
      <c r="AH70" s="90" t="s">
        <v>782</v>
      </c>
      <c r="AI70" s="90" t="s">
        <v>782</v>
      </c>
      <c r="AK70" s="91">
        <v>60</v>
      </c>
      <c r="AL70" s="68">
        <v>1.1000000000000001</v>
      </c>
      <c r="AM70" s="90" t="s">
        <v>782</v>
      </c>
      <c r="AN70" s="90" t="s">
        <v>782</v>
      </c>
      <c r="AO70" s="90" t="s">
        <v>782</v>
      </c>
      <c r="AQ70" s="91">
        <v>60</v>
      </c>
      <c r="AR70" s="68">
        <v>1.1000000000000001</v>
      </c>
      <c r="AS70" s="66">
        <v>0.03</v>
      </c>
      <c r="AT70" s="192">
        <v>1.1399999999999999</v>
      </c>
    </row>
    <row r="71" spans="1:46" s="45" customFormat="1" ht="18.5">
      <c r="A71" s="43"/>
      <c r="B71" s="63">
        <v>61</v>
      </c>
      <c r="C71" s="68">
        <v>1.1000000000000001</v>
      </c>
      <c r="D71" s="66">
        <v>0.1</v>
      </c>
      <c r="E71" s="66">
        <v>1.19</v>
      </c>
      <c r="G71" s="91">
        <v>61</v>
      </c>
      <c r="H71" s="68">
        <v>1.1000000000000001</v>
      </c>
      <c r="I71" s="66">
        <v>7.0000000000000007E-2</v>
      </c>
      <c r="J71" s="66">
        <v>1.18</v>
      </c>
      <c r="K71" s="90" t="s">
        <v>782</v>
      </c>
      <c r="L71" s="90" t="s">
        <v>782</v>
      </c>
      <c r="M71" s="90" t="s">
        <v>782</v>
      </c>
      <c r="N71" s="90" t="s">
        <v>782</v>
      </c>
      <c r="O71" s="90" t="s">
        <v>782</v>
      </c>
      <c r="P71" s="90" t="s">
        <v>782</v>
      </c>
      <c r="R71" s="92">
        <v>61</v>
      </c>
      <c r="S71" s="68">
        <v>1.1000000000000001</v>
      </c>
      <c r="T71" s="66">
        <v>0.91600000000000004</v>
      </c>
      <c r="U71" s="90" t="s">
        <v>782</v>
      </c>
      <c r="V71" s="90" t="s">
        <v>782</v>
      </c>
      <c r="W71" s="84"/>
      <c r="X71" s="85"/>
      <c r="Y71" s="84"/>
      <c r="Z71" s="91">
        <v>61</v>
      </c>
      <c r="AA71" s="68">
        <v>1.1000000000000001</v>
      </c>
      <c r="AB71" s="66">
        <v>0.02</v>
      </c>
      <c r="AC71" s="66">
        <v>1.1299999999999999</v>
      </c>
      <c r="AD71" s="90" t="s">
        <v>782</v>
      </c>
      <c r="AE71" s="90" t="s">
        <v>782</v>
      </c>
      <c r="AF71" s="90" t="s">
        <v>782</v>
      </c>
      <c r="AG71" s="90" t="s">
        <v>782</v>
      </c>
      <c r="AH71" s="90" t="s">
        <v>782</v>
      </c>
      <c r="AI71" s="90" t="s">
        <v>782</v>
      </c>
      <c r="AK71" s="92">
        <v>61</v>
      </c>
      <c r="AL71" s="68">
        <v>1.1000000000000001</v>
      </c>
      <c r="AM71" s="90" t="s">
        <v>782</v>
      </c>
      <c r="AN71" s="90" t="s">
        <v>782</v>
      </c>
      <c r="AO71" s="90" t="s">
        <v>782</v>
      </c>
      <c r="AQ71" s="92">
        <v>61</v>
      </c>
      <c r="AR71" s="68">
        <v>1.1000000000000001</v>
      </c>
      <c r="AS71" s="66">
        <v>0.01</v>
      </c>
      <c r="AT71" s="192">
        <v>1.1299999999999999</v>
      </c>
    </row>
    <row r="72" spans="1:46" s="45" customFormat="1" ht="18.5">
      <c r="A72" s="77"/>
      <c r="B72" s="79" t="s">
        <v>127</v>
      </c>
      <c r="E72" s="46"/>
      <c r="H72" s="46"/>
      <c r="I72" s="46"/>
      <c r="J72" s="46"/>
      <c r="K72" s="46"/>
      <c r="L72" s="46"/>
      <c r="M72" s="46"/>
      <c r="Z72" s="79" t="s">
        <v>127</v>
      </c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O72" s="84"/>
    </row>
    <row r="73" spans="1:46" s="45" customFormat="1" ht="18.5">
      <c r="A73" s="77"/>
      <c r="E73" s="46"/>
      <c r="H73" s="46"/>
      <c r="I73" s="46"/>
      <c r="J73" s="46"/>
      <c r="K73" s="46"/>
      <c r="L73" s="46"/>
      <c r="M73" s="46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</row>
    <row r="74" spans="1:46" s="45" customFormat="1" ht="18.5">
      <c r="A74" s="77"/>
      <c r="B74" s="80" t="s">
        <v>773</v>
      </c>
      <c r="C74" s="50"/>
      <c r="D74" s="50"/>
      <c r="E74" s="49"/>
      <c r="F74" s="50"/>
      <c r="G74" s="50"/>
      <c r="H74" s="46"/>
      <c r="I74" s="46"/>
      <c r="J74" s="46"/>
      <c r="K74" s="46"/>
      <c r="L74" s="46"/>
      <c r="M74" s="46"/>
      <c r="Z74" s="80" t="s">
        <v>778</v>
      </c>
      <c r="AA74" s="50"/>
      <c r="AB74" s="50"/>
      <c r="AC74" s="49"/>
      <c r="AD74" s="50"/>
      <c r="AE74" s="50"/>
      <c r="AF74" s="49"/>
      <c r="AG74" s="49"/>
      <c r="AH74" s="49"/>
      <c r="AI74" s="49"/>
      <c r="AJ74" s="78"/>
      <c r="AK74" s="78"/>
      <c r="AL74" s="78"/>
    </row>
    <row r="75" spans="1:46" s="45" customFormat="1" ht="18.5">
      <c r="A75" s="77"/>
      <c r="C75" s="81"/>
      <c r="E75" s="46"/>
      <c r="H75" s="46"/>
      <c r="I75" s="46"/>
      <c r="J75" s="46"/>
      <c r="K75" s="46"/>
      <c r="L75" s="46"/>
      <c r="M75" s="46"/>
      <c r="AA75" s="81"/>
      <c r="AC75" s="46"/>
      <c r="AF75" s="46"/>
      <c r="AG75" s="46"/>
      <c r="AH75" s="46"/>
      <c r="AI75" s="46"/>
      <c r="AJ75" s="78"/>
      <c r="AK75" s="78"/>
      <c r="AL75" s="78"/>
    </row>
    <row r="76" spans="1:46" ht="18.5">
      <c r="A76" s="77"/>
      <c r="B76" s="45"/>
      <c r="C76" s="45"/>
      <c r="D76" s="45"/>
      <c r="E76" s="46"/>
      <c r="G76" s="45"/>
      <c r="H76" s="46"/>
      <c r="I76" s="46"/>
      <c r="J76" s="46"/>
      <c r="K76" s="46"/>
      <c r="L76" s="46"/>
      <c r="M76" s="46"/>
      <c r="N76" s="45"/>
      <c r="O76" s="45"/>
      <c r="P76" s="45"/>
      <c r="R76" s="45"/>
      <c r="S76" s="45"/>
      <c r="T76" s="45"/>
      <c r="U76" s="45"/>
      <c r="V76" s="45"/>
      <c r="W76" s="45"/>
      <c r="X76" s="45"/>
      <c r="Y76" s="45"/>
      <c r="Z76" s="45"/>
      <c r="AA76" s="81"/>
      <c r="AB76" s="45"/>
      <c r="AC76" s="46"/>
      <c r="AD76" s="45"/>
      <c r="AE76" s="45"/>
      <c r="AF76" s="46"/>
      <c r="AG76" s="46"/>
      <c r="AH76" s="46"/>
      <c r="AI76" s="46"/>
      <c r="AJ76" s="78"/>
      <c r="AK76" s="78"/>
      <c r="AL76" s="78"/>
      <c r="AM76" s="45"/>
      <c r="AN76" s="45"/>
      <c r="AO76" s="45"/>
      <c r="AP76" s="45"/>
      <c r="AQ76" s="45"/>
      <c r="AR76" s="45"/>
      <c r="AS76" s="45"/>
    </row>
    <row r="77" spans="1:46" ht="18.5">
      <c r="A77" s="77"/>
      <c r="B77" s="80" t="s">
        <v>774</v>
      </c>
      <c r="C77" s="50"/>
      <c r="D77" s="50"/>
      <c r="E77" s="49"/>
      <c r="F77" s="50"/>
      <c r="G77" s="50"/>
      <c r="H77" s="49"/>
      <c r="I77" s="49"/>
      <c r="J77" s="49"/>
      <c r="K77" s="46"/>
      <c r="L77" s="46"/>
      <c r="M77" s="46"/>
      <c r="N77" s="45"/>
      <c r="O77" s="45"/>
      <c r="P77" s="45"/>
      <c r="R77" s="45"/>
      <c r="S77" s="45"/>
      <c r="T77" s="45"/>
      <c r="U77" s="45"/>
      <c r="V77" s="45"/>
      <c r="W77" s="45"/>
      <c r="X77" s="45"/>
      <c r="Y77" s="45"/>
      <c r="Z77" s="45"/>
      <c r="AA77" s="81"/>
      <c r="AB77" s="45"/>
      <c r="AC77" s="46"/>
      <c r="AD77" s="45"/>
      <c r="AE77" s="45"/>
      <c r="AF77" s="46"/>
      <c r="AG77" s="46"/>
      <c r="AH77" s="46"/>
      <c r="AI77" s="46"/>
      <c r="AJ77" s="78"/>
      <c r="AK77" s="78"/>
      <c r="AL77" s="78"/>
      <c r="AM77" s="45"/>
      <c r="AN77" s="45"/>
      <c r="AO77" s="45"/>
      <c r="AP77" s="45"/>
      <c r="AQ77" s="45"/>
      <c r="AR77" s="45"/>
      <c r="AS77" s="45"/>
    </row>
    <row r="78" spans="1:46" ht="18.5">
      <c r="A78" s="77"/>
      <c r="B78" s="45"/>
      <c r="C78" s="81"/>
      <c r="D78" s="45"/>
      <c r="E78" s="46"/>
      <c r="G78" s="45"/>
      <c r="H78" s="46"/>
      <c r="I78" s="46"/>
      <c r="J78" s="46"/>
      <c r="K78" s="46"/>
      <c r="L78" s="46"/>
      <c r="M78" s="46"/>
      <c r="N78" s="45"/>
      <c r="O78" s="45"/>
      <c r="P78" s="45"/>
      <c r="R78" s="45"/>
      <c r="S78" s="45"/>
      <c r="T78" s="45"/>
      <c r="U78" s="45"/>
      <c r="V78" s="45"/>
      <c r="W78" s="45"/>
      <c r="X78" s="45"/>
      <c r="Y78" s="45"/>
      <c r="Z78" s="45"/>
      <c r="AA78" s="81"/>
      <c r="AB78" s="45"/>
      <c r="AC78" s="46"/>
      <c r="AD78" s="45"/>
      <c r="AE78" s="45"/>
      <c r="AF78" s="46"/>
      <c r="AG78" s="46"/>
      <c r="AH78" s="46"/>
      <c r="AI78" s="46"/>
      <c r="AJ78" s="78"/>
      <c r="AK78" s="78"/>
      <c r="AL78" s="78"/>
      <c r="AM78" s="45"/>
      <c r="AN78" s="45"/>
      <c r="AO78" s="45"/>
      <c r="AP78" s="45"/>
      <c r="AQ78" s="45"/>
      <c r="AR78" s="45"/>
      <c r="AS78" s="45"/>
    </row>
    <row r="79" spans="1:46" ht="18.5">
      <c r="A79" s="77"/>
      <c r="B79" s="45"/>
      <c r="C79" s="81"/>
      <c r="D79" s="45"/>
      <c r="E79" s="46"/>
      <c r="G79" s="45"/>
      <c r="H79" s="46"/>
      <c r="I79" s="46"/>
      <c r="J79" s="46"/>
      <c r="K79" s="46"/>
      <c r="L79" s="46"/>
      <c r="M79" s="46"/>
      <c r="N79" s="45"/>
      <c r="O79" s="45"/>
      <c r="P79" s="45"/>
      <c r="R79" s="45"/>
      <c r="S79" s="45"/>
      <c r="T79" s="45"/>
      <c r="U79" s="45"/>
      <c r="V79" s="45"/>
      <c r="W79" s="45"/>
      <c r="X79" s="45"/>
      <c r="Y79" s="45"/>
      <c r="Z79" s="80" t="s">
        <v>779</v>
      </c>
      <c r="AA79" s="50"/>
      <c r="AB79" s="50"/>
      <c r="AC79" s="49"/>
      <c r="AD79" s="50"/>
      <c r="AE79" s="50"/>
      <c r="AF79" s="49"/>
      <c r="AG79" s="49"/>
      <c r="AH79" s="49"/>
      <c r="AI79" s="49"/>
      <c r="AJ79" s="78"/>
      <c r="AK79" s="78"/>
      <c r="AL79" s="78"/>
      <c r="AM79" s="45"/>
      <c r="AN79" s="45"/>
      <c r="AO79" s="45"/>
      <c r="AP79" s="45"/>
      <c r="AQ79" s="45"/>
      <c r="AR79" s="45"/>
      <c r="AS79" s="45"/>
    </row>
    <row r="80" spans="1:46" ht="18.5">
      <c r="A80" s="77"/>
      <c r="B80" s="80" t="s">
        <v>775</v>
      </c>
      <c r="C80" s="50"/>
      <c r="D80" s="50"/>
      <c r="E80" s="49"/>
      <c r="F80" s="50"/>
      <c r="G80" s="50"/>
      <c r="H80" s="49"/>
      <c r="I80" s="49"/>
      <c r="J80" s="49"/>
      <c r="K80" s="46"/>
      <c r="L80" s="46"/>
      <c r="M80" s="46"/>
      <c r="N80" s="45"/>
      <c r="O80" s="45"/>
      <c r="P80" s="45"/>
      <c r="R80" s="45"/>
      <c r="S80" s="45"/>
      <c r="T80" s="45"/>
      <c r="U80" s="45"/>
      <c r="V80" s="45"/>
      <c r="W80" s="45"/>
      <c r="X80" s="45"/>
      <c r="Y80" s="45"/>
      <c r="Z80" s="45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45"/>
      <c r="AN80" s="45"/>
      <c r="AO80" s="45"/>
      <c r="AP80" s="45"/>
      <c r="AQ80" s="45"/>
      <c r="AR80" s="45"/>
      <c r="AS80" s="45"/>
    </row>
    <row r="81" spans="1:45" ht="18.5">
      <c r="A81" s="77"/>
      <c r="B81" s="45"/>
      <c r="C81" s="81"/>
      <c r="D81" s="45"/>
      <c r="E81" s="46"/>
      <c r="G81" s="45"/>
      <c r="H81" s="46"/>
      <c r="I81" s="46"/>
      <c r="J81" s="46"/>
      <c r="K81" s="46"/>
      <c r="L81" s="46"/>
      <c r="M81" s="46"/>
      <c r="N81" s="45"/>
      <c r="O81" s="45"/>
      <c r="P81" s="45"/>
      <c r="R81" s="45"/>
      <c r="S81" s="45"/>
      <c r="T81" s="45"/>
      <c r="U81" s="45"/>
      <c r="V81" s="45"/>
      <c r="W81" s="45"/>
      <c r="X81" s="45"/>
      <c r="Y81" s="45"/>
      <c r="Z81" s="45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45"/>
      <c r="AN81" s="45"/>
      <c r="AO81" s="45"/>
      <c r="AP81" s="45"/>
      <c r="AQ81" s="45"/>
      <c r="AR81" s="45"/>
      <c r="AS81" s="45"/>
    </row>
    <row r="82" spans="1:45" ht="18.5">
      <c r="A82" s="77"/>
      <c r="B82" s="45"/>
      <c r="C82" s="81"/>
      <c r="D82" s="45"/>
      <c r="E82" s="46"/>
      <c r="G82" s="45"/>
      <c r="H82" s="46"/>
      <c r="I82" s="46"/>
      <c r="J82" s="46"/>
      <c r="K82" s="46"/>
      <c r="L82" s="46"/>
      <c r="M82" s="46"/>
      <c r="N82" s="45"/>
      <c r="O82" s="45"/>
      <c r="P82" s="45"/>
      <c r="R82" s="45"/>
      <c r="S82" s="45"/>
      <c r="T82" s="45"/>
      <c r="U82" s="45"/>
      <c r="V82" s="45"/>
      <c r="W82" s="45"/>
      <c r="X82" s="45"/>
      <c r="Y82" s="45"/>
      <c r="Z82" s="45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45"/>
      <c r="AN82" s="45"/>
      <c r="AO82" s="45"/>
      <c r="AP82" s="45"/>
      <c r="AQ82" s="45"/>
      <c r="AR82" s="45"/>
      <c r="AS82" s="45"/>
    </row>
    <row r="83" spans="1:45" ht="18.5">
      <c r="A83" s="77"/>
      <c r="B83" s="45"/>
      <c r="C83" s="81"/>
      <c r="D83" s="45"/>
      <c r="E83" s="46"/>
      <c r="G83" s="45"/>
      <c r="H83" s="46"/>
      <c r="I83" s="46"/>
      <c r="J83" s="46"/>
      <c r="K83" s="46"/>
      <c r="L83" s="46"/>
      <c r="M83" s="46"/>
      <c r="N83" s="45"/>
      <c r="O83" s="45"/>
      <c r="P83" s="45"/>
      <c r="R83" s="45"/>
      <c r="S83" s="45"/>
      <c r="T83" s="45"/>
      <c r="U83" s="45"/>
      <c r="V83" s="45"/>
      <c r="W83" s="45"/>
      <c r="X83" s="45"/>
      <c r="Y83" s="45"/>
      <c r="Z83" s="45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45"/>
      <c r="AN83" s="45"/>
      <c r="AO83" s="45"/>
      <c r="AP83" s="45"/>
      <c r="AQ83" s="45"/>
      <c r="AR83" s="45"/>
      <c r="AS83" s="45"/>
    </row>
    <row r="84" spans="1:45" ht="18.5">
      <c r="A84" s="77"/>
      <c r="B84" s="45"/>
      <c r="C84" s="81"/>
      <c r="D84" s="45"/>
      <c r="E84" s="46"/>
      <c r="G84" s="45"/>
      <c r="H84" s="46"/>
      <c r="I84" s="46"/>
      <c r="J84" s="46"/>
      <c r="K84" s="46"/>
      <c r="L84" s="46"/>
      <c r="M84" s="46"/>
      <c r="N84" s="45"/>
      <c r="O84" s="45"/>
      <c r="P84" s="45"/>
      <c r="R84" s="45"/>
      <c r="S84" s="45"/>
      <c r="T84" s="45"/>
      <c r="U84" s="45"/>
      <c r="V84" s="45"/>
      <c r="W84" s="45"/>
      <c r="X84" s="45"/>
      <c r="Y84" s="45"/>
      <c r="Z84" s="45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45"/>
      <c r="AN84" s="45"/>
      <c r="AO84" s="45"/>
      <c r="AP84" s="45"/>
      <c r="AQ84" s="45"/>
      <c r="AR84" s="45"/>
      <c r="AS84" s="45"/>
    </row>
    <row r="85" spans="1:45" ht="18.5">
      <c r="A85" s="77"/>
      <c r="B85" s="45"/>
      <c r="C85" s="81"/>
      <c r="D85" s="45"/>
      <c r="E85" s="46"/>
      <c r="G85" s="45"/>
      <c r="H85" s="46"/>
      <c r="I85" s="46"/>
      <c r="J85" s="46"/>
      <c r="K85" s="46"/>
      <c r="L85" s="46"/>
      <c r="M85" s="46"/>
      <c r="N85" s="45"/>
      <c r="O85" s="45"/>
      <c r="P85" s="45"/>
      <c r="R85" s="45"/>
      <c r="S85" s="45"/>
      <c r="T85" s="45"/>
      <c r="U85" s="45"/>
      <c r="V85" s="45"/>
      <c r="W85" s="45"/>
      <c r="X85" s="45"/>
      <c r="Y85" s="45"/>
      <c r="Z85" s="45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45"/>
      <c r="AN85" s="45"/>
      <c r="AO85" s="45"/>
      <c r="AP85" s="45"/>
      <c r="AQ85" s="45"/>
      <c r="AR85" s="45"/>
      <c r="AS85" s="45"/>
    </row>
    <row r="86" spans="1:45">
      <c r="B86" s="45"/>
      <c r="C86" s="45"/>
      <c r="D86" s="45"/>
      <c r="E86" s="46"/>
      <c r="G86" s="45"/>
      <c r="H86" s="46"/>
      <c r="I86" s="46"/>
      <c r="J86" s="46"/>
      <c r="K86" s="46"/>
      <c r="L86" s="46"/>
      <c r="M86" s="46"/>
      <c r="N86" s="45"/>
      <c r="O86" s="45"/>
      <c r="P86" s="45"/>
      <c r="R86" s="45"/>
      <c r="S86" s="45"/>
      <c r="T86" s="45"/>
      <c r="U86" s="45"/>
      <c r="V86" s="45"/>
      <c r="W86" s="45"/>
      <c r="X86" s="45"/>
      <c r="Y86" s="45"/>
      <c r="Z86" s="45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45"/>
      <c r="AN86" s="45"/>
      <c r="AO86" s="45"/>
      <c r="AP86" s="45"/>
      <c r="AQ86" s="45"/>
      <c r="AR86" s="45"/>
      <c r="AS86" s="45"/>
    </row>
    <row r="87" spans="1:45">
      <c r="E87" s="47"/>
      <c r="F87" s="47"/>
      <c r="H87" s="47"/>
      <c r="I87" s="47"/>
      <c r="J87" s="47"/>
      <c r="K87" s="46"/>
      <c r="L87" s="46"/>
      <c r="M87" s="46"/>
      <c r="N87" s="45"/>
      <c r="O87" s="45"/>
      <c r="P87" s="45"/>
      <c r="R87" s="45"/>
      <c r="S87" s="45"/>
      <c r="T87" s="45"/>
      <c r="U87" s="45"/>
      <c r="V87" s="45"/>
      <c r="W87" s="45"/>
      <c r="X87" s="45"/>
      <c r="Y87" s="45"/>
      <c r="Z87" s="45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45"/>
      <c r="AN87" s="45"/>
      <c r="AO87" s="45"/>
      <c r="AP87" s="45"/>
      <c r="AQ87" s="45"/>
      <c r="AR87" s="45"/>
      <c r="AS87" s="45"/>
    </row>
    <row r="88" spans="1:45">
      <c r="E88" s="47"/>
      <c r="F88" s="47"/>
      <c r="H88" s="47"/>
      <c r="I88" s="47"/>
      <c r="J88" s="47"/>
      <c r="K88" s="46"/>
      <c r="L88" s="46"/>
      <c r="M88" s="46"/>
      <c r="N88" s="45"/>
      <c r="O88" s="45"/>
      <c r="P88" s="45"/>
      <c r="R88" s="45"/>
      <c r="S88" s="45"/>
      <c r="T88" s="45"/>
      <c r="U88" s="45"/>
      <c r="V88" s="45"/>
      <c r="W88" s="45"/>
      <c r="X88" s="45"/>
      <c r="Y88" s="45"/>
      <c r="Z88" s="45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45"/>
      <c r="AN88" s="45"/>
      <c r="AO88" s="45"/>
      <c r="AP88" s="45"/>
      <c r="AQ88" s="45"/>
      <c r="AR88" s="45"/>
      <c r="AS88" s="45"/>
    </row>
    <row r="89" spans="1:45">
      <c r="E89" s="47"/>
      <c r="F89" s="47"/>
      <c r="H89" s="47"/>
      <c r="I89" s="47"/>
      <c r="J89" s="47"/>
      <c r="K89" s="46"/>
      <c r="L89" s="46"/>
      <c r="M89" s="46"/>
      <c r="N89" s="45"/>
      <c r="O89" s="45"/>
      <c r="P89" s="45"/>
      <c r="R89" s="45"/>
      <c r="S89" s="45"/>
      <c r="T89" s="45"/>
      <c r="U89" s="45"/>
      <c r="V89" s="45"/>
      <c r="W89" s="45"/>
      <c r="X89" s="45"/>
      <c r="Y89" s="45"/>
      <c r="Z89" s="45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45"/>
      <c r="AN89" s="45"/>
      <c r="AO89" s="45"/>
      <c r="AP89" s="45"/>
      <c r="AQ89" s="45"/>
      <c r="AR89" s="45"/>
      <c r="AS89" s="45"/>
    </row>
    <row r="90" spans="1:45">
      <c r="E90" s="47"/>
      <c r="F90" s="47"/>
      <c r="H90" s="47"/>
      <c r="I90" s="47"/>
      <c r="J90" s="47"/>
      <c r="K90" s="47"/>
      <c r="L90" s="46"/>
      <c r="M90" s="46"/>
      <c r="N90" s="45"/>
      <c r="O90" s="45"/>
      <c r="P90" s="45"/>
      <c r="R90" s="45"/>
      <c r="S90" s="45"/>
      <c r="T90" s="45"/>
      <c r="U90" s="45"/>
      <c r="V90" s="45"/>
      <c r="W90" s="45"/>
      <c r="X90" s="45"/>
      <c r="Y90" s="45"/>
      <c r="Z90" s="45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45"/>
      <c r="AN90" s="45"/>
      <c r="AO90" s="45"/>
      <c r="AP90" s="45"/>
      <c r="AQ90" s="45"/>
      <c r="AR90" s="45"/>
      <c r="AS90" s="45"/>
    </row>
    <row r="91" spans="1:45">
      <c r="E91" s="47"/>
      <c r="F91" s="47"/>
      <c r="H91" s="47"/>
      <c r="I91" s="47"/>
      <c r="J91" s="47"/>
      <c r="K91" s="47"/>
      <c r="L91" s="46"/>
      <c r="M91" s="46"/>
      <c r="N91" s="45"/>
      <c r="O91" s="45"/>
      <c r="P91" s="45"/>
      <c r="R91" s="45"/>
      <c r="S91" s="45"/>
      <c r="T91" s="45"/>
      <c r="U91" s="45"/>
      <c r="V91" s="45"/>
      <c r="W91" s="45"/>
      <c r="X91" s="45"/>
      <c r="Y91" s="45"/>
      <c r="Z91" s="45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45"/>
      <c r="AN91" s="45"/>
      <c r="AO91" s="45"/>
      <c r="AP91" s="45"/>
      <c r="AQ91" s="45"/>
      <c r="AR91" s="45"/>
      <c r="AS91" s="45"/>
    </row>
    <row r="92" spans="1:45">
      <c r="E92" s="47"/>
      <c r="F92" s="47"/>
      <c r="H92" s="47"/>
      <c r="I92" s="47"/>
      <c r="J92" s="47"/>
      <c r="K92" s="47"/>
      <c r="L92" s="46"/>
      <c r="M92" s="46"/>
      <c r="N92" s="45"/>
      <c r="O92" s="45"/>
      <c r="P92" s="45"/>
      <c r="R92" s="45"/>
      <c r="S92" s="45"/>
      <c r="T92" s="45"/>
      <c r="U92" s="45"/>
      <c r="V92" s="45"/>
      <c r="W92" s="45"/>
      <c r="X92" s="45"/>
      <c r="Y92" s="45"/>
      <c r="Z92" s="45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45"/>
      <c r="AN92" s="45"/>
      <c r="AO92" s="45"/>
      <c r="AP92" s="45"/>
      <c r="AQ92" s="45"/>
      <c r="AR92" s="45"/>
      <c r="AS92" s="45"/>
    </row>
    <row r="93" spans="1:45">
      <c r="B93" s="45"/>
      <c r="C93" s="45"/>
      <c r="D93" s="45"/>
      <c r="E93" s="46"/>
      <c r="G93" s="45"/>
      <c r="H93" s="46"/>
      <c r="I93" s="46"/>
      <c r="J93" s="46"/>
      <c r="K93" s="47"/>
      <c r="L93" s="46"/>
      <c r="M93" s="46"/>
      <c r="N93" s="45"/>
      <c r="O93" s="45"/>
      <c r="P93" s="45"/>
      <c r="R93" s="45"/>
      <c r="S93" s="45"/>
      <c r="T93" s="45"/>
      <c r="U93" s="45"/>
      <c r="V93" s="45"/>
      <c r="W93" s="45"/>
      <c r="X93" s="45"/>
      <c r="Y93" s="45"/>
      <c r="Z93" s="45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45"/>
      <c r="AN93" s="45"/>
      <c r="AO93" s="45"/>
      <c r="AP93" s="45"/>
      <c r="AQ93" s="45"/>
      <c r="AR93" s="45"/>
      <c r="AS93" s="45"/>
    </row>
    <row r="94" spans="1:45">
      <c r="B94" s="45"/>
      <c r="C94" s="45"/>
      <c r="D94" s="45"/>
      <c r="E94" s="46"/>
      <c r="G94" s="45"/>
      <c r="H94" s="46"/>
      <c r="I94" s="46"/>
      <c r="J94" s="46"/>
      <c r="K94" s="47"/>
      <c r="L94" s="46"/>
      <c r="M94" s="46"/>
      <c r="N94" s="45"/>
      <c r="O94" s="45"/>
      <c r="P94" s="45"/>
      <c r="R94" s="45"/>
      <c r="S94" s="45"/>
      <c r="T94" s="45"/>
      <c r="U94" s="45"/>
      <c r="V94" s="45"/>
      <c r="W94" s="45"/>
      <c r="X94" s="45"/>
      <c r="Y94" s="45"/>
      <c r="Z94" s="45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45"/>
      <c r="AN94" s="45"/>
      <c r="AO94" s="45"/>
      <c r="AP94" s="45"/>
      <c r="AQ94" s="45"/>
      <c r="AR94" s="45"/>
      <c r="AS94" s="45"/>
    </row>
    <row r="95" spans="1:45">
      <c r="B95" s="45"/>
      <c r="C95" s="45"/>
      <c r="D95" s="45"/>
      <c r="E95" s="46"/>
      <c r="G95" s="45"/>
      <c r="H95" s="46"/>
      <c r="I95" s="46"/>
      <c r="J95" s="46"/>
      <c r="K95" s="47"/>
      <c r="L95" s="46"/>
      <c r="M95" s="46"/>
      <c r="N95" s="45"/>
      <c r="O95" s="45"/>
      <c r="P95" s="45"/>
      <c r="R95" s="45"/>
      <c r="S95" s="45"/>
      <c r="T95" s="45"/>
      <c r="U95" s="45"/>
      <c r="V95" s="45"/>
      <c r="W95" s="45"/>
      <c r="X95" s="45"/>
      <c r="Y95" s="45"/>
      <c r="Z95" s="45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45"/>
      <c r="AN95" s="45"/>
      <c r="AO95" s="45"/>
      <c r="AP95" s="45"/>
      <c r="AQ95" s="45"/>
      <c r="AR95" s="45"/>
      <c r="AS95" s="45"/>
    </row>
    <row r="96" spans="1:45">
      <c r="B96" s="45"/>
      <c r="C96" s="45"/>
      <c r="D96" s="45"/>
      <c r="E96" s="46"/>
      <c r="G96" s="45"/>
      <c r="H96" s="46"/>
      <c r="I96" s="46"/>
      <c r="J96" s="46"/>
      <c r="K96" s="46"/>
      <c r="L96" s="46"/>
      <c r="M96" s="46"/>
      <c r="N96" s="45"/>
      <c r="O96" s="45"/>
      <c r="P96" s="45"/>
      <c r="R96" s="45"/>
      <c r="S96" s="45"/>
      <c r="T96" s="45"/>
      <c r="U96" s="45"/>
      <c r="V96" s="45"/>
      <c r="W96" s="45"/>
      <c r="X96" s="45"/>
      <c r="Y96" s="45"/>
      <c r="Z96" s="45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45"/>
      <c r="AN96" s="45"/>
      <c r="AO96" s="45"/>
      <c r="AP96" s="45"/>
      <c r="AQ96" s="45"/>
      <c r="AR96" s="45"/>
      <c r="AS96" s="45"/>
    </row>
    <row r="97" spans="2:45">
      <c r="B97" s="45"/>
      <c r="C97" s="45"/>
      <c r="D97" s="45"/>
      <c r="E97" s="46"/>
      <c r="G97" s="45"/>
      <c r="H97" s="46"/>
      <c r="I97" s="46"/>
      <c r="J97" s="46"/>
      <c r="K97" s="46"/>
      <c r="L97" s="46"/>
      <c r="M97" s="46"/>
      <c r="N97" s="45"/>
      <c r="O97" s="45"/>
      <c r="P97" s="45"/>
      <c r="R97" s="45"/>
      <c r="S97" s="45"/>
      <c r="T97" s="45"/>
      <c r="U97" s="45"/>
      <c r="V97" s="45"/>
      <c r="W97" s="45"/>
      <c r="X97" s="45"/>
      <c r="Y97" s="45"/>
      <c r="Z97" s="45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45"/>
      <c r="AN97" s="45"/>
      <c r="AO97" s="45"/>
      <c r="AP97" s="45"/>
      <c r="AQ97" s="45"/>
      <c r="AR97" s="45"/>
      <c r="AS97" s="45"/>
    </row>
    <row r="98" spans="2:45">
      <c r="B98" s="45"/>
      <c r="C98" s="45"/>
      <c r="D98" s="45"/>
      <c r="E98" s="46"/>
      <c r="G98" s="45"/>
      <c r="H98" s="46"/>
      <c r="I98" s="46"/>
      <c r="J98" s="46"/>
      <c r="K98" s="46"/>
      <c r="L98" s="46"/>
      <c r="M98" s="46"/>
      <c r="N98" s="45"/>
      <c r="O98" s="45"/>
      <c r="P98" s="45"/>
      <c r="R98" s="45"/>
      <c r="S98" s="45"/>
      <c r="T98" s="45"/>
      <c r="U98" s="45"/>
      <c r="V98" s="45"/>
      <c r="W98" s="45"/>
      <c r="X98" s="45"/>
      <c r="Y98" s="45"/>
      <c r="Z98" s="45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45"/>
      <c r="AN98" s="45"/>
      <c r="AO98" s="45"/>
      <c r="AP98" s="45"/>
      <c r="AQ98" s="45"/>
      <c r="AR98" s="45"/>
      <c r="AS98" s="45"/>
    </row>
    <row r="99" spans="2:45">
      <c r="B99" s="45"/>
      <c r="C99" s="45"/>
      <c r="D99" s="45"/>
      <c r="E99" s="46"/>
      <c r="G99" s="45"/>
      <c r="H99" s="46"/>
      <c r="I99" s="46"/>
      <c r="J99" s="46"/>
      <c r="K99" s="46"/>
      <c r="L99" s="46"/>
      <c r="M99" s="46"/>
      <c r="N99" s="45"/>
      <c r="O99" s="45"/>
      <c r="P99" s="45"/>
      <c r="R99" s="45"/>
      <c r="S99" s="45"/>
      <c r="T99" s="45"/>
      <c r="U99" s="45"/>
      <c r="V99" s="45"/>
      <c r="W99" s="45"/>
      <c r="X99" s="45"/>
      <c r="Y99" s="45"/>
      <c r="Z99" s="45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45"/>
      <c r="AN99" s="45"/>
      <c r="AO99" s="45"/>
      <c r="AP99" s="45"/>
      <c r="AQ99" s="45"/>
      <c r="AR99" s="45"/>
      <c r="AS99" s="45"/>
    </row>
    <row r="100" spans="2:45">
      <c r="B100" s="45"/>
      <c r="C100" s="45"/>
      <c r="D100" s="45"/>
      <c r="E100" s="46"/>
      <c r="G100" s="45"/>
      <c r="H100" s="46"/>
      <c r="I100" s="46"/>
      <c r="J100" s="46"/>
      <c r="K100" s="46"/>
      <c r="L100" s="46"/>
      <c r="M100" s="46"/>
      <c r="N100" s="45"/>
      <c r="O100" s="45"/>
      <c r="P100" s="45"/>
      <c r="R100" s="45"/>
      <c r="S100" s="45"/>
      <c r="T100" s="45"/>
      <c r="U100" s="45"/>
      <c r="V100" s="45"/>
      <c r="W100" s="45"/>
      <c r="X100" s="45"/>
      <c r="Y100" s="45"/>
      <c r="Z100" s="45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45"/>
      <c r="AN100" s="45"/>
      <c r="AO100" s="45"/>
      <c r="AP100" s="45"/>
      <c r="AQ100" s="45"/>
      <c r="AR100" s="45"/>
      <c r="AS100" s="45"/>
    </row>
    <row r="101" spans="2:45">
      <c r="B101" s="45"/>
      <c r="K101" s="46"/>
      <c r="L101" s="46"/>
      <c r="M101" s="46"/>
      <c r="N101" s="45"/>
      <c r="O101" s="45"/>
      <c r="P101" s="45"/>
      <c r="R101" s="45"/>
      <c r="S101" s="45"/>
      <c r="T101" s="45"/>
      <c r="U101" s="45"/>
      <c r="V101" s="45"/>
      <c r="W101" s="45"/>
      <c r="X101" s="45"/>
      <c r="Y101" s="45"/>
      <c r="Z101" s="45"/>
      <c r="AA101" s="78"/>
      <c r="AB101" s="78"/>
      <c r="AC101" s="78"/>
      <c r="AD101" s="78"/>
      <c r="AE101" s="78"/>
      <c r="AF101" s="78"/>
      <c r="AG101" s="78"/>
      <c r="AH101" s="78"/>
      <c r="AI101" s="78"/>
      <c r="AJ101" s="45"/>
      <c r="AK101" s="45"/>
      <c r="AL101" s="45"/>
      <c r="AM101" s="45"/>
      <c r="AN101" s="45"/>
    </row>
    <row r="102" spans="2:45">
      <c r="B102" s="45"/>
      <c r="K102" s="46"/>
      <c r="L102" s="46"/>
      <c r="M102" s="46"/>
      <c r="N102" s="45"/>
      <c r="O102" s="45"/>
      <c r="P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</row>
    <row r="103" spans="2:45">
      <c r="K103" s="46"/>
      <c r="L103" s="46"/>
      <c r="M103" s="46"/>
      <c r="N103" s="45"/>
      <c r="O103" s="45"/>
      <c r="P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</row>
    <row r="104" spans="2:45">
      <c r="L104" s="46"/>
      <c r="M104" s="46"/>
      <c r="N104" s="45"/>
      <c r="O104" s="45"/>
      <c r="P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</row>
    <row r="105" spans="2:45"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</row>
  </sheetData>
  <mergeCells count="22">
    <mergeCell ref="AK4:AO4"/>
    <mergeCell ref="AK46:AO46"/>
    <mergeCell ref="AQ47:AQ48"/>
    <mergeCell ref="AQ46:AT46"/>
    <mergeCell ref="B4:E4"/>
    <mergeCell ref="G4:J4"/>
    <mergeCell ref="R4:V4"/>
    <mergeCell ref="Z4:AC4"/>
    <mergeCell ref="B46:E46"/>
    <mergeCell ref="G46:J46"/>
    <mergeCell ref="R46:V46"/>
    <mergeCell ref="Z46:AC46"/>
    <mergeCell ref="Z5:Z6"/>
    <mergeCell ref="AK5:AK6"/>
    <mergeCell ref="B47:B48"/>
    <mergeCell ref="G47:G48"/>
    <mergeCell ref="R47:R48"/>
    <mergeCell ref="Z47:Z48"/>
    <mergeCell ref="AK47:AK48"/>
    <mergeCell ref="B5:B6"/>
    <mergeCell ref="G5:G6"/>
    <mergeCell ref="R5:R6"/>
  </mergeCells>
  <pageMargins left="0.25" right="0.25" top="0.75" bottom="0.75" header="0.3" footer="0.3"/>
  <pageSetup paperSize="17" orientation="landscape" r:id="rId1"/>
  <headerFooter>
    <oddHeader>&amp;R&amp;"Calibri"&amp;10&amp;K000000 Unclassified / Non classifié&amp;1#_x000D_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38B0-24DE-4720-99A1-50878598AD2B}">
  <dimension ref="A1:AC67"/>
  <sheetViews>
    <sheetView tabSelected="1" zoomScale="98" zoomScaleNormal="11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M43" sqref="M43"/>
    </sheetView>
  </sheetViews>
  <sheetFormatPr defaultRowHeight="14.5"/>
  <cols>
    <col min="1" max="1" width="8.54296875" style="102" customWidth="1"/>
    <col min="2" max="11" width="9.26953125" customWidth="1"/>
  </cols>
  <sheetData>
    <row r="1" spans="1:29" ht="18.5">
      <c r="A1" s="42" t="s">
        <v>842</v>
      </c>
      <c r="G1" s="114"/>
    </row>
    <row r="2" spans="1:29" ht="18.5">
      <c r="A2" s="42"/>
      <c r="F2" s="165" t="s">
        <v>984</v>
      </c>
      <c r="G2" s="114"/>
      <c r="J2" s="165" t="s">
        <v>985</v>
      </c>
      <c r="P2" s="165" t="s">
        <v>984</v>
      </c>
      <c r="R2" s="165" t="s">
        <v>985</v>
      </c>
      <c r="X2" t="s">
        <v>1099</v>
      </c>
      <c r="AB2" t="s">
        <v>1102</v>
      </c>
    </row>
    <row r="3" spans="1:29">
      <c r="F3" t="s">
        <v>983</v>
      </c>
    </row>
    <row r="4" spans="1:29">
      <c r="A4" s="234" t="s">
        <v>100</v>
      </c>
      <c r="B4" s="232" t="s">
        <v>822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</row>
    <row r="5" spans="1:29">
      <c r="A5" s="234"/>
      <c r="B5" s="230">
        <v>45358</v>
      </c>
      <c r="C5" s="231"/>
      <c r="D5" s="230">
        <v>45365</v>
      </c>
      <c r="E5" s="231"/>
      <c r="F5" s="230">
        <v>45375</v>
      </c>
      <c r="G5" s="231"/>
      <c r="H5" s="230">
        <v>45379</v>
      </c>
      <c r="I5" s="231"/>
      <c r="J5" s="230">
        <v>45380</v>
      </c>
      <c r="K5" s="231"/>
      <c r="L5" s="230">
        <v>45386</v>
      </c>
      <c r="M5" s="231"/>
      <c r="N5" s="230">
        <v>45393</v>
      </c>
      <c r="O5" s="231"/>
      <c r="P5" s="230">
        <v>45407</v>
      </c>
      <c r="Q5" s="231"/>
      <c r="R5" s="230">
        <v>45414</v>
      </c>
      <c r="S5" s="231"/>
      <c r="T5" s="230">
        <v>45421</v>
      </c>
      <c r="U5" s="231"/>
      <c r="V5" s="230">
        <v>45428</v>
      </c>
      <c r="W5" s="231"/>
      <c r="X5" s="230">
        <v>45433</v>
      </c>
      <c r="Y5" s="231"/>
      <c r="Z5" s="230">
        <v>45434</v>
      </c>
      <c r="AA5" s="231"/>
      <c r="AB5" s="230">
        <v>45441</v>
      </c>
      <c r="AC5" s="231"/>
    </row>
    <row r="6" spans="1:29">
      <c r="A6" s="234"/>
      <c r="B6" s="104" t="s">
        <v>103</v>
      </c>
      <c r="C6" s="104" t="s">
        <v>823</v>
      </c>
      <c r="D6" s="104" t="s">
        <v>103</v>
      </c>
      <c r="E6" s="104" t="s">
        <v>823</v>
      </c>
      <c r="F6" s="104" t="s">
        <v>103</v>
      </c>
      <c r="G6" s="104" t="s">
        <v>823</v>
      </c>
      <c r="H6" s="104" t="s">
        <v>103</v>
      </c>
      <c r="I6" s="104" t="s">
        <v>823</v>
      </c>
      <c r="J6" s="104" t="s">
        <v>103</v>
      </c>
      <c r="K6" s="104" t="s">
        <v>823</v>
      </c>
      <c r="L6" s="104" t="s">
        <v>103</v>
      </c>
      <c r="M6" s="104" t="s">
        <v>823</v>
      </c>
      <c r="N6" s="104" t="s">
        <v>103</v>
      </c>
      <c r="O6" s="104" t="s">
        <v>823</v>
      </c>
      <c r="P6" s="104" t="s">
        <v>103</v>
      </c>
      <c r="Q6" s="104" t="s">
        <v>823</v>
      </c>
      <c r="R6" s="104" t="s">
        <v>103</v>
      </c>
      <c r="S6" s="104" t="s">
        <v>823</v>
      </c>
      <c r="T6" s="104" t="s">
        <v>103</v>
      </c>
      <c r="U6" s="104" t="s">
        <v>823</v>
      </c>
      <c r="V6" s="104" t="s">
        <v>103</v>
      </c>
      <c r="W6" s="104" t="s">
        <v>823</v>
      </c>
      <c r="X6" s="104" t="s">
        <v>103</v>
      </c>
      <c r="Y6" s="104" t="s">
        <v>823</v>
      </c>
      <c r="Z6" s="104" t="s">
        <v>103</v>
      </c>
      <c r="AA6" s="104" t="s">
        <v>823</v>
      </c>
      <c r="AB6" s="104" t="s">
        <v>103</v>
      </c>
      <c r="AC6" s="104" t="s">
        <v>823</v>
      </c>
    </row>
    <row r="7" spans="1:29" ht="16.149999999999999" customHeight="1">
      <c r="A7" s="104">
        <v>1</v>
      </c>
      <c r="B7" s="106">
        <v>1.1000000000000001</v>
      </c>
      <c r="C7" s="154">
        <v>7.48</v>
      </c>
      <c r="D7" s="106">
        <v>1.1000000000000001</v>
      </c>
      <c r="E7" s="106">
        <v>7.31</v>
      </c>
      <c r="F7" s="106">
        <v>11.91</v>
      </c>
      <c r="G7" s="154" t="s">
        <v>782</v>
      </c>
      <c r="H7" s="106">
        <v>10.99</v>
      </c>
      <c r="I7" s="106">
        <v>6.56</v>
      </c>
      <c r="J7" s="125">
        <v>11.92</v>
      </c>
      <c r="K7" s="154" t="s">
        <v>782</v>
      </c>
      <c r="L7" s="125">
        <v>12.02</v>
      </c>
      <c r="M7" s="154">
        <v>5.99</v>
      </c>
      <c r="N7" s="125">
        <v>11.97</v>
      </c>
      <c r="O7" s="154">
        <v>6.14</v>
      </c>
      <c r="P7" s="125">
        <v>11.67</v>
      </c>
      <c r="Q7" s="154">
        <v>5.44</v>
      </c>
      <c r="R7" s="125">
        <v>12.15</v>
      </c>
      <c r="S7" s="154">
        <v>5.76</v>
      </c>
      <c r="T7" s="125">
        <v>11.91</v>
      </c>
      <c r="U7" s="154">
        <v>5.36</v>
      </c>
      <c r="V7" s="125">
        <v>11.72</v>
      </c>
      <c r="W7" s="154">
        <v>5.28</v>
      </c>
      <c r="X7" s="108" t="s">
        <v>782</v>
      </c>
      <c r="Y7" s="108" t="s">
        <v>782</v>
      </c>
      <c r="Z7" s="107">
        <v>12.28</v>
      </c>
      <c r="AA7" s="107">
        <v>5.38</v>
      </c>
      <c r="AB7" s="107">
        <v>12.13</v>
      </c>
      <c r="AC7" s="107">
        <v>5.41</v>
      </c>
    </row>
    <row r="8" spans="1:29" ht="16.149999999999999" customHeight="1">
      <c r="A8" s="104">
        <v>2</v>
      </c>
      <c r="B8" s="106">
        <v>1.1299999999999999</v>
      </c>
      <c r="C8" s="154">
        <v>7.22</v>
      </c>
      <c r="D8" s="106">
        <v>1.1200000000000001</v>
      </c>
      <c r="E8" s="106">
        <v>7.28</v>
      </c>
      <c r="F8" s="106">
        <v>11.87</v>
      </c>
      <c r="G8" s="154" t="s">
        <v>782</v>
      </c>
      <c r="H8" s="106">
        <v>11.05</v>
      </c>
      <c r="I8" s="106">
        <v>6.28</v>
      </c>
      <c r="J8" s="106">
        <v>12</v>
      </c>
      <c r="K8" s="154" t="s">
        <v>782</v>
      </c>
      <c r="L8" s="106">
        <v>12.2</v>
      </c>
      <c r="M8" s="154">
        <v>6.02</v>
      </c>
      <c r="N8" s="106">
        <v>12.13</v>
      </c>
      <c r="O8" s="154">
        <v>6.69</v>
      </c>
      <c r="P8" s="106">
        <v>11.95</v>
      </c>
      <c r="Q8" s="154">
        <v>5.65</v>
      </c>
      <c r="R8" s="106">
        <v>12.06</v>
      </c>
      <c r="S8" s="154">
        <v>5.6</v>
      </c>
      <c r="T8" s="106">
        <v>11.94</v>
      </c>
      <c r="U8" s="154">
        <v>5.26</v>
      </c>
      <c r="V8" s="106">
        <v>11.78</v>
      </c>
      <c r="W8" s="154">
        <v>5.31</v>
      </c>
      <c r="X8" s="108" t="s">
        <v>782</v>
      </c>
      <c r="Y8" s="108" t="s">
        <v>782</v>
      </c>
      <c r="Z8" s="107">
        <v>12.16</v>
      </c>
      <c r="AA8" s="107">
        <v>5.19</v>
      </c>
      <c r="AB8" s="107">
        <v>12.09</v>
      </c>
      <c r="AC8" s="107">
        <v>5.25</v>
      </c>
    </row>
    <row r="9" spans="1:29" ht="16.149999999999999" customHeight="1">
      <c r="A9" s="104">
        <v>3</v>
      </c>
      <c r="B9" s="106">
        <v>1.1200000000000001</v>
      </c>
      <c r="C9" s="154">
        <v>7.3</v>
      </c>
      <c r="D9" s="106">
        <v>1.1000000000000001</v>
      </c>
      <c r="E9" s="106">
        <v>7.28</v>
      </c>
      <c r="F9" s="106">
        <v>11.86</v>
      </c>
      <c r="G9" s="154" t="s">
        <v>782</v>
      </c>
      <c r="H9" s="106">
        <v>11.03</v>
      </c>
      <c r="I9" s="106">
        <v>5.7</v>
      </c>
      <c r="J9" s="106">
        <v>12.16</v>
      </c>
      <c r="K9" s="154" t="s">
        <v>782</v>
      </c>
      <c r="L9" s="106">
        <v>12.15</v>
      </c>
      <c r="M9" s="154">
        <v>6.19</v>
      </c>
      <c r="N9" s="106">
        <v>12.08</v>
      </c>
      <c r="O9" s="154">
        <v>6.04</v>
      </c>
      <c r="P9" s="106">
        <v>12</v>
      </c>
      <c r="Q9" s="154">
        <v>5.48</v>
      </c>
      <c r="R9" s="106">
        <v>12.01</v>
      </c>
      <c r="S9" s="154">
        <v>5.56</v>
      </c>
      <c r="T9" s="106">
        <v>11.9</v>
      </c>
      <c r="U9" s="154">
        <v>5.34</v>
      </c>
      <c r="V9" s="106">
        <v>11.82</v>
      </c>
      <c r="W9" s="154">
        <v>5.39</v>
      </c>
      <c r="X9" s="108" t="s">
        <v>782</v>
      </c>
      <c r="Y9" s="108" t="s">
        <v>782</v>
      </c>
      <c r="Z9" s="107">
        <v>12.04</v>
      </c>
      <c r="AA9" s="107">
        <v>5.19</v>
      </c>
      <c r="AB9" s="107">
        <v>11.96</v>
      </c>
      <c r="AC9" s="107">
        <v>5.17</v>
      </c>
    </row>
    <row r="10" spans="1:29" ht="16.149999999999999" customHeight="1">
      <c r="A10" s="104">
        <v>4</v>
      </c>
      <c r="B10" s="106">
        <v>1.1299999999999999</v>
      </c>
      <c r="C10" s="154">
        <v>7.35</v>
      </c>
      <c r="D10" s="106">
        <v>1.1100000000000001</v>
      </c>
      <c r="E10" s="106">
        <v>7.32</v>
      </c>
      <c r="F10" s="106">
        <v>11.93</v>
      </c>
      <c r="G10" s="154" t="s">
        <v>782</v>
      </c>
      <c r="H10" s="106">
        <v>11.06</v>
      </c>
      <c r="I10" s="106">
        <v>5.87</v>
      </c>
      <c r="J10" s="106">
        <v>12.14</v>
      </c>
      <c r="K10" s="154" t="s">
        <v>782</v>
      </c>
      <c r="L10" s="106">
        <v>12.12</v>
      </c>
      <c r="M10" s="154">
        <v>5.74</v>
      </c>
      <c r="N10" s="106">
        <v>12.08</v>
      </c>
      <c r="O10" s="154">
        <v>5.75</v>
      </c>
      <c r="P10" s="106">
        <v>12.24</v>
      </c>
      <c r="Q10" s="154">
        <v>5.26</v>
      </c>
      <c r="R10" s="106">
        <v>12.23</v>
      </c>
      <c r="S10" s="154">
        <v>5.41</v>
      </c>
      <c r="T10" s="106">
        <v>12.21</v>
      </c>
      <c r="U10" s="154">
        <v>5.29</v>
      </c>
      <c r="V10" s="106">
        <v>12.06</v>
      </c>
      <c r="W10" s="154">
        <v>5.26</v>
      </c>
      <c r="X10" s="108" t="s">
        <v>782</v>
      </c>
      <c r="Y10" s="108" t="s">
        <v>782</v>
      </c>
      <c r="Z10" s="107">
        <v>12.27</v>
      </c>
      <c r="AA10" s="107">
        <v>5.1100000000000003</v>
      </c>
      <c r="AB10" s="107">
        <v>12.19</v>
      </c>
      <c r="AC10" s="107">
        <v>5.1100000000000003</v>
      </c>
    </row>
    <row r="11" spans="1:29" ht="16.149999999999999" customHeight="1">
      <c r="A11" s="104">
        <v>5</v>
      </c>
      <c r="B11" s="106">
        <v>1.1200000000000001</v>
      </c>
      <c r="C11" s="154">
        <v>7.37</v>
      </c>
      <c r="D11" s="106">
        <v>1.1100000000000001</v>
      </c>
      <c r="E11" s="106">
        <v>7.36</v>
      </c>
      <c r="F11" s="106">
        <v>11.96</v>
      </c>
      <c r="G11" s="154" t="s">
        <v>782</v>
      </c>
      <c r="H11" s="106">
        <v>11.44</v>
      </c>
      <c r="I11" s="106">
        <v>6.72</v>
      </c>
      <c r="J11" s="106">
        <v>11.97</v>
      </c>
      <c r="K11" s="154" t="s">
        <v>782</v>
      </c>
      <c r="L11" s="106">
        <v>11.8</v>
      </c>
      <c r="M11" s="154">
        <v>5.81</v>
      </c>
      <c r="N11" s="106">
        <v>11.83</v>
      </c>
      <c r="O11" s="154">
        <v>5.77</v>
      </c>
      <c r="P11" s="106">
        <v>12.16</v>
      </c>
      <c r="Q11" s="154">
        <v>5.4</v>
      </c>
      <c r="R11" s="106">
        <v>11.98</v>
      </c>
      <c r="S11" s="154">
        <v>5.45</v>
      </c>
      <c r="T11" s="106">
        <v>11.9</v>
      </c>
      <c r="U11" s="154">
        <v>5.34</v>
      </c>
      <c r="V11" s="106">
        <v>11.89</v>
      </c>
      <c r="W11" s="154">
        <v>5.44</v>
      </c>
      <c r="X11" s="108" t="s">
        <v>782</v>
      </c>
      <c r="Y11" s="108" t="s">
        <v>782</v>
      </c>
      <c r="Z11" s="107">
        <v>12.36</v>
      </c>
      <c r="AA11" s="107">
        <v>5.8</v>
      </c>
      <c r="AB11" s="107">
        <v>12.29</v>
      </c>
      <c r="AC11" s="107">
        <v>5.95</v>
      </c>
    </row>
    <row r="12" spans="1:29" ht="16.149999999999999" customHeight="1">
      <c r="A12" s="104">
        <v>6</v>
      </c>
      <c r="B12" s="106">
        <v>1.1000000000000001</v>
      </c>
      <c r="C12" s="154">
        <v>7.42</v>
      </c>
      <c r="D12" s="106">
        <v>1.1100000000000001</v>
      </c>
      <c r="E12" s="106">
        <v>7.41</v>
      </c>
      <c r="F12" s="106">
        <v>11.95</v>
      </c>
      <c r="G12" s="154" t="s">
        <v>782</v>
      </c>
      <c r="H12" s="106">
        <v>10.98</v>
      </c>
      <c r="I12" s="106">
        <v>6.78</v>
      </c>
      <c r="J12" s="106">
        <v>11.93</v>
      </c>
      <c r="K12" s="154" t="s">
        <v>782</v>
      </c>
      <c r="L12" s="106">
        <v>12.04</v>
      </c>
      <c r="M12" s="154">
        <v>5.93</v>
      </c>
      <c r="N12" s="106">
        <v>11.68</v>
      </c>
      <c r="O12" s="154">
        <v>5.78</v>
      </c>
      <c r="P12" s="106">
        <v>12.09</v>
      </c>
      <c r="Q12" s="154">
        <v>5.49</v>
      </c>
      <c r="R12" s="106">
        <v>12.16</v>
      </c>
      <c r="S12" s="154">
        <v>5.49</v>
      </c>
      <c r="T12" s="106">
        <v>11.97</v>
      </c>
      <c r="U12" s="154">
        <v>5.36</v>
      </c>
      <c r="V12" s="106">
        <v>11.91</v>
      </c>
      <c r="W12" s="154">
        <v>5.52</v>
      </c>
      <c r="X12" s="108" t="s">
        <v>782</v>
      </c>
      <c r="Y12" s="108" t="s">
        <v>782</v>
      </c>
      <c r="Z12" s="107">
        <v>12.29</v>
      </c>
      <c r="AA12" s="107">
        <v>5.41</v>
      </c>
      <c r="AB12" s="107">
        <v>12.16</v>
      </c>
      <c r="AC12" s="107">
        <v>5.41</v>
      </c>
    </row>
    <row r="13" spans="1:29" ht="16.149999999999999" customHeight="1">
      <c r="A13" s="104">
        <v>7</v>
      </c>
      <c r="B13" s="106">
        <v>1.1299999999999999</v>
      </c>
      <c r="C13" s="154">
        <v>7.51</v>
      </c>
      <c r="D13" s="106">
        <v>1.1299999999999999</v>
      </c>
      <c r="E13" s="106">
        <v>7.48</v>
      </c>
      <c r="F13" s="106">
        <v>12.05</v>
      </c>
      <c r="G13" s="154" t="s">
        <v>782</v>
      </c>
      <c r="H13" s="106">
        <v>11.03</v>
      </c>
      <c r="I13" s="106">
        <v>6.66</v>
      </c>
      <c r="J13" s="106">
        <v>12.05</v>
      </c>
      <c r="K13" s="154" t="s">
        <v>782</v>
      </c>
      <c r="L13" s="106">
        <v>12.15</v>
      </c>
      <c r="M13" s="154">
        <v>6.25</v>
      </c>
      <c r="N13" s="106">
        <v>12.11</v>
      </c>
      <c r="O13" s="154">
        <v>5.88</v>
      </c>
      <c r="P13" s="106">
        <v>11.93</v>
      </c>
      <c r="Q13" s="154">
        <v>5.47</v>
      </c>
      <c r="R13" s="106">
        <v>12.05</v>
      </c>
      <c r="S13" s="154">
        <v>5.45</v>
      </c>
      <c r="T13" s="106">
        <v>11.95</v>
      </c>
      <c r="U13" s="154">
        <v>5.33</v>
      </c>
      <c r="V13" s="106">
        <v>11.9</v>
      </c>
      <c r="W13" s="154">
        <v>5.4</v>
      </c>
      <c r="X13" s="108" t="s">
        <v>782</v>
      </c>
      <c r="Y13" s="108" t="s">
        <v>782</v>
      </c>
      <c r="Z13" s="107">
        <v>12.1</v>
      </c>
      <c r="AA13" s="107">
        <v>5.26</v>
      </c>
      <c r="AB13" s="107">
        <v>12.05</v>
      </c>
      <c r="AC13" s="107">
        <v>5.24</v>
      </c>
    </row>
    <row r="14" spans="1:29" ht="16.149999999999999" customHeight="1">
      <c r="A14" s="104">
        <v>8</v>
      </c>
      <c r="B14" s="106">
        <v>1.1000000000000001</v>
      </c>
      <c r="C14" s="154">
        <v>7.52</v>
      </c>
      <c r="D14" s="106">
        <v>1.0900000000000001</v>
      </c>
      <c r="E14" s="106">
        <v>7.48</v>
      </c>
      <c r="F14" s="106">
        <v>11.94</v>
      </c>
      <c r="G14" s="154" t="s">
        <v>782</v>
      </c>
      <c r="H14" s="106">
        <v>10.96</v>
      </c>
      <c r="I14" s="106">
        <v>6.43</v>
      </c>
      <c r="J14" s="106">
        <v>12.12</v>
      </c>
      <c r="K14" s="154" t="s">
        <v>782</v>
      </c>
      <c r="L14" s="106">
        <v>12.16</v>
      </c>
      <c r="M14" s="154">
        <v>6.35</v>
      </c>
      <c r="N14" s="106">
        <v>12.1</v>
      </c>
      <c r="O14" s="154">
        <v>5.9</v>
      </c>
      <c r="P14" s="106">
        <v>12.07</v>
      </c>
      <c r="Q14" s="154">
        <v>5.4</v>
      </c>
      <c r="R14" s="106">
        <v>11.93</v>
      </c>
      <c r="S14" s="154">
        <v>5.36</v>
      </c>
      <c r="T14" s="106">
        <v>11.8</v>
      </c>
      <c r="U14" s="154">
        <v>5.31</v>
      </c>
      <c r="V14" s="106">
        <v>11.72</v>
      </c>
      <c r="W14" s="154">
        <v>5.39</v>
      </c>
      <c r="X14" s="108" t="s">
        <v>782</v>
      </c>
      <c r="Y14" s="108" t="s">
        <v>782</v>
      </c>
      <c r="Z14" s="107">
        <v>11.99</v>
      </c>
      <c r="AA14" s="107">
        <v>5.5</v>
      </c>
      <c r="AB14" s="107">
        <v>11.91</v>
      </c>
      <c r="AC14" s="107">
        <v>5.61</v>
      </c>
    </row>
    <row r="15" spans="1:29" ht="16.149999999999999" customHeight="1">
      <c r="A15" s="104">
        <v>9</v>
      </c>
      <c r="B15" s="106">
        <v>1.1200000000000001</v>
      </c>
      <c r="C15" s="154">
        <v>7.48</v>
      </c>
      <c r="D15" s="106">
        <v>1.1100000000000001</v>
      </c>
      <c r="E15" s="106">
        <v>7.47</v>
      </c>
      <c r="F15" s="106">
        <v>11.84</v>
      </c>
      <c r="G15" s="154" t="s">
        <v>782</v>
      </c>
      <c r="H15" s="106">
        <v>11.03</v>
      </c>
      <c r="I15" s="106">
        <v>6.2</v>
      </c>
      <c r="J15" s="106">
        <v>12.11</v>
      </c>
      <c r="K15" s="154" t="s">
        <v>782</v>
      </c>
      <c r="L15" s="106">
        <v>12.04</v>
      </c>
      <c r="M15" s="154">
        <v>6.21</v>
      </c>
      <c r="N15" s="106">
        <v>11.94</v>
      </c>
      <c r="O15" s="154">
        <v>5.75</v>
      </c>
      <c r="P15" s="106">
        <v>12.06</v>
      </c>
      <c r="Q15" s="154">
        <v>5.4</v>
      </c>
      <c r="R15" s="106">
        <v>12</v>
      </c>
      <c r="S15" s="154">
        <v>5.3</v>
      </c>
      <c r="T15" s="106">
        <v>11.92</v>
      </c>
      <c r="U15" s="154">
        <v>5.27</v>
      </c>
      <c r="V15" s="106">
        <v>11.81</v>
      </c>
      <c r="W15" s="154">
        <v>5.42</v>
      </c>
      <c r="X15" s="108" t="s">
        <v>782</v>
      </c>
      <c r="Y15" s="108" t="s">
        <v>782</v>
      </c>
      <c r="Z15" s="107">
        <v>12.13</v>
      </c>
      <c r="AA15" s="107">
        <v>5.42</v>
      </c>
      <c r="AB15" s="107">
        <v>11.96</v>
      </c>
      <c r="AC15" s="107">
        <v>5.25</v>
      </c>
    </row>
    <row r="16" spans="1:29" ht="16.149999999999999" customHeight="1">
      <c r="A16" s="104">
        <v>10</v>
      </c>
      <c r="B16" s="106">
        <v>1.1299999999999999</v>
      </c>
      <c r="C16" s="154">
        <v>7.49</v>
      </c>
      <c r="D16" s="106">
        <v>1.1100000000000001</v>
      </c>
      <c r="E16" s="106">
        <v>7.47</v>
      </c>
      <c r="F16" s="106">
        <v>11.96</v>
      </c>
      <c r="G16" s="154" t="s">
        <v>782</v>
      </c>
      <c r="H16" s="106">
        <v>11.36</v>
      </c>
      <c r="I16" s="106">
        <v>5.79</v>
      </c>
      <c r="J16" s="106">
        <v>11.89</v>
      </c>
      <c r="K16" s="154" t="s">
        <v>782</v>
      </c>
      <c r="L16" s="106">
        <v>11.82</v>
      </c>
      <c r="M16" s="154">
        <v>5.91</v>
      </c>
      <c r="N16" s="106">
        <v>11.74</v>
      </c>
      <c r="O16" s="154">
        <v>5.56</v>
      </c>
      <c r="P16" s="106">
        <v>12.01</v>
      </c>
      <c r="Q16" s="154">
        <v>5.41</v>
      </c>
      <c r="R16" s="106">
        <v>11.96</v>
      </c>
      <c r="S16" s="154">
        <v>5.3</v>
      </c>
      <c r="T16" s="106">
        <v>11.96</v>
      </c>
      <c r="U16" s="154">
        <v>5.2</v>
      </c>
      <c r="V16" s="106">
        <v>11.78</v>
      </c>
      <c r="W16" s="154">
        <v>5.27</v>
      </c>
      <c r="X16" s="108" t="s">
        <v>782</v>
      </c>
      <c r="Y16" s="108" t="s">
        <v>782</v>
      </c>
      <c r="Z16" s="107">
        <v>12.12</v>
      </c>
      <c r="AA16" s="107">
        <v>5.21</v>
      </c>
      <c r="AB16" s="107">
        <v>12.01</v>
      </c>
      <c r="AC16" s="107">
        <v>5.3</v>
      </c>
    </row>
    <row r="17" spans="1:29" ht="16.149999999999999" customHeight="1">
      <c r="A17" s="104">
        <v>11</v>
      </c>
      <c r="B17" s="106">
        <v>1.1100000000000001</v>
      </c>
      <c r="C17" s="154">
        <v>7.49</v>
      </c>
      <c r="D17" s="106">
        <v>1.1100000000000001</v>
      </c>
      <c r="E17" s="106">
        <v>7.52</v>
      </c>
      <c r="F17" s="106">
        <v>11.93</v>
      </c>
      <c r="G17" s="154" t="s">
        <v>782</v>
      </c>
      <c r="H17" s="106">
        <v>11.06</v>
      </c>
      <c r="I17" s="106">
        <v>6.61</v>
      </c>
      <c r="J17" s="106">
        <v>11.98</v>
      </c>
      <c r="K17" s="154" t="s">
        <v>782</v>
      </c>
      <c r="L17" s="106">
        <v>12.01</v>
      </c>
      <c r="M17" s="154">
        <v>6.07</v>
      </c>
      <c r="N17" s="106">
        <v>12.04</v>
      </c>
      <c r="O17" s="154">
        <v>5.58</v>
      </c>
      <c r="P17" s="106">
        <v>12</v>
      </c>
      <c r="Q17" s="154">
        <v>5.28</v>
      </c>
      <c r="R17" s="106">
        <v>12.01</v>
      </c>
      <c r="S17" s="154">
        <v>5.34</v>
      </c>
      <c r="T17" s="106">
        <v>11.99</v>
      </c>
      <c r="U17" s="154">
        <v>5.25</v>
      </c>
      <c r="V17" s="106">
        <v>11.9</v>
      </c>
      <c r="W17" s="154">
        <v>5.28</v>
      </c>
      <c r="X17" s="108" t="s">
        <v>782</v>
      </c>
      <c r="Y17" s="108" t="s">
        <v>782</v>
      </c>
      <c r="Z17" s="107">
        <v>12.19</v>
      </c>
      <c r="AA17" s="107">
        <v>5.27</v>
      </c>
      <c r="AB17" s="107">
        <v>12.03</v>
      </c>
      <c r="AC17" s="107">
        <v>5.28</v>
      </c>
    </row>
    <row r="18" spans="1:29" ht="16.149999999999999" customHeight="1">
      <c r="A18" s="104">
        <v>12</v>
      </c>
      <c r="B18" s="106">
        <v>1.1200000000000001</v>
      </c>
      <c r="C18" s="154">
        <v>7.55</v>
      </c>
      <c r="D18" s="106">
        <v>1.1100000000000001</v>
      </c>
      <c r="E18" s="106">
        <v>7.55</v>
      </c>
      <c r="F18" s="106">
        <v>12.32</v>
      </c>
      <c r="G18" s="154" t="s">
        <v>782</v>
      </c>
      <c r="H18" s="106">
        <v>11.43</v>
      </c>
      <c r="I18" s="106">
        <v>6.02</v>
      </c>
      <c r="J18" s="106">
        <v>12.04</v>
      </c>
      <c r="K18" s="154" t="s">
        <v>782</v>
      </c>
      <c r="L18" s="106">
        <v>12.02</v>
      </c>
      <c r="M18" s="154">
        <v>6.34</v>
      </c>
      <c r="N18" s="106">
        <v>12.05</v>
      </c>
      <c r="O18" s="154">
        <v>5.74</v>
      </c>
      <c r="P18" s="106">
        <v>12.16</v>
      </c>
      <c r="Q18" s="154">
        <v>5.24</v>
      </c>
      <c r="R18" s="106">
        <v>12.03</v>
      </c>
      <c r="S18" s="154">
        <v>5.26</v>
      </c>
      <c r="T18" s="106">
        <v>11.96</v>
      </c>
      <c r="U18" s="154">
        <v>5.14</v>
      </c>
      <c r="V18" s="106">
        <v>11.87</v>
      </c>
      <c r="W18" s="154">
        <v>5.22</v>
      </c>
      <c r="X18" s="108" t="s">
        <v>782</v>
      </c>
      <c r="Y18" s="108" t="s">
        <v>782</v>
      </c>
      <c r="Z18" s="107">
        <v>12.11</v>
      </c>
      <c r="AA18" s="107">
        <v>5.34</v>
      </c>
      <c r="AB18" s="107">
        <v>12.05</v>
      </c>
      <c r="AC18" s="107">
        <v>5.56</v>
      </c>
    </row>
    <row r="19" spans="1:29" ht="16.149999999999999" customHeight="1">
      <c r="A19" s="104">
        <v>13</v>
      </c>
      <c r="B19" s="106">
        <v>1.1100000000000001</v>
      </c>
      <c r="C19" s="154">
        <v>7.21</v>
      </c>
      <c r="D19" s="106">
        <v>1.1100000000000001</v>
      </c>
      <c r="E19" s="106">
        <v>7.18</v>
      </c>
      <c r="F19" s="106">
        <v>12.04</v>
      </c>
      <c r="G19" s="154" t="s">
        <v>782</v>
      </c>
      <c r="H19" s="106">
        <v>11.24</v>
      </c>
      <c r="I19" s="106">
        <v>5.76</v>
      </c>
      <c r="J19" s="106">
        <v>12.02</v>
      </c>
      <c r="K19" s="154" t="s">
        <v>782</v>
      </c>
      <c r="L19" s="106">
        <v>11.99</v>
      </c>
      <c r="M19" s="154">
        <v>5.79</v>
      </c>
      <c r="N19" s="106">
        <v>11.96</v>
      </c>
      <c r="O19" s="154">
        <v>5.62</v>
      </c>
      <c r="P19" s="106">
        <v>12.05</v>
      </c>
      <c r="Q19" s="154">
        <v>5.21</v>
      </c>
      <c r="R19" s="106">
        <v>12.01</v>
      </c>
      <c r="S19" s="154">
        <v>5.2</v>
      </c>
      <c r="T19" s="106">
        <v>11.93</v>
      </c>
      <c r="U19" s="154">
        <v>5.15</v>
      </c>
      <c r="V19" s="106">
        <v>11.88</v>
      </c>
      <c r="W19" s="154">
        <v>5.21</v>
      </c>
      <c r="X19" s="108" t="s">
        <v>782</v>
      </c>
      <c r="Y19" s="108" t="s">
        <v>782</v>
      </c>
      <c r="Z19" s="107">
        <v>12.12</v>
      </c>
      <c r="AA19" s="107">
        <v>5.3</v>
      </c>
      <c r="AB19" s="107">
        <v>12.01</v>
      </c>
      <c r="AC19" s="107">
        <v>5.36</v>
      </c>
    </row>
    <row r="20" spans="1:29" ht="16.149999999999999" customHeight="1">
      <c r="A20" s="104">
        <v>14</v>
      </c>
      <c r="B20" s="106">
        <v>1.1299999999999999</v>
      </c>
      <c r="C20" s="154">
        <v>7.32</v>
      </c>
      <c r="D20" s="106">
        <v>1.1100000000000001</v>
      </c>
      <c r="E20" s="106">
        <v>7.29</v>
      </c>
      <c r="F20" s="106">
        <v>12</v>
      </c>
      <c r="G20" s="154" t="s">
        <v>782</v>
      </c>
      <c r="H20" s="106">
        <v>11.22</v>
      </c>
      <c r="I20" s="106">
        <v>6.39</v>
      </c>
      <c r="J20" s="106">
        <v>12.01</v>
      </c>
      <c r="K20" s="154" t="s">
        <v>782</v>
      </c>
      <c r="L20" s="106">
        <v>11.9</v>
      </c>
      <c r="M20" s="154">
        <v>5.87</v>
      </c>
      <c r="N20" s="106">
        <v>11.93</v>
      </c>
      <c r="O20" s="154">
        <v>5.57</v>
      </c>
      <c r="P20" s="106">
        <v>11.79</v>
      </c>
      <c r="Q20" s="154">
        <v>5.33</v>
      </c>
      <c r="R20" s="106">
        <v>11.95</v>
      </c>
      <c r="S20" s="154">
        <v>5.23</v>
      </c>
      <c r="T20" s="106">
        <v>11.9</v>
      </c>
      <c r="U20" s="154">
        <v>5.18</v>
      </c>
      <c r="V20" s="106">
        <v>11.8</v>
      </c>
      <c r="W20" s="154">
        <v>5.22</v>
      </c>
      <c r="X20" s="108" t="s">
        <v>782</v>
      </c>
      <c r="Y20" s="108" t="s">
        <v>782</v>
      </c>
      <c r="Z20" s="107">
        <v>12.04</v>
      </c>
      <c r="AA20" s="107">
        <v>5.41</v>
      </c>
      <c r="AB20" s="107">
        <v>11.93</v>
      </c>
      <c r="AC20" s="107">
        <v>5.31</v>
      </c>
    </row>
    <row r="21" spans="1:29" ht="16.149999999999999" customHeight="1">
      <c r="A21" s="104">
        <v>15</v>
      </c>
      <c r="B21" s="106">
        <v>1.1100000000000001</v>
      </c>
      <c r="C21" s="154">
        <v>7.49</v>
      </c>
      <c r="D21" s="106">
        <v>1.1000000000000001</v>
      </c>
      <c r="E21" s="106">
        <v>7.41</v>
      </c>
      <c r="F21" s="106">
        <v>11.96</v>
      </c>
      <c r="G21" s="154" t="s">
        <v>782</v>
      </c>
      <c r="H21" s="106">
        <v>11.26</v>
      </c>
      <c r="I21" s="106">
        <v>6.49</v>
      </c>
      <c r="J21" s="106">
        <v>11.89</v>
      </c>
      <c r="K21" s="154" t="s">
        <v>782</v>
      </c>
      <c r="L21" s="106">
        <v>11.81</v>
      </c>
      <c r="M21" s="154">
        <v>5.94</v>
      </c>
      <c r="N21" s="106">
        <v>11.8</v>
      </c>
      <c r="O21" s="154">
        <v>5.7</v>
      </c>
      <c r="P21" s="106">
        <v>12.04</v>
      </c>
      <c r="Q21" s="154">
        <v>5.46</v>
      </c>
      <c r="R21" s="106">
        <v>11.95</v>
      </c>
      <c r="S21" s="154">
        <v>5.35</v>
      </c>
      <c r="T21" s="106">
        <v>11.89</v>
      </c>
      <c r="U21" s="154">
        <v>5.31</v>
      </c>
      <c r="V21" s="106">
        <v>11.84</v>
      </c>
      <c r="W21" s="154">
        <v>5.23</v>
      </c>
      <c r="X21" s="108" t="s">
        <v>782</v>
      </c>
      <c r="Y21" s="108" t="s">
        <v>782</v>
      </c>
      <c r="Z21" s="107">
        <v>12.31</v>
      </c>
      <c r="AA21" s="107">
        <v>5.73</v>
      </c>
      <c r="AB21" s="107">
        <v>12.01</v>
      </c>
      <c r="AC21" s="107">
        <v>5.77</v>
      </c>
    </row>
    <row r="22" spans="1:29" ht="16.149999999999999" customHeight="1">
      <c r="A22" s="104">
        <v>16</v>
      </c>
      <c r="B22" s="106">
        <v>1.1299999999999999</v>
      </c>
      <c r="C22" s="154">
        <v>7.53</v>
      </c>
      <c r="D22" s="106">
        <v>1.1200000000000001</v>
      </c>
      <c r="E22" s="106">
        <v>7.51</v>
      </c>
      <c r="F22" s="106">
        <v>11.86</v>
      </c>
      <c r="G22" s="154" t="s">
        <v>782</v>
      </c>
      <c r="H22" s="106">
        <v>11.09</v>
      </c>
      <c r="I22" s="106">
        <v>6.7</v>
      </c>
      <c r="J22" s="106">
        <v>12.03</v>
      </c>
      <c r="K22" s="154" t="s">
        <v>782</v>
      </c>
      <c r="L22" s="106">
        <v>12.15</v>
      </c>
      <c r="M22" s="154">
        <v>6.11</v>
      </c>
      <c r="N22" s="106">
        <v>12.06</v>
      </c>
      <c r="O22" s="154">
        <v>5.72</v>
      </c>
      <c r="P22" s="106">
        <v>12.04</v>
      </c>
      <c r="Q22" s="154">
        <v>5.14</v>
      </c>
      <c r="R22" s="106">
        <v>12.06</v>
      </c>
      <c r="S22" s="154">
        <v>5.22</v>
      </c>
      <c r="T22" s="106">
        <v>11.9</v>
      </c>
      <c r="U22" s="154">
        <v>5.26</v>
      </c>
      <c r="V22" s="106">
        <v>11.87</v>
      </c>
      <c r="W22" s="154">
        <v>5.43</v>
      </c>
      <c r="X22" s="108" t="s">
        <v>782</v>
      </c>
      <c r="Y22" s="108" t="s">
        <v>782</v>
      </c>
      <c r="Z22" s="107">
        <v>12.18</v>
      </c>
      <c r="AA22" s="107">
        <v>5.57</v>
      </c>
      <c r="AB22" s="107">
        <v>12</v>
      </c>
      <c r="AC22" s="107">
        <v>5.67</v>
      </c>
    </row>
    <row r="23" spans="1:29" ht="16.149999999999999" customHeight="1">
      <c r="A23" s="104">
        <v>17</v>
      </c>
      <c r="B23" s="106">
        <v>1.1499999999999999</v>
      </c>
      <c r="C23" s="154">
        <v>7.56</v>
      </c>
      <c r="D23" s="106">
        <v>1.1399999999999999</v>
      </c>
      <c r="E23" s="106">
        <v>7.56</v>
      </c>
      <c r="F23" s="106">
        <v>12</v>
      </c>
      <c r="G23" s="154" t="s">
        <v>782</v>
      </c>
      <c r="H23" s="106">
        <v>11.33</v>
      </c>
      <c r="I23" s="106">
        <v>6.52</v>
      </c>
      <c r="J23" s="106">
        <v>12.06</v>
      </c>
      <c r="K23" s="154" t="s">
        <v>782</v>
      </c>
      <c r="L23" s="106">
        <v>12.1</v>
      </c>
      <c r="M23" s="154">
        <v>6.14</v>
      </c>
      <c r="N23" s="106">
        <v>11.99</v>
      </c>
      <c r="O23" s="154">
        <v>5.7</v>
      </c>
      <c r="P23" s="106">
        <v>12.06</v>
      </c>
      <c r="Q23" s="154">
        <v>5.4</v>
      </c>
      <c r="R23" s="106">
        <v>12.07</v>
      </c>
      <c r="S23" s="154">
        <v>5.25</v>
      </c>
      <c r="T23" s="106">
        <v>11.95</v>
      </c>
      <c r="U23" s="154">
        <v>5.24</v>
      </c>
      <c r="V23" s="106">
        <v>11.86</v>
      </c>
      <c r="W23" s="154">
        <v>5.32</v>
      </c>
      <c r="X23" s="108" t="s">
        <v>782</v>
      </c>
      <c r="Y23" s="108" t="s">
        <v>782</v>
      </c>
      <c r="Z23" s="107">
        <v>12.05</v>
      </c>
      <c r="AA23" s="107">
        <v>5.27</v>
      </c>
      <c r="AB23" s="107">
        <v>11.94</v>
      </c>
      <c r="AC23" s="107">
        <v>5.35</v>
      </c>
    </row>
    <row r="24" spans="1:29" ht="16.149999999999999" customHeight="1">
      <c r="A24" s="104">
        <v>18</v>
      </c>
      <c r="B24" s="106">
        <v>1.1000000000000001</v>
      </c>
      <c r="C24" s="154">
        <v>7.61</v>
      </c>
      <c r="D24" s="106">
        <v>1.1100000000000001</v>
      </c>
      <c r="E24" s="106">
        <v>6.9</v>
      </c>
      <c r="F24" s="106">
        <v>11.8</v>
      </c>
      <c r="G24" s="154" t="s">
        <v>782</v>
      </c>
      <c r="H24" s="106">
        <v>10.86</v>
      </c>
      <c r="I24" s="106">
        <v>6.04</v>
      </c>
      <c r="J24" s="106">
        <v>12.03</v>
      </c>
      <c r="K24" s="154" t="s">
        <v>782</v>
      </c>
      <c r="L24" s="106">
        <v>12.09</v>
      </c>
      <c r="M24" s="154">
        <v>5.9</v>
      </c>
      <c r="N24" s="106">
        <v>11.93</v>
      </c>
      <c r="O24" s="154">
        <v>5.73</v>
      </c>
      <c r="P24" s="106">
        <v>11.99</v>
      </c>
      <c r="Q24" s="154">
        <v>5.47</v>
      </c>
      <c r="R24" s="106">
        <v>11.93</v>
      </c>
      <c r="S24" s="154">
        <v>5.25</v>
      </c>
      <c r="T24" s="106">
        <v>11.83</v>
      </c>
      <c r="U24" s="154">
        <v>5.34</v>
      </c>
      <c r="V24" s="106">
        <v>11.84</v>
      </c>
      <c r="W24" s="154">
        <v>5.29</v>
      </c>
      <c r="X24" s="108" t="s">
        <v>782</v>
      </c>
      <c r="Y24" s="108" t="s">
        <v>782</v>
      </c>
      <c r="Z24" s="107">
        <v>12.03</v>
      </c>
      <c r="AA24" s="107">
        <v>5.79</v>
      </c>
      <c r="AB24" s="107">
        <v>11.82</v>
      </c>
      <c r="AC24" s="107">
        <v>5.78</v>
      </c>
    </row>
    <row r="25" spans="1:29" ht="16.149999999999999" customHeight="1">
      <c r="A25" s="104">
        <v>19</v>
      </c>
      <c r="B25" s="106">
        <v>1.1200000000000001</v>
      </c>
      <c r="C25" s="154">
        <v>7.61</v>
      </c>
      <c r="D25" s="106">
        <v>1.1000000000000001</v>
      </c>
      <c r="E25" s="106">
        <v>7.46</v>
      </c>
      <c r="F25" s="106">
        <v>11.98</v>
      </c>
      <c r="G25" s="154" t="s">
        <v>782</v>
      </c>
      <c r="H25" s="106">
        <v>11.3</v>
      </c>
      <c r="I25" s="106">
        <v>6.72</v>
      </c>
      <c r="J25" s="106">
        <v>11.94</v>
      </c>
      <c r="K25" s="154" t="s">
        <v>782</v>
      </c>
      <c r="L25" s="106">
        <v>11.94</v>
      </c>
      <c r="M25" s="154">
        <v>6</v>
      </c>
      <c r="N25" s="106">
        <v>11.84</v>
      </c>
      <c r="O25" s="154">
        <v>5.82</v>
      </c>
      <c r="P25" s="106">
        <v>12.11</v>
      </c>
      <c r="Q25" s="154">
        <v>5.34</v>
      </c>
      <c r="R25" s="106">
        <v>12.11</v>
      </c>
      <c r="S25" s="154">
        <v>5.32</v>
      </c>
      <c r="T25" s="106">
        <v>12</v>
      </c>
      <c r="U25" s="154">
        <v>5.45</v>
      </c>
      <c r="V25" s="106">
        <v>11.96</v>
      </c>
      <c r="W25" s="154">
        <v>5.66</v>
      </c>
      <c r="X25" s="108" t="s">
        <v>782</v>
      </c>
      <c r="Y25" s="108" t="s">
        <v>782</v>
      </c>
      <c r="Z25" s="107">
        <v>12.28</v>
      </c>
      <c r="AA25" s="107">
        <v>5.92</v>
      </c>
      <c r="AB25" s="107">
        <v>12.07</v>
      </c>
      <c r="AC25" s="107">
        <v>6.01</v>
      </c>
    </row>
    <row r="26" spans="1:29" ht="16.149999999999999" customHeight="1">
      <c r="A26" s="104">
        <v>20</v>
      </c>
      <c r="B26" s="106">
        <v>1.1200000000000001</v>
      </c>
      <c r="C26" s="154">
        <v>7.64</v>
      </c>
      <c r="D26" s="106">
        <v>1.1100000000000001</v>
      </c>
      <c r="E26" s="106">
        <v>7.55</v>
      </c>
      <c r="F26" s="106">
        <v>11.97</v>
      </c>
      <c r="G26" s="154" t="s">
        <v>782</v>
      </c>
      <c r="H26" s="106">
        <v>11.3</v>
      </c>
      <c r="I26" s="106">
        <v>6.69</v>
      </c>
      <c r="J26" s="106">
        <v>11.92</v>
      </c>
      <c r="K26" s="154" t="s">
        <v>782</v>
      </c>
      <c r="L26" s="106">
        <v>11.93</v>
      </c>
      <c r="M26" s="154">
        <v>6.05</v>
      </c>
      <c r="N26" s="106">
        <v>11.87</v>
      </c>
      <c r="O26" s="154">
        <v>5.85</v>
      </c>
      <c r="P26" s="106">
        <v>12.18</v>
      </c>
      <c r="Q26" s="154">
        <v>5.35</v>
      </c>
      <c r="R26" s="106">
        <v>12.1</v>
      </c>
      <c r="S26" s="154">
        <v>5.31</v>
      </c>
      <c r="T26" s="106">
        <v>11.98</v>
      </c>
      <c r="U26" s="154">
        <v>5.48</v>
      </c>
      <c r="V26" s="106">
        <v>11.95</v>
      </c>
      <c r="W26" s="154">
        <v>5.68</v>
      </c>
      <c r="X26" s="108" t="s">
        <v>782</v>
      </c>
      <c r="Y26" s="108" t="s">
        <v>782</v>
      </c>
      <c r="Z26" s="107">
        <v>12.22</v>
      </c>
      <c r="AA26" s="107">
        <v>5.76</v>
      </c>
      <c r="AB26" s="107">
        <v>11.96</v>
      </c>
      <c r="AC26" s="107">
        <v>5.77</v>
      </c>
    </row>
    <row r="27" spans="1:29" ht="16.149999999999999" customHeight="1">
      <c r="A27" s="104">
        <v>21</v>
      </c>
      <c r="B27" s="106">
        <v>1.1200000000000001</v>
      </c>
      <c r="C27" s="154">
        <v>7.61</v>
      </c>
      <c r="D27" s="106">
        <v>1.1000000000000001</v>
      </c>
      <c r="E27" s="106">
        <v>7.56</v>
      </c>
      <c r="F27" s="106">
        <v>12.02</v>
      </c>
      <c r="G27" s="154" t="s">
        <v>782</v>
      </c>
      <c r="H27" s="106">
        <v>11.23</v>
      </c>
      <c r="I27" s="106">
        <v>6.56</v>
      </c>
      <c r="J27" s="106">
        <v>12.01</v>
      </c>
      <c r="K27" s="154" t="s">
        <v>782</v>
      </c>
      <c r="L27" s="106">
        <v>11.96</v>
      </c>
      <c r="M27" s="154">
        <v>5.93</v>
      </c>
      <c r="N27" s="106">
        <v>11.93</v>
      </c>
      <c r="O27" s="154">
        <v>5.82</v>
      </c>
      <c r="P27" s="106">
        <v>12.03</v>
      </c>
      <c r="Q27" s="154">
        <v>5.36</v>
      </c>
      <c r="R27" s="106">
        <v>11.99</v>
      </c>
      <c r="S27" s="154">
        <v>5.46</v>
      </c>
      <c r="T27" s="106">
        <v>11.94</v>
      </c>
      <c r="U27" s="154">
        <v>5.47</v>
      </c>
      <c r="V27" s="106">
        <v>11.85</v>
      </c>
      <c r="W27" s="154">
        <v>5.65</v>
      </c>
      <c r="X27" s="108" t="s">
        <v>782</v>
      </c>
      <c r="Y27" s="108" t="s">
        <v>782</v>
      </c>
      <c r="Z27" s="107">
        <v>12.18</v>
      </c>
      <c r="AA27" s="107">
        <v>5.53</v>
      </c>
      <c r="AB27" s="107">
        <v>11.92</v>
      </c>
      <c r="AC27" s="107">
        <v>5.53</v>
      </c>
    </row>
    <row r="28" spans="1:29" ht="16.149999999999999" customHeight="1">
      <c r="A28" s="104">
        <v>22</v>
      </c>
      <c r="B28" s="106">
        <v>1.1399999999999999</v>
      </c>
      <c r="C28" s="154">
        <v>7.6</v>
      </c>
      <c r="D28" s="106">
        <v>1.1299999999999999</v>
      </c>
      <c r="E28" s="106">
        <v>7.57</v>
      </c>
      <c r="F28" s="106">
        <v>12.2</v>
      </c>
      <c r="G28" s="154" t="s">
        <v>782</v>
      </c>
      <c r="H28" s="106">
        <v>11.21</v>
      </c>
      <c r="I28" s="106">
        <v>6.43</v>
      </c>
      <c r="J28" s="106">
        <v>12.04</v>
      </c>
      <c r="K28" s="154" t="s">
        <v>782</v>
      </c>
      <c r="L28" s="106">
        <v>12.06</v>
      </c>
      <c r="M28" s="154">
        <v>6.01</v>
      </c>
      <c r="N28" s="106">
        <v>12.01</v>
      </c>
      <c r="O28" s="154">
        <v>5.71</v>
      </c>
      <c r="P28" s="106">
        <v>12.05</v>
      </c>
      <c r="Q28" s="154">
        <v>5.25</v>
      </c>
      <c r="R28" s="106">
        <v>12.06</v>
      </c>
      <c r="S28" s="154">
        <v>5.3</v>
      </c>
      <c r="T28" s="106">
        <v>11.96</v>
      </c>
      <c r="U28" s="154">
        <v>5.32</v>
      </c>
      <c r="V28" s="106">
        <v>11.86</v>
      </c>
      <c r="W28" s="154">
        <v>5.45</v>
      </c>
      <c r="X28" s="108" t="s">
        <v>782</v>
      </c>
      <c r="Y28" s="108" t="s">
        <v>782</v>
      </c>
      <c r="Z28" s="107">
        <v>12.01</v>
      </c>
      <c r="AA28" s="107">
        <v>5.15</v>
      </c>
      <c r="AB28" s="107">
        <v>11.91</v>
      </c>
      <c r="AC28" s="107">
        <v>5.14</v>
      </c>
    </row>
    <row r="29" spans="1:29" ht="16.149999999999999" customHeight="1">
      <c r="A29" s="104">
        <v>23</v>
      </c>
      <c r="B29" s="106">
        <v>1.1100000000000001</v>
      </c>
      <c r="C29" s="154">
        <v>6.94</v>
      </c>
      <c r="D29" s="106">
        <v>1.1200000000000001</v>
      </c>
      <c r="E29" s="106">
        <v>6.7</v>
      </c>
      <c r="F29" s="106">
        <v>11.97</v>
      </c>
      <c r="G29" s="154" t="s">
        <v>782</v>
      </c>
      <c r="H29" s="106">
        <v>11.23</v>
      </c>
      <c r="I29" s="106">
        <v>5.95</v>
      </c>
      <c r="J29" s="106">
        <v>12.01</v>
      </c>
      <c r="K29" s="154" t="s">
        <v>782</v>
      </c>
      <c r="L29" s="106">
        <v>11.97</v>
      </c>
      <c r="M29" s="154">
        <v>6.17</v>
      </c>
      <c r="N29" s="106">
        <v>11.97</v>
      </c>
      <c r="O29" s="154">
        <v>5.66</v>
      </c>
      <c r="P29" s="106">
        <v>12.01</v>
      </c>
      <c r="Q29" s="154">
        <v>5.32</v>
      </c>
      <c r="R29" s="106">
        <v>11.94</v>
      </c>
      <c r="S29" s="154">
        <v>5.27</v>
      </c>
      <c r="T29" s="106">
        <v>11.84</v>
      </c>
      <c r="U29" s="154">
        <v>5.26</v>
      </c>
      <c r="V29" s="106">
        <v>11.8</v>
      </c>
      <c r="W29" s="154">
        <v>5.36</v>
      </c>
      <c r="X29" s="108" t="s">
        <v>782</v>
      </c>
      <c r="Y29" s="108" t="s">
        <v>782</v>
      </c>
      <c r="Z29" s="107">
        <v>12</v>
      </c>
      <c r="AA29" s="107">
        <v>5.44</v>
      </c>
      <c r="AB29" s="107">
        <v>11.88</v>
      </c>
      <c r="AC29" s="107">
        <v>5.52</v>
      </c>
    </row>
    <row r="30" spans="1:29" ht="16.149999999999999" customHeight="1">
      <c r="A30" s="104">
        <v>24</v>
      </c>
      <c r="B30" s="106">
        <v>1.1200000000000001</v>
      </c>
      <c r="C30" s="154">
        <v>7.2</v>
      </c>
      <c r="D30" s="106">
        <v>1.1200000000000001</v>
      </c>
      <c r="E30" s="106">
        <v>7.46</v>
      </c>
      <c r="F30" s="106">
        <v>12.14</v>
      </c>
      <c r="G30" s="154" t="s">
        <v>782</v>
      </c>
      <c r="H30" s="106">
        <v>11.35</v>
      </c>
      <c r="I30" s="106">
        <v>5.65</v>
      </c>
      <c r="J30" s="106">
        <v>11.98</v>
      </c>
      <c r="K30" s="154" t="s">
        <v>782</v>
      </c>
      <c r="L30" s="106">
        <v>11.91</v>
      </c>
      <c r="M30" s="154">
        <v>6.05</v>
      </c>
      <c r="N30" s="106">
        <v>11.84</v>
      </c>
      <c r="O30" s="154">
        <v>5.6</v>
      </c>
      <c r="P30" s="106">
        <v>12.12</v>
      </c>
      <c r="Q30" s="154">
        <v>5.3</v>
      </c>
      <c r="R30" s="106">
        <v>11.99</v>
      </c>
      <c r="S30" s="154">
        <v>5.26</v>
      </c>
      <c r="T30" s="106">
        <v>11.89</v>
      </c>
      <c r="U30" s="154">
        <v>5.2</v>
      </c>
      <c r="V30" s="106">
        <v>11.8</v>
      </c>
      <c r="W30" s="154">
        <v>5.31</v>
      </c>
      <c r="X30" s="108" t="s">
        <v>782</v>
      </c>
      <c r="Y30" s="108" t="s">
        <v>782</v>
      </c>
      <c r="Z30" s="107">
        <v>11.92</v>
      </c>
      <c r="AA30" s="107">
        <v>5.55</v>
      </c>
      <c r="AB30" s="107">
        <v>11.78</v>
      </c>
      <c r="AC30" s="107">
        <v>5.24</v>
      </c>
    </row>
    <row r="31" spans="1:29" ht="16.149999999999999" customHeight="1">
      <c r="A31" s="104">
        <v>25</v>
      </c>
      <c r="B31" s="106">
        <v>1.1000000000000001</v>
      </c>
      <c r="C31" s="154">
        <v>7.43</v>
      </c>
      <c r="D31" s="106">
        <v>1.0900000000000001</v>
      </c>
      <c r="E31" s="106">
        <v>7.09</v>
      </c>
      <c r="F31" s="106">
        <v>11.99</v>
      </c>
      <c r="G31" s="154" t="s">
        <v>782</v>
      </c>
      <c r="H31" s="106">
        <v>11.35</v>
      </c>
      <c r="I31" s="106">
        <v>5.67</v>
      </c>
      <c r="J31" s="106">
        <v>11.83</v>
      </c>
      <c r="K31" s="154" t="s">
        <v>782</v>
      </c>
      <c r="L31" s="106">
        <v>11.76</v>
      </c>
      <c r="M31" s="154">
        <v>5.67</v>
      </c>
      <c r="N31" s="106">
        <v>11.75</v>
      </c>
      <c r="O31" s="154">
        <v>5.46</v>
      </c>
      <c r="P31" s="106">
        <v>12.11</v>
      </c>
      <c r="Q31" s="154">
        <v>5.14</v>
      </c>
      <c r="R31" s="106">
        <v>11.99</v>
      </c>
      <c r="S31" s="154">
        <v>5.21</v>
      </c>
      <c r="T31" s="106">
        <v>11.86</v>
      </c>
      <c r="U31" s="154">
        <v>5.26</v>
      </c>
      <c r="V31" s="106">
        <v>11.83</v>
      </c>
      <c r="W31" s="154">
        <v>5.46</v>
      </c>
      <c r="X31" s="108" t="s">
        <v>782</v>
      </c>
      <c r="Y31" s="108" t="s">
        <v>782</v>
      </c>
      <c r="Z31" s="107">
        <v>12.3</v>
      </c>
      <c r="AA31" s="107">
        <v>5.7</v>
      </c>
      <c r="AB31" s="107">
        <v>12.08</v>
      </c>
      <c r="AC31" s="107">
        <v>6.14</v>
      </c>
    </row>
    <row r="32" spans="1:29" ht="16.149999999999999" customHeight="1">
      <c r="A32" s="104">
        <v>26</v>
      </c>
      <c r="B32" s="106">
        <v>1.1399999999999999</v>
      </c>
      <c r="C32" s="154">
        <v>7.54</v>
      </c>
      <c r="D32" s="106">
        <v>1.1200000000000001</v>
      </c>
      <c r="E32" s="106">
        <v>7.5</v>
      </c>
      <c r="F32" s="106">
        <v>11.92</v>
      </c>
      <c r="G32" s="154" t="s">
        <v>782</v>
      </c>
      <c r="H32" s="106">
        <v>11.26</v>
      </c>
      <c r="I32" s="106">
        <v>6.01</v>
      </c>
      <c r="J32" s="106">
        <v>11.99</v>
      </c>
      <c r="K32" s="154" t="s">
        <v>782</v>
      </c>
      <c r="L32" s="106">
        <v>11.96</v>
      </c>
      <c r="M32" s="154">
        <v>5.56</v>
      </c>
      <c r="N32" s="106">
        <v>11.95</v>
      </c>
      <c r="O32" s="154">
        <v>5.55</v>
      </c>
      <c r="P32" s="106">
        <v>11.91</v>
      </c>
      <c r="Q32" s="154">
        <v>5.26</v>
      </c>
      <c r="R32" s="106">
        <v>12</v>
      </c>
      <c r="S32" s="154">
        <v>5.3</v>
      </c>
      <c r="T32" s="106">
        <v>11.83</v>
      </c>
      <c r="U32" s="154">
        <v>5.45</v>
      </c>
      <c r="V32" s="106">
        <v>11.87</v>
      </c>
      <c r="W32" s="154">
        <v>5.67</v>
      </c>
      <c r="X32" s="108" t="s">
        <v>782</v>
      </c>
      <c r="Y32" s="108" t="s">
        <v>782</v>
      </c>
      <c r="Z32" s="107">
        <v>12.31</v>
      </c>
      <c r="AA32" s="107">
        <v>5.99</v>
      </c>
      <c r="AB32" s="107">
        <v>12</v>
      </c>
      <c r="AC32" s="107">
        <v>6.09</v>
      </c>
    </row>
    <row r="33" spans="1:29" ht="16.149999999999999" customHeight="1">
      <c r="A33" s="104">
        <v>27</v>
      </c>
      <c r="B33" s="106">
        <v>1.1299999999999999</v>
      </c>
      <c r="C33" s="154">
        <v>7.57</v>
      </c>
      <c r="D33" s="106">
        <v>1.1200000000000001</v>
      </c>
      <c r="E33" s="106">
        <v>7.56</v>
      </c>
      <c r="F33" s="106">
        <v>12.22</v>
      </c>
      <c r="G33" s="154" t="s">
        <v>782</v>
      </c>
      <c r="H33" s="106">
        <v>11.19</v>
      </c>
      <c r="I33" s="106">
        <v>6.2</v>
      </c>
      <c r="J33" s="106">
        <v>12.06</v>
      </c>
      <c r="K33" s="154" t="s">
        <v>782</v>
      </c>
      <c r="L33" s="106">
        <v>12.05</v>
      </c>
      <c r="M33" s="154">
        <v>5.72</v>
      </c>
      <c r="N33" s="106">
        <v>11.97</v>
      </c>
      <c r="O33" s="154">
        <v>5.77</v>
      </c>
      <c r="P33" s="106">
        <v>11.94</v>
      </c>
      <c r="Q33" s="154">
        <v>5.24</v>
      </c>
      <c r="R33" s="106">
        <v>12</v>
      </c>
      <c r="S33" s="154">
        <v>5.23</v>
      </c>
      <c r="T33" s="106">
        <v>11.86</v>
      </c>
      <c r="U33" s="154">
        <v>5.38</v>
      </c>
      <c r="V33" s="106">
        <v>11.82</v>
      </c>
      <c r="W33" s="154">
        <v>5.7</v>
      </c>
      <c r="X33" s="108" t="s">
        <v>782</v>
      </c>
      <c r="Y33" s="108" t="s">
        <v>782</v>
      </c>
      <c r="Z33" s="107">
        <v>12.01</v>
      </c>
      <c r="AA33" s="107">
        <v>5.86</v>
      </c>
      <c r="AB33" s="107">
        <v>11.89</v>
      </c>
      <c r="AC33" s="107">
        <v>5.71</v>
      </c>
    </row>
    <row r="34" spans="1:29" ht="16.149999999999999" customHeight="1">
      <c r="A34" s="104">
        <v>28</v>
      </c>
      <c r="B34" s="106">
        <v>1.1100000000000001</v>
      </c>
      <c r="C34" s="154">
        <v>7.03</v>
      </c>
      <c r="D34" s="106">
        <v>1.1200000000000001</v>
      </c>
      <c r="E34" s="106">
        <v>6.99</v>
      </c>
      <c r="F34" s="106">
        <v>12.13</v>
      </c>
      <c r="G34" s="154" t="s">
        <v>782</v>
      </c>
      <c r="H34" s="106">
        <v>11.18</v>
      </c>
      <c r="I34" s="106">
        <v>6.07</v>
      </c>
      <c r="J34" s="106">
        <v>12.04</v>
      </c>
      <c r="K34" s="154" t="s">
        <v>782</v>
      </c>
      <c r="L34" s="106">
        <v>11.98</v>
      </c>
      <c r="M34" s="154">
        <v>5.96</v>
      </c>
      <c r="N34" s="106">
        <v>11.91</v>
      </c>
      <c r="O34" s="154">
        <v>5.71</v>
      </c>
      <c r="P34" s="106">
        <v>11.93</v>
      </c>
      <c r="Q34" s="154">
        <v>5.23</v>
      </c>
      <c r="R34" s="106">
        <v>11.98</v>
      </c>
      <c r="S34" s="154">
        <v>5.24</v>
      </c>
      <c r="T34" s="106">
        <v>11.85</v>
      </c>
      <c r="U34" s="154">
        <v>5.35</v>
      </c>
      <c r="V34" s="106">
        <v>11.76</v>
      </c>
      <c r="W34" s="154">
        <v>5.61</v>
      </c>
      <c r="X34" s="108" t="s">
        <v>782</v>
      </c>
      <c r="Y34" s="108" t="s">
        <v>782</v>
      </c>
      <c r="Z34" s="107">
        <v>12.05</v>
      </c>
      <c r="AA34" s="107">
        <v>5.84</v>
      </c>
      <c r="AB34" s="107">
        <v>11.93</v>
      </c>
      <c r="AC34" s="107">
        <v>5.86</v>
      </c>
    </row>
    <row r="35" spans="1:29" ht="16.149999999999999" customHeight="1">
      <c r="A35" s="104">
        <v>29</v>
      </c>
      <c r="B35" s="106">
        <v>1.1299999999999999</v>
      </c>
      <c r="C35" s="154">
        <v>7.39</v>
      </c>
      <c r="D35" s="106">
        <v>1.1200000000000001</v>
      </c>
      <c r="E35" s="106">
        <v>7.48</v>
      </c>
      <c r="F35" s="106">
        <v>12.05</v>
      </c>
      <c r="G35" s="154" t="s">
        <v>782</v>
      </c>
      <c r="H35" s="106">
        <v>11.32</v>
      </c>
      <c r="I35" s="106">
        <v>5.67</v>
      </c>
      <c r="J35" s="106">
        <v>11.95</v>
      </c>
      <c r="K35" s="154" t="s">
        <v>782</v>
      </c>
      <c r="L35" s="106">
        <v>11.87</v>
      </c>
      <c r="M35" s="154">
        <v>5.91</v>
      </c>
      <c r="N35" s="106">
        <v>11.86</v>
      </c>
      <c r="O35" s="154">
        <v>5.6</v>
      </c>
      <c r="P35" s="106">
        <v>12.053000000000001</v>
      </c>
      <c r="Q35" s="154">
        <v>5.21</v>
      </c>
      <c r="R35" s="106">
        <v>12</v>
      </c>
      <c r="S35" s="154">
        <v>5.2</v>
      </c>
      <c r="T35" s="106">
        <v>11.88</v>
      </c>
      <c r="U35" s="154">
        <v>5.33</v>
      </c>
      <c r="V35" s="106">
        <v>11.74</v>
      </c>
      <c r="W35" s="154">
        <v>5.55</v>
      </c>
      <c r="X35" s="108" t="s">
        <v>782</v>
      </c>
      <c r="Y35" s="108" t="s">
        <v>782</v>
      </c>
      <c r="Z35" s="107">
        <v>11.98</v>
      </c>
      <c r="AA35" s="107">
        <v>5.66</v>
      </c>
      <c r="AB35" s="107">
        <v>11.85</v>
      </c>
      <c r="AC35" s="107">
        <v>5.61</v>
      </c>
    </row>
    <row r="36" spans="1:29" ht="16.149999999999999" customHeight="1">
      <c r="A36" s="104">
        <v>30</v>
      </c>
      <c r="B36" s="106">
        <v>1.1100000000000001</v>
      </c>
      <c r="C36" s="154">
        <v>7.51</v>
      </c>
      <c r="D36" s="106">
        <v>1.1000000000000001</v>
      </c>
      <c r="E36" s="106">
        <v>7.37</v>
      </c>
      <c r="F36" s="106">
        <v>11.96</v>
      </c>
      <c r="G36" s="154" t="s">
        <v>782</v>
      </c>
      <c r="H36" s="106">
        <v>11.34</v>
      </c>
      <c r="I36" s="106">
        <v>5.41</v>
      </c>
      <c r="J36" s="106">
        <v>11.89</v>
      </c>
      <c r="K36" s="154" t="s">
        <v>782</v>
      </c>
      <c r="L36" s="106">
        <v>11.83</v>
      </c>
      <c r="M36" s="154">
        <v>5.71</v>
      </c>
      <c r="N36" s="106">
        <v>11.82</v>
      </c>
      <c r="O36" s="154">
        <v>5.48</v>
      </c>
      <c r="P36" s="106">
        <v>12.02</v>
      </c>
      <c r="Q36" s="154">
        <v>5.0999999999999996</v>
      </c>
      <c r="R36" s="106">
        <v>12</v>
      </c>
      <c r="S36" s="154">
        <v>5.12</v>
      </c>
      <c r="T36" s="106">
        <v>11.89</v>
      </c>
      <c r="U36" s="154">
        <v>5.29</v>
      </c>
      <c r="V36" s="106">
        <v>11.83</v>
      </c>
      <c r="W36" s="154">
        <v>5.48</v>
      </c>
      <c r="X36" s="108" t="s">
        <v>782</v>
      </c>
      <c r="Y36" s="108" t="s">
        <v>782</v>
      </c>
      <c r="Z36" s="107">
        <v>12.17</v>
      </c>
      <c r="AA36" s="107">
        <v>5.48</v>
      </c>
      <c r="AB36" s="107">
        <v>12.04</v>
      </c>
      <c r="AC36" s="107">
        <v>5.49</v>
      </c>
    </row>
    <row r="37" spans="1:29" ht="16.149999999999999" customHeight="1">
      <c r="A37" s="104">
        <v>31</v>
      </c>
      <c r="B37" s="106">
        <v>1.1100000000000001</v>
      </c>
      <c r="C37" s="154">
        <v>7.46</v>
      </c>
      <c r="D37" s="106">
        <v>1.1000000000000001</v>
      </c>
      <c r="E37" s="106">
        <v>6.5</v>
      </c>
      <c r="F37" s="106">
        <v>11.94</v>
      </c>
      <c r="G37" s="154" t="s">
        <v>782</v>
      </c>
      <c r="H37" s="106">
        <v>11.06</v>
      </c>
      <c r="I37" s="106">
        <v>5.63</v>
      </c>
      <c r="J37" s="106">
        <v>11.99</v>
      </c>
      <c r="K37" s="154" t="s">
        <v>782</v>
      </c>
      <c r="L37" s="106">
        <v>11.97</v>
      </c>
      <c r="M37" s="154">
        <v>5.46</v>
      </c>
      <c r="N37" s="106">
        <v>11.83</v>
      </c>
      <c r="O37" s="154">
        <v>5.33</v>
      </c>
      <c r="P37" s="106">
        <v>11.96</v>
      </c>
      <c r="Q37" s="154">
        <v>5.54</v>
      </c>
      <c r="R37" s="106">
        <v>11.93</v>
      </c>
      <c r="S37" s="154">
        <v>5.35</v>
      </c>
      <c r="T37" s="106">
        <v>11.84</v>
      </c>
      <c r="U37" s="154">
        <v>5.28</v>
      </c>
      <c r="V37" s="125">
        <v>11.82</v>
      </c>
      <c r="W37" s="154">
        <v>5.43</v>
      </c>
      <c r="X37" s="108" t="s">
        <v>782</v>
      </c>
      <c r="Y37" s="108" t="s">
        <v>782</v>
      </c>
      <c r="Z37" s="107">
        <v>12.13</v>
      </c>
      <c r="AA37" s="107">
        <v>5.61</v>
      </c>
      <c r="AB37" s="107">
        <v>12.02</v>
      </c>
      <c r="AC37" s="107">
        <v>5.52</v>
      </c>
    </row>
    <row r="38" spans="1:29" ht="16.149999999999999" customHeight="1">
      <c r="A38" s="104">
        <v>32</v>
      </c>
      <c r="B38" s="106">
        <v>1.1299999999999999</v>
      </c>
      <c r="C38" s="154">
        <v>7.51</v>
      </c>
      <c r="D38" s="106">
        <v>1.1100000000000001</v>
      </c>
      <c r="E38" s="106">
        <v>7.25</v>
      </c>
      <c r="F38" s="106">
        <v>11.91</v>
      </c>
      <c r="G38" s="154" t="s">
        <v>782</v>
      </c>
      <c r="H38" s="106">
        <v>11.11</v>
      </c>
      <c r="I38" s="106">
        <v>5.73</v>
      </c>
      <c r="J38" s="106">
        <v>12.03</v>
      </c>
      <c r="K38" s="154" t="s">
        <v>782</v>
      </c>
      <c r="L38" s="106">
        <v>11.93</v>
      </c>
      <c r="M38" s="154">
        <v>5.64</v>
      </c>
      <c r="N38" s="106">
        <v>11.78</v>
      </c>
      <c r="O38" s="154">
        <v>5.57</v>
      </c>
      <c r="P38" s="106">
        <v>12.07</v>
      </c>
      <c r="Q38" s="154">
        <v>5.46</v>
      </c>
      <c r="R38" s="106">
        <v>11.97</v>
      </c>
      <c r="S38" s="154">
        <v>5.41</v>
      </c>
      <c r="T38" s="106">
        <v>11.85</v>
      </c>
      <c r="U38" s="154">
        <v>5.41</v>
      </c>
      <c r="V38" s="106">
        <v>11.75</v>
      </c>
      <c r="W38" s="154">
        <v>5.74</v>
      </c>
      <c r="X38" s="108" t="s">
        <v>782</v>
      </c>
      <c r="Y38" s="108" t="s">
        <v>782</v>
      </c>
      <c r="Z38" s="107">
        <v>12.06</v>
      </c>
      <c r="AA38" s="107">
        <v>5.68</v>
      </c>
      <c r="AB38" s="107">
        <v>11.85</v>
      </c>
      <c r="AC38" s="107">
        <v>5.95</v>
      </c>
    </row>
    <row r="39" spans="1:29" ht="16.149999999999999" customHeight="1">
      <c r="A39" s="104">
        <v>33</v>
      </c>
      <c r="B39" s="106">
        <v>1.1200000000000001</v>
      </c>
      <c r="C39" s="154">
        <v>7.53</v>
      </c>
      <c r="D39" s="106">
        <v>1.1000000000000001</v>
      </c>
      <c r="E39" s="106">
        <v>6.51</v>
      </c>
      <c r="F39" s="106">
        <v>12.01</v>
      </c>
      <c r="G39" s="154" t="s">
        <v>782</v>
      </c>
      <c r="H39" s="106">
        <v>11.32</v>
      </c>
      <c r="I39" s="106">
        <v>5.31</v>
      </c>
      <c r="J39" s="106">
        <v>12.01</v>
      </c>
      <c r="K39" s="154" t="s">
        <v>782</v>
      </c>
      <c r="L39" s="106">
        <v>11.91</v>
      </c>
      <c r="M39" s="154">
        <v>5.41</v>
      </c>
      <c r="N39" s="106">
        <v>11.89</v>
      </c>
      <c r="O39" s="154">
        <v>5.35</v>
      </c>
      <c r="P39" s="106">
        <v>12.3</v>
      </c>
      <c r="Q39" s="154">
        <v>5.16</v>
      </c>
      <c r="R39" s="106">
        <v>12.23</v>
      </c>
      <c r="S39" s="154">
        <v>5.21</v>
      </c>
      <c r="T39" s="106">
        <v>12.13</v>
      </c>
      <c r="U39" s="154">
        <v>5.31</v>
      </c>
      <c r="V39" s="106">
        <v>12.1</v>
      </c>
      <c r="W39" s="154">
        <v>5.34</v>
      </c>
      <c r="X39" s="108" t="s">
        <v>782</v>
      </c>
      <c r="Y39" s="108" t="s">
        <v>782</v>
      </c>
      <c r="Z39" s="107">
        <v>12.26</v>
      </c>
      <c r="AA39" s="107">
        <v>5.35</v>
      </c>
      <c r="AB39" s="107">
        <v>12.15</v>
      </c>
      <c r="AC39" s="107">
        <v>5.21</v>
      </c>
    </row>
    <row r="40" spans="1:29" ht="16.149999999999999" customHeight="1">
      <c r="A40" s="104">
        <v>34</v>
      </c>
      <c r="B40" s="106">
        <v>1.18</v>
      </c>
      <c r="C40" s="154">
        <v>7.56</v>
      </c>
      <c r="D40" s="106">
        <v>1.1100000000000001</v>
      </c>
      <c r="E40" s="106">
        <v>7.09</v>
      </c>
      <c r="F40" s="106">
        <v>11.55</v>
      </c>
      <c r="G40" s="154" t="s">
        <v>782</v>
      </c>
      <c r="H40" s="106">
        <v>10.84</v>
      </c>
      <c r="I40" s="106">
        <v>5.41</v>
      </c>
      <c r="J40" s="106">
        <v>11.9</v>
      </c>
      <c r="K40" s="154" t="s">
        <v>782</v>
      </c>
      <c r="L40" s="106">
        <v>11.84</v>
      </c>
      <c r="M40" s="154">
        <v>5.33</v>
      </c>
      <c r="N40" s="106">
        <v>11.86</v>
      </c>
      <c r="O40" s="154">
        <v>5.32</v>
      </c>
      <c r="P40" s="106">
        <v>12.1</v>
      </c>
      <c r="Q40" s="154">
        <v>5.01</v>
      </c>
      <c r="R40" s="106">
        <v>12.04</v>
      </c>
      <c r="S40" s="154">
        <v>5.14</v>
      </c>
      <c r="T40" s="106">
        <v>11.97</v>
      </c>
      <c r="U40" s="154">
        <v>5.22</v>
      </c>
      <c r="V40" s="106">
        <v>11.77</v>
      </c>
      <c r="W40" s="154">
        <v>5.32</v>
      </c>
      <c r="X40" s="108" t="s">
        <v>782</v>
      </c>
      <c r="Y40" s="108" t="s">
        <v>782</v>
      </c>
      <c r="Z40" s="107">
        <v>12.1</v>
      </c>
      <c r="AA40" s="107">
        <v>5.68</v>
      </c>
      <c r="AB40" s="107">
        <v>12.02</v>
      </c>
      <c r="AC40" s="107">
        <v>5.72</v>
      </c>
    </row>
    <row r="41" spans="1:29" ht="16.149999999999999" customHeight="1">
      <c r="A41" s="104">
        <v>35</v>
      </c>
      <c r="B41" s="106">
        <v>1.1100000000000001</v>
      </c>
      <c r="C41" s="154">
        <v>7.73</v>
      </c>
      <c r="D41" s="106">
        <v>1.1000000000000001</v>
      </c>
      <c r="E41" s="106">
        <v>7.41</v>
      </c>
      <c r="F41" s="106">
        <v>11.88</v>
      </c>
      <c r="G41" s="154" t="s">
        <v>782</v>
      </c>
      <c r="H41" s="106">
        <v>11.26</v>
      </c>
      <c r="I41" s="106">
        <v>5.64</v>
      </c>
      <c r="J41" s="106">
        <v>11.76</v>
      </c>
      <c r="K41" s="154" t="s">
        <v>782</v>
      </c>
      <c r="L41" s="106">
        <v>11.68</v>
      </c>
      <c r="M41" s="154">
        <v>5.72</v>
      </c>
      <c r="N41" s="106">
        <v>11.75</v>
      </c>
      <c r="O41" s="154">
        <v>5.6</v>
      </c>
      <c r="P41" s="106">
        <v>11.9</v>
      </c>
      <c r="Q41" s="154">
        <v>5.51</v>
      </c>
      <c r="R41" s="106">
        <v>11.97</v>
      </c>
      <c r="S41" s="154">
        <v>5.57</v>
      </c>
      <c r="T41" s="106">
        <v>11.91</v>
      </c>
      <c r="U41" s="154">
        <v>5.78</v>
      </c>
      <c r="V41" s="106">
        <v>11.81</v>
      </c>
      <c r="W41" s="154">
        <v>5.93</v>
      </c>
      <c r="X41" s="108" t="s">
        <v>782</v>
      </c>
      <c r="Y41" s="108" t="s">
        <v>782</v>
      </c>
      <c r="Z41" s="107">
        <v>12.33</v>
      </c>
      <c r="AA41" s="107">
        <v>5.76</v>
      </c>
      <c r="AB41" s="107">
        <v>12.16</v>
      </c>
      <c r="AC41" s="107">
        <v>6.42</v>
      </c>
    </row>
    <row r="42" spans="1:29" ht="16.149999999999999" customHeight="1">
      <c r="A42" s="104">
        <v>36</v>
      </c>
      <c r="B42" s="106">
        <v>1.1100000000000001</v>
      </c>
      <c r="C42" s="154">
        <v>7.38</v>
      </c>
      <c r="D42" s="106">
        <v>1.1000000000000001</v>
      </c>
      <c r="E42" s="106">
        <v>6.94</v>
      </c>
      <c r="F42" s="106">
        <v>11.95</v>
      </c>
      <c r="G42" s="154" t="s">
        <v>782</v>
      </c>
      <c r="H42" s="106">
        <v>11.17</v>
      </c>
      <c r="I42" s="106">
        <v>5.57</v>
      </c>
      <c r="J42" s="106">
        <v>12.09</v>
      </c>
      <c r="K42" s="154" t="s">
        <v>782</v>
      </c>
      <c r="L42" s="106">
        <v>11.97</v>
      </c>
      <c r="M42" s="154">
        <v>5.53</v>
      </c>
      <c r="N42" s="106">
        <v>11.94</v>
      </c>
      <c r="O42" s="154">
        <v>5.61</v>
      </c>
      <c r="P42" s="106">
        <v>12.03</v>
      </c>
      <c r="Q42" s="154">
        <v>5.19</v>
      </c>
      <c r="R42" s="106">
        <v>12.1</v>
      </c>
      <c r="S42" s="154">
        <v>5.34</v>
      </c>
      <c r="T42" s="106">
        <v>11.86</v>
      </c>
      <c r="U42" s="154">
        <v>5.58</v>
      </c>
      <c r="V42" s="106">
        <v>11.87</v>
      </c>
      <c r="W42" s="154">
        <v>5.66</v>
      </c>
      <c r="X42" s="108" t="s">
        <v>782</v>
      </c>
      <c r="Y42" s="108" t="s">
        <v>782</v>
      </c>
      <c r="Z42" s="107">
        <v>12.23</v>
      </c>
      <c r="AA42" s="107">
        <v>5.44</v>
      </c>
      <c r="AB42" s="107">
        <v>11.97</v>
      </c>
      <c r="AC42" s="107">
        <v>5.56</v>
      </c>
    </row>
    <row r="43" spans="1:29">
      <c r="A43" s="104">
        <v>37</v>
      </c>
      <c r="B43" s="106">
        <v>1.1299999999999999</v>
      </c>
      <c r="C43" s="154">
        <v>7.45</v>
      </c>
      <c r="D43" s="106">
        <v>1.1100000000000001</v>
      </c>
      <c r="E43" s="106">
        <v>7.31</v>
      </c>
      <c r="F43" s="106">
        <v>12.26</v>
      </c>
      <c r="G43" s="154" t="s">
        <v>782</v>
      </c>
      <c r="H43" s="106">
        <v>11.52</v>
      </c>
      <c r="I43" s="106">
        <v>5.96</v>
      </c>
      <c r="J43" s="106">
        <v>12.14</v>
      </c>
      <c r="K43" s="154" t="s">
        <v>782</v>
      </c>
      <c r="L43" s="106">
        <v>12.05</v>
      </c>
      <c r="M43" s="154">
        <v>5.52</v>
      </c>
      <c r="N43" s="106">
        <v>11.96</v>
      </c>
      <c r="O43" s="154">
        <v>5.51</v>
      </c>
      <c r="P43" s="106">
        <v>11.88</v>
      </c>
      <c r="Q43" s="154">
        <v>5.3</v>
      </c>
      <c r="R43" s="106">
        <v>12.06</v>
      </c>
      <c r="S43" s="154">
        <v>5.25</v>
      </c>
      <c r="T43" s="106">
        <v>11.89</v>
      </c>
      <c r="U43" s="154">
        <v>5.39</v>
      </c>
      <c r="V43" s="106">
        <v>11.83</v>
      </c>
      <c r="W43" s="154">
        <v>5.43</v>
      </c>
      <c r="X43" s="108" t="s">
        <v>782</v>
      </c>
      <c r="Y43" s="108" t="s">
        <v>782</v>
      </c>
      <c r="Z43" s="107">
        <v>12.12</v>
      </c>
      <c r="AA43" s="107">
        <v>5.38</v>
      </c>
      <c r="AB43" s="107">
        <v>11.94</v>
      </c>
      <c r="AC43" s="107">
        <v>5.35</v>
      </c>
    </row>
    <row r="44" spans="1:29">
      <c r="A44" s="104">
        <v>38</v>
      </c>
      <c r="B44" s="106">
        <v>1.1299999999999999</v>
      </c>
      <c r="C44" s="154">
        <v>7.59</v>
      </c>
      <c r="D44" s="106">
        <v>1.1100000000000001</v>
      </c>
      <c r="E44" s="106">
        <v>7.5</v>
      </c>
      <c r="F44" s="106">
        <v>11.83</v>
      </c>
      <c r="G44" s="154" t="s">
        <v>782</v>
      </c>
      <c r="H44" s="106">
        <v>11.18</v>
      </c>
      <c r="I44" s="106">
        <v>5.97</v>
      </c>
      <c r="J44" s="106">
        <v>12.08</v>
      </c>
      <c r="K44" s="154" t="s">
        <v>782</v>
      </c>
      <c r="L44" s="106">
        <v>12</v>
      </c>
      <c r="M44" s="154">
        <v>5.69</v>
      </c>
      <c r="N44" s="106">
        <v>11.91</v>
      </c>
      <c r="O44" s="154">
        <v>5.55</v>
      </c>
      <c r="P44" s="106">
        <v>11.66</v>
      </c>
      <c r="Q44" s="154">
        <v>5.24</v>
      </c>
      <c r="R44" s="106">
        <v>12.22</v>
      </c>
      <c r="S44" s="154">
        <v>5.21</v>
      </c>
      <c r="T44" s="106">
        <v>12.1</v>
      </c>
      <c r="U44" s="154">
        <v>5.28</v>
      </c>
      <c r="V44" s="106">
        <v>12.05</v>
      </c>
      <c r="W44" s="154">
        <v>5.29</v>
      </c>
      <c r="X44" s="108" t="s">
        <v>782</v>
      </c>
      <c r="Y44" s="108" t="s">
        <v>782</v>
      </c>
      <c r="Z44" s="107">
        <v>12.25</v>
      </c>
      <c r="AA44" s="107">
        <v>5.26</v>
      </c>
      <c r="AB44" s="107">
        <v>12.11</v>
      </c>
      <c r="AC44" s="107">
        <v>5.21</v>
      </c>
    </row>
    <row r="45" spans="1:29">
      <c r="A45" s="104">
        <v>39</v>
      </c>
      <c r="B45" s="106">
        <v>1.1000000000000001</v>
      </c>
      <c r="C45" s="154">
        <v>7.6</v>
      </c>
      <c r="D45" s="106">
        <v>1.0900000000000001</v>
      </c>
      <c r="E45" s="106">
        <v>7.53</v>
      </c>
      <c r="F45" s="106">
        <v>11.86</v>
      </c>
      <c r="G45" s="154" t="s">
        <v>782</v>
      </c>
      <c r="H45" s="106">
        <v>11.29</v>
      </c>
      <c r="I45" s="106">
        <v>5.71</v>
      </c>
      <c r="J45" s="106">
        <v>11.95</v>
      </c>
      <c r="K45" s="154" t="s">
        <v>782</v>
      </c>
      <c r="L45" s="106">
        <v>11.77</v>
      </c>
      <c r="M45" s="154">
        <v>5.66</v>
      </c>
      <c r="N45" s="106">
        <v>11.84</v>
      </c>
      <c r="O45" s="154">
        <v>5.43</v>
      </c>
      <c r="P45" s="106">
        <v>11.83</v>
      </c>
      <c r="Q45" s="154">
        <v>5.24</v>
      </c>
      <c r="R45" s="106">
        <v>12.08</v>
      </c>
      <c r="S45" s="154">
        <v>5.18</v>
      </c>
      <c r="T45" s="106">
        <v>12.05</v>
      </c>
      <c r="U45" s="154">
        <v>5.2</v>
      </c>
      <c r="V45" s="106">
        <v>11.92</v>
      </c>
      <c r="W45" s="154">
        <v>5.22</v>
      </c>
      <c r="X45" s="108" t="s">
        <v>782</v>
      </c>
      <c r="Y45" s="108" t="s">
        <v>782</v>
      </c>
      <c r="Z45" s="107">
        <v>12.07</v>
      </c>
      <c r="AA45" s="107">
        <v>5.12</v>
      </c>
      <c r="AB45" s="107">
        <v>12.01</v>
      </c>
      <c r="AC45" s="107">
        <v>5.07</v>
      </c>
    </row>
    <row r="46" spans="1:29">
      <c r="A46" s="104">
        <v>40</v>
      </c>
      <c r="B46" s="106">
        <v>1.1000000000000001</v>
      </c>
      <c r="C46" s="154">
        <v>7.18</v>
      </c>
      <c r="D46" s="106">
        <v>1.1000000000000001</v>
      </c>
      <c r="E46" s="106">
        <v>7.13</v>
      </c>
      <c r="F46" s="106">
        <v>12.14</v>
      </c>
      <c r="G46" s="154" t="s">
        <v>782</v>
      </c>
      <c r="H46" s="106">
        <v>11.44</v>
      </c>
      <c r="I46" s="106">
        <v>5.6</v>
      </c>
      <c r="J46" s="106">
        <v>11.85</v>
      </c>
      <c r="K46" s="154" t="s">
        <v>782</v>
      </c>
      <c r="L46" s="106">
        <v>11.76</v>
      </c>
      <c r="M46" s="154">
        <v>5.56</v>
      </c>
      <c r="N46" s="106">
        <v>11.84</v>
      </c>
      <c r="O46" s="154">
        <v>5.37</v>
      </c>
      <c r="P46" s="106">
        <v>12.03</v>
      </c>
      <c r="Q46" s="154">
        <v>5.54</v>
      </c>
      <c r="R46" s="106">
        <v>12.03</v>
      </c>
      <c r="S46" s="154">
        <v>5.34</v>
      </c>
      <c r="T46" s="106">
        <v>11.96</v>
      </c>
      <c r="U46" s="154">
        <v>5.22</v>
      </c>
      <c r="V46" s="106">
        <v>11.84</v>
      </c>
      <c r="W46" s="154">
        <v>5.27</v>
      </c>
      <c r="X46" s="108" t="s">
        <v>782</v>
      </c>
      <c r="Y46" s="108" t="s">
        <v>782</v>
      </c>
      <c r="Z46" s="107">
        <v>12.11</v>
      </c>
      <c r="AA46" s="107">
        <v>5.19</v>
      </c>
      <c r="AB46" s="107">
        <v>12.04</v>
      </c>
      <c r="AC46" s="107">
        <v>5.3</v>
      </c>
    </row>
    <row r="47" spans="1:29">
      <c r="A47" s="104">
        <v>41</v>
      </c>
      <c r="B47" s="106">
        <v>1.1100000000000001</v>
      </c>
      <c r="C47" s="154">
        <v>6.92</v>
      </c>
      <c r="D47" s="106">
        <v>1.1299999999999999</v>
      </c>
      <c r="E47" s="106">
        <v>6.59</v>
      </c>
      <c r="F47" s="106">
        <v>12.03</v>
      </c>
      <c r="G47" s="154" t="s">
        <v>782</v>
      </c>
      <c r="H47" s="106">
        <v>11.59</v>
      </c>
      <c r="I47" s="106">
        <v>5.71</v>
      </c>
      <c r="J47" s="106">
        <v>11.95</v>
      </c>
      <c r="K47" s="154" t="s">
        <v>782</v>
      </c>
      <c r="L47" s="106">
        <v>11.92</v>
      </c>
      <c r="M47" s="154">
        <v>5.43</v>
      </c>
      <c r="N47" s="106">
        <v>11.87</v>
      </c>
      <c r="O47" s="154">
        <v>5.56</v>
      </c>
      <c r="P47" s="106">
        <v>11.83</v>
      </c>
      <c r="Q47" s="154">
        <v>5.41</v>
      </c>
      <c r="R47" s="106">
        <v>11.96</v>
      </c>
      <c r="S47" s="154">
        <v>5.37</v>
      </c>
      <c r="T47" s="106">
        <v>11.81</v>
      </c>
      <c r="U47" s="154">
        <v>5.3</v>
      </c>
      <c r="V47" s="106">
        <v>11.83</v>
      </c>
      <c r="W47" s="154">
        <v>5.31</v>
      </c>
      <c r="X47" s="108" t="s">
        <v>782</v>
      </c>
      <c r="Y47" s="108" t="s">
        <v>782</v>
      </c>
      <c r="Z47" s="107">
        <v>12.11</v>
      </c>
      <c r="AA47" s="107">
        <v>5.34</v>
      </c>
      <c r="AB47" s="107">
        <v>11.94</v>
      </c>
      <c r="AC47" s="107">
        <v>5.46</v>
      </c>
    </row>
    <row r="48" spans="1:29">
      <c r="A48" s="104">
        <v>42</v>
      </c>
      <c r="B48" s="106">
        <v>1.1299999999999999</v>
      </c>
      <c r="C48" s="154">
        <v>6.96</v>
      </c>
      <c r="D48" s="106">
        <v>1.1200000000000001</v>
      </c>
      <c r="E48" s="106">
        <v>7.4</v>
      </c>
      <c r="F48" s="106">
        <v>11.94</v>
      </c>
      <c r="G48" s="154" t="s">
        <v>782</v>
      </c>
      <c r="H48" s="106">
        <v>11.26</v>
      </c>
      <c r="I48" s="106">
        <v>6.24</v>
      </c>
      <c r="J48" s="106">
        <v>11.97</v>
      </c>
      <c r="K48" s="154" t="s">
        <v>782</v>
      </c>
      <c r="L48" s="106">
        <v>11.92</v>
      </c>
      <c r="M48" s="154">
        <v>5.66</v>
      </c>
      <c r="N48" s="106">
        <v>11.79</v>
      </c>
      <c r="O48" s="154">
        <v>5.51</v>
      </c>
      <c r="P48" s="106">
        <v>11.91</v>
      </c>
      <c r="Q48" s="154">
        <v>5.2</v>
      </c>
      <c r="R48" s="106">
        <v>11.93</v>
      </c>
      <c r="S48" s="154">
        <v>5.24</v>
      </c>
      <c r="T48" s="106">
        <v>11.82</v>
      </c>
      <c r="U48" s="154">
        <v>5.24</v>
      </c>
      <c r="V48" s="106">
        <v>11.81</v>
      </c>
      <c r="W48" s="154">
        <v>5.25</v>
      </c>
      <c r="X48" s="108" t="s">
        <v>782</v>
      </c>
      <c r="Y48" s="108" t="s">
        <v>782</v>
      </c>
      <c r="Z48" s="107">
        <v>12.1</v>
      </c>
      <c r="AA48" s="107">
        <v>5.31</v>
      </c>
      <c r="AB48" s="107">
        <v>11.87</v>
      </c>
      <c r="AC48" s="107">
        <v>5.42</v>
      </c>
    </row>
    <row r="49" spans="1:29">
      <c r="A49" s="104">
        <v>43</v>
      </c>
      <c r="B49" s="106">
        <v>1.1100000000000001</v>
      </c>
      <c r="C49" s="154">
        <v>7.41</v>
      </c>
      <c r="D49" s="106">
        <v>1.0900000000000001</v>
      </c>
      <c r="E49" s="106">
        <v>7.48</v>
      </c>
      <c r="F49" s="106">
        <v>11.93</v>
      </c>
      <c r="G49" s="154" t="s">
        <v>782</v>
      </c>
      <c r="H49" s="106">
        <v>11.29</v>
      </c>
      <c r="I49" s="106">
        <v>5.51</v>
      </c>
      <c r="J49" s="106">
        <v>12.02</v>
      </c>
      <c r="K49" s="154" t="s">
        <v>782</v>
      </c>
      <c r="L49" s="106">
        <v>11.9</v>
      </c>
      <c r="M49" s="154">
        <v>5.63</v>
      </c>
      <c r="N49" s="106">
        <v>11.72</v>
      </c>
      <c r="O49" s="154">
        <v>5.36</v>
      </c>
      <c r="P49" s="106">
        <v>12.1</v>
      </c>
      <c r="Q49" s="154">
        <v>5.29</v>
      </c>
      <c r="R49" s="106">
        <v>11.88</v>
      </c>
      <c r="S49" s="154">
        <v>5.32</v>
      </c>
      <c r="T49" s="106">
        <v>11.81</v>
      </c>
      <c r="U49" s="154">
        <v>5.41</v>
      </c>
      <c r="V49" s="106">
        <v>11.79</v>
      </c>
      <c r="W49" s="154">
        <v>5.51</v>
      </c>
      <c r="X49" s="108" t="s">
        <v>782</v>
      </c>
      <c r="Y49" s="108" t="s">
        <v>782</v>
      </c>
      <c r="Z49" s="107">
        <v>12.21</v>
      </c>
      <c r="AA49" s="107">
        <v>5.7</v>
      </c>
      <c r="AB49" s="107">
        <v>11.83</v>
      </c>
      <c r="AC49" s="107">
        <v>6.03</v>
      </c>
    </row>
    <row r="50" spans="1:29">
      <c r="A50" s="104">
        <v>44</v>
      </c>
      <c r="B50" s="106">
        <v>1.1200000000000001</v>
      </c>
      <c r="C50" s="154">
        <v>7.49</v>
      </c>
      <c r="D50" s="106">
        <v>1.1100000000000001</v>
      </c>
      <c r="E50" s="106">
        <v>7.14</v>
      </c>
      <c r="F50" s="106">
        <v>11.98</v>
      </c>
      <c r="G50" s="154" t="s">
        <v>782</v>
      </c>
      <c r="H50" s="106">
        <v>11.4</v>
      </c>
      <c r="I50" s="106">
        <v>5.69</v>
      </c>
      <c r="J50" s="106">
        <v>11.92</v>
      </c>
      <c r="K50" s="154" t="s">
        <v>782</v>
      </c>
      <c r="L50" s="106">
        <v>11.89</v>
      </c>
      <c r="M50" s="154">
        <v>5.44</v>
      </c>
      <c r="N50" s="106">
        <v>11.8</v>
      </c>
      <c r="O50" s="154">
        <v>5.28</v>
      </c>
      <c r="P50" s="106">
        <v>11.89</v>
      </c>
      <c r="Q50" s="154">
        <v>5.1100000000000003</v>
      </c>
      <c r="R50" s="106">
        <v>12.01</v>
      </c>
      <c r="S50" s="154">
        <v>5.19</v>
      </c>
      <c r="T50" s="106">
        <v>11.93</v>
      </c>
      <c r="U50" s="154">
        <v>5.27</v>
      </c>
      <c r="V50" s="106">
        <v>11.89</v>
      </c>
      <c r="W50" s="154">
        <v>5.37</v>
      </c>
      <c r="X50" s="108" t="s">
        <v>782</v>
      </c>
      <c r="Y50" s="108" t="s">
        <v>782</v>
      </c>
      <c r="Z50" s="107">
        <v>12.05</v>
      </c>
      <c r="AA50" s="107">
        <v>5.2</v>
      </c>
      <c r="AB50" s="107">
        <v>11.97</v>
      </c>
      <c r="AC50" s="107">
        <v>5.14</v>
      </c>
    </row>
    <row r="51" spans="1:29">
      <c r="A51" s="104">
        <v>45</v>
      </c>
      <c r="B51" s="106">
        <v>1.1200000000000001</v>
      </c>
      <c r="C51" s="154">
        <v>6.83</v>
      </c>
      <c r="D51" s="106">
        <v>1.1100000000000001</v>
      </c>
      <c r="E51" s="106">
        <v>6.86</v>
      </c>
      <c r="F51" s="106">
        <v>11.87</v>
      </c>
      <c r="G51" s="154" t="s">
        <v>782</v>
      </c>
      <c r="H51" s="106">
        <v>11.44</v>
      </c>
      <c r="I51" s="106">
        <v>5.84</v>
      </c>
      <c r="J51" s="106">
        <v>11.8</v>
      </c>
      <c r="K51" s="154" t="s">
        <v>782</v>
      </c>
      <c r="L51" s="106">
        <v>11.75</v>
      </c>
      <c r="M51" s="154">
        <v>5.51</v>
      </c>
      <c r="N51" s="106">
        <v>11.76</v>
      </c>
      <c r="O51" s="154">
        <v>5.42</v>
      </c>
      <c r="P51" s="106">
        <v>12</v>
      </c>
      <c r="Q51" s="154">
        <v>5.3</v>
      </c>
      <c r="R51" s="106">
        <v>12</v>
      </c>
      <c r="S51" s="154">
        <v>5.28</v>
      </c>
      <c r="T51" s="106">
        <v>11.92</v>
      </c>
      <c r="U51" s="154">
        <v>5.26</v>
      </c>
      <c r="V51" s="106">
        <v>11.86</v>
      </c>
      <c r="W51" s="154">
        <v>5.29</v>
      </c>
      <c r="X51" s="108" t="s">
        <v>782</v>
      </c>
      <c r="Y51" s="108" t="s">
        <v>782</v>
      </c>
      <c r="Z51" s="107">
        <v>12.18</v>
      </c>
      <c r="AA51" s="107">
        <v>5.33</v>
      </c>
      <c r="AB51" s="107">
        <v>12.08</v>
      </c>
      <c r="AC51" s="107">
        <v>5.32</v>
      </c>
    </row>
    <row r="52" spans="1:29">
      <c r="A52" s="104">
        <v>46</v>
      </c>
      <c r="B52" s="106">
        <v>1.1200000000000001</v>
      </c>
      <c r="C52" s="154">
        <v>7.35</v>
      </c>
      <c r="D52" s="106">
        <v>1.1100000000000001</v>
      </c>
      <c r="E52" s="106">
        <v>7.18</v>
      </c>
      <c r="F52" s="106">
        <v>11.96</v>
      </c>
      <c r="G52" s="154" t="s">
        <v>782</v>
      </c>
      <c r="H52" s="106">
        <v>11.51</v>
      </c>
      <c r="I52" s="106">
        <v>5.81</v>
      </c>
      <c r="J52" s="106">
        <v>12</v>
      </c>
      <c r="K52" s="154" t="s">
        <v>782</v>
      </c>
      <c r="L52" s="106">
        <v>11.97</v>
      </c>
      <c r="M52" s="154">
        <v>5.57</v>
      </c>
      <c r="N52" s="106">
        <v>12.07</v>
      </c>
      <c r="O52" s="154">
        <v>5.59</v>
      </c>
      <c r="P52" s="106">
        <v>11.94</v>
      </c>
      <c r="Q52" s="154">
        <v>5.09</v>
      </c>
      <c r="R52" s="106">
        <v>12.05</v>
      </c>
      <c r="S52" s="154">
        <v>5.21</v>
      </c>
      <c r="T52" s="106">
        <v>11.85</v>
      </c>
      <c r="U52" s="154">
        <v>5.28</v>
      </c>
      <c r="V52" s="106">
        <v>11.86</v>
      </c>
      <c r="W52" s="154">
        <v>5.32</v>
      </c>
      <c r="X52" s="108" t="s">
        <v>782</v>
      </c>
      <c r="Y52" s="108" t="s">
        <v>782</v>
      </c>
      <c r="Z52" s="107">
        <v>12.17</v>
      </c>
      <c r="AA52" s="107">
        <v>5.65</v>
      </c>
      <c r="AB52" s="107">
        <v>11.88</v>
      </c>
      <c r="AC52" s="107">
        <v>5.55</v>
      </c>
    </row>
    <row r="53" spans="1:29">
      <c r="A53" s="104">
        <v>47</v>
      </c>
      <c r="B53" s="106">
        <v>1.1200000000000001</v>
      </c>
      <c r="C53" s="154">
        <v>7.49</v>
      </c>
      <c r="D53" s="106">
        <v>1.1100000000000001</v>
      </c>
      <c r="E53" s="106">
        <v>7.4</v>
      </c>
      <c r="F53" s="106">
        <v>11.95</v>
      </c>
      <c r="G53" s="154" t="s">
        <v>782</v>
      </c>
      <c r="H53" s="106">
        <v>11.21</v>
      </c>
      <c r="I53" s="106">
        <v>6.31</v>
      </c>
      <c r="J53" s="106">
        <v>12.05</v>
      </c>
      <c r="K53" s="154" t="s">
        <v>782</v>
      </c>
      <c r="L53" s="106">
        <v>12.01</v>
      </c>
      <c r="M53" s="154">
        <v>5.55</v>
      </c>
      <c r="N53" s="106">
        <v>12</v>
      </c>
      <c r="O53" s="154">
        <v>5.79</v>
      </c>
      <c r="P53" s="106">
        <v>11.96</v>
      </c>
      <c r="Q53" s="154">
        <v>5.41</v>
      </c>
      <c r="R53" s="106">
        <v>12.04</v>
      </c>
      <c r="S53" s="154">
        <v>5.21</v>
      </c>
      <c r="T53" s="106">
        <v>11.94</v>
      </c>
      <c r="U53" s="154">
        <v>5.24</v>
      </c>
      <c r="V53" s="106">
        <v>11.86</v>
      </c>
      <c r="W53" s="154">
        <v>5.22</v>
      </c>
      <c r="X53" s="108" t="s">
        <v>782</v>
      </c>
      <c r="Y53" s="108" t="s">
        <v>782</v>
      </c>
      <c r="Z53" s="107">
        <v>12.03</v>
      </c>
      <c r="AA53" s="107">
        <v>5.49</v>
      </c>
      <c r="AB53" s="107">
        <v>11.89</v>
      </c>
      <c r="AC53" s="107">
        <v>5.23</v>
      </c>
    </row>
    <row r="54" spans="1:29">
      <c r="A54" s="104">
        <v>48</v>
      </c>
      <c r="B54" s="106">
        <v>1.1200000000000001</v>
      </c>
      <c r="C54" s="154">
        <v>7.52</v>
      </c>
      <c r="D54" s="106">
        <v>1.1100000000000001</v>
      </c>
      <c r="E54" s="106">
        <v>7.49</v>
      </c>
      <c r="F54" s="106">
        <v>11.94</v>
      </c>
      <c r="G54" s="154" t="s">
        <v>782</v>
      </c>
      <c r="H54" s="106">
        <v>11.3</v>
      </c>
      <c r="I54" s="106">
        <v>5.78</v>
      </c>
      <c r="J54" s="106">
        <v>12.08</v>
      </c>
      <c r="K54" s="154" t="s">
        <v>782</v>
      </c>
      <c r="L54" s="106">
        <v>11.8</v>
      </c>
      <c r="M54" s="154">
        <v>5.76</v>
      </c>
      <c r="N54" s="106">
        <v>11.79</v>
      </c>
      <c r="O54" s="154">
        <v>5.69</v>
      </c>
      <c r="P54" s="106">
        <v>12.05</v>
      </c>
      <c r="Q54" s="154">
        <v>5.17</v>
      </c>
      <c r="R54" s="106">
        <v>11.94</v>
      </c>
      <c r="S54" s="154">
        <v>5.18</v>
      </c>
      <c r="T54" s="106">
        <v>11.82</v>
      </c>
      <c r="U54" s="154">
        <v>5.21</v>
      </c>
      <c r="V54" s="106">
        <v>11.87</v>
      </c>
      <c r="W54" s="154">
        <v>5.23</v>
      </c>
      <c r="X54" s="108" t="s">
        <v>782</v>
      </c>
      <c r="Y54" s="108" t="s">
        <v>782</v>
      </c>
      <c r="Z54" s="107">
        <v>12.19</v>
      </c>
      <c r="AA54" s="107">
        <v>5.43</v>
      </c>
      <c r="AB54" s="107">
        <v>11.77</v>
      </c>
      <c r="AC54" s="107">
        <v>5.57</v>
      </c>
    </row>
    <row r="55" spans="1:29">
      <c r="A55" s="104">
        <v>49</v>
      </c>
      <c r="B55" s="106">
        <v>1.1299999999999999</v>
      </c>
      <c r="C55" s="154">
        <v>7.54</v>
      </c>
      <c r="D55" s="106">
        <v>1.1100000000000001</v>
      </c>
      <c r="E55" s="106">
        <v>7.48</v>
      </c>
      <c r="F55" s="106">
        <v>12.23</v>
      </c>
      <c r="G55" s="154" t="s">
        <v>782</v>
      </c>
      <c r="H55" s="106">
        <v>11.73</v>
      </c>
      <c r="I55" s="106">
        <v>6.21</v>
      </c>
      <c r="J55" s="106">
        <v>12.03</v>
      </c>
      <c r="K55" s="154" t="s">
        <v>782</v>
      </c>
      <c r="L55" s="106">
        <v>11.98</v>
      </c>
      <c r="M55" s="154">
        <v>5.84</v>
      </c>
      <c r="N55" s="106">
        <v>11.86</v>
      </c>
      <c r="O55" s="154">
        <v>5.65</v>
      </c>
      <c r="P55" s="106">
        <v>11.93</v>
      </c>
      <c r="Q55" s="154">
        <v>5.14</v>
      </c>
      <c r="R55" s="106">
        <v>11.97</v>
      </c>
      <c r="S55" s="154">
        <v>5.12</v>
      </c>
      <c r="T55" s="106">
        <v>11.85</v>
      </c>
      <c r="U55" s="154">
        <v>5.2</v>
      </c>
      <c r="V55" s="106">
        <v>11.85</v>
      </c>
      <c r="W55" s="154">
        <v>5.3</v>
      </c>
      <c r="X55" s="108" t="s">
        <v>782</v>
      </c>
      <c r="Y55" s="108" t="s">
        <v>782</v>
      </c>
      <c r="Z55" s="107">
        <v>12.09</v>
      </c>
      <c r="AA55" s="107">
        <v>5.44</v>
      </c>
      <c r="AB55" s="107">
        <v>11.88</v>
      </c>
      <c r="AC55" s="107">
        <v>5.65</v>
      </c>
    </row>
    <row r="56" spans="1:29">
      <c r="A56" s="104">
        <v>50</v>
      </c>
      <c r="B56" s="106">
        <v>1.1100000000000001</v>
      </c>
      <c r="C56" s="154">
        <v>7.54</v>
      </c>
      <c r="D56" s="106">
        <v>1.1100000000000001</v>
      </c>
      <c r="E56" s="106">
        <v>7.04</v>
      </c>
      <c r="F56" s="106">
        <v>12.2</v>
      </c>
      <c r="G56" s="154" t="s">
        <v>782</v>
      </c>
      <c r="H56" s="106">
        <v>11.71</v>
      </c>
      <c r="I56" s="106">
        <v>6.15</v>
      </c>
      <c r="J56" s="106">
        <v>11.9</v>
      </c>
      <c r="K56" s="154" t="s">
        <v>782</v>
      </c>
      <c r="L56" s="106">
        <v>11.83</v>
      </c>
      <c r="M56" s="154">
        <v>6</v>
      </c>
      <c r="N56" s="106">
        <v>11.82</v>
      </c>
      <c r="O56" s="154">
        <v>5.84</v>
      </c>
      <c r="P56" s="106">
        <v>12</v>
      </c>
      <c r="Q56" s="154">
        <v>5.59</v>
      </c>
      <c r="R56" s="106">
        <v>11.99</v>
      </c>
      <c r="S56" s="154">
        <v>5.21</v>
      </c>
      <c r="T56" s="106">
        <v>11.89</v>
      </c>
      <c r="U56" s="154">
        <v>5.25</v>
      </c>
      <c r="V56" s="106">
        <v>11.81</v>
      </c>
      <c r="W56" s="154">
        <v>5.4</v>
      </c>
      <c r="X56" s="108" t="s">
        <v>782</v>
      </c>
      <c r="Y56" s="108" t="s">
        <v>782</v>
      </c>
      <c r="Z56" s="107">
        <v>12.12</v>
      </c>
      <c r="AA56" s="107">
        <v>5.55</v>
      </c>
      <c r="AB56" s="107">
        <v>11.98</v>
      </c>
      <c r="AC56" s="107">
        <v>5.81</v>
      </c>
    </row>
    <row r="57" spans="1:29">
      <c r="A57" s="104">
        <v>52</v>
      </c>
      <c r="B57" s="106">
        <v>1.1299999999999999</v>
      </c>
      <c r="C57" s="154">
        <v>7.38</v>
      </c>
      <c r="D57" s="106">
        <v>1.1100000000000001</v>
      </c>
      <c r="E57" s="106">
        <v>7.23</v>
      </c>
      <c r="F57" s="106">
        <v>11.73</v>
      </c>
      <c r="G57" s="154" t="s">
        <v>782</v>
      </c>
      <c r="H57" s="106">
        <v>11.06</v>
      </c>
      <c r="I57" s="106">
        <v>6.11</v>
      </c>
      <c r="J57" s="106">
        <v>11.99</v>
      </c>
      <c r="K57" s="154" t="s">
        <v>782</v>
      </c>
      <c r="L57" s="106">
        <v>11.97</v>
      </c>
      <c r="M57" s="154">
        <v>6.03</v>
      </c>
      <c r="N57" s="106">
        <v>11.91</v>
      </c>
      <c r="O57" s="154">
        <v>5.86</v>
      </c>
      <c r="P57" s="106">
        <v>11.91</v>
      </c>
      <c r="Q57" s="154">
        <v>5.23</v>
      </c>
      <c r="R57" s="106">
        <v>11.98</v>
      </c>
      <c r="S57" s="154">
        <v>5.25</v>
      </c>
      <c r="T57" s="106">
        <v>11.8</v>
      </c>
      <c r="U57" s="154">
        <v>5.31</v>
      </c>
      <c r="V57" s="106">
        <v>11.78</v>
      </c>
      <c r="W57" s="154">
        <v>5.46</v>
      </c>
      <c r="X57" s="108" t="s">
        <v>782</v>
      </c>
      <c r="Y57" s="108" t="s">
        <v>782</v>
      </c>
      <c r="Z57" s="107">
        <v>11.99</v>
      </c>
      <c r="AA57" s="107">
        <v>5.69</v>
      </c>
      <c r="AB57" s="107">
        <v>11.81</v>
      </c>
      <c r="AC57" s="107">
        <v>5.74</v>
      </c>
    </row>
    <row r="58" spans="1:29">
      <c r="A58" s="104">
        <v>53</v>
      </c>
      <c r="B58" s="106">
        <v>1.1399999999999999</v>
      </c>
      <c r="C58" s="154">
        <v>7.58</v>
      </c>
      <c r="D58" s="106">
        <v>1.1299999999999999</v>
      </c>
      <c r="E58" s="106">
        <v>7.48</v>
      </c>
      <c r="F58" s="106">
        <v>12.03</v>
      </c>
      <c r="G58" s="154" t="s">
        <v>782</v>
      </c>
      <c r="H58" s="106">
        <v>11.48</v>
      </c>
      <c r="I58" s="106">
        <v>5.81</v>
      </c>
      <c r="J58" s="106">
        <v>11.94</v>
      </c>
      <c r="K58" s="154" t="s">
        <v>782</v>
      </c>
      <c r="L58" s="106">
        <v>11.93</v>
      </c>
      <c r="M58" s="154">
        <v>5.97</v>
      </c>
      <c r="N58" s="106">
        <v>11.88</v>
      </c>
      <c r="O58" s="154">
        <v>5.83</v>
      </c>
      <c r="P58" s="106">
        <v>12</v>
      </c>
      <c r="Q58" s="154">
        <v>5.33</v>
      </c>
      <c r="R58" s="106">
        <v>11.97</v>
      </c>
      <c r="S58" s="154">
        <v>5.29</v>
      </c>
      <c r="T58" s="106">
        <v>11.82</v>
      </c>
      <c r="U58" s="154">
        <v>5.32</v>
      </c>
      <c r="V58" s="106">
        <v>11.8</v>
      </c>
      <c r="W58" s="154">
        <v>5.4</v>
      </c>
      <c r="X58" s="108" t="s">
        <v>782</v>
      </c>
      <c r="Y58" s="108" t="s">
        <v>782</v>
      </c>
      <c r="Z58" s="107">
        <v>12.03</v>
      </c>
      <c r="AA58" s="107">
        <v>5.67</v>
      </c>
      <c r="AB58" s="107">
        <v>11.8</v>
      </c>
      <c r="AC58" s="107">
        <v>5.69</v>
      </c>
    </row>
    <row r="59" spans="1:29">
      <c r="A59" s="104">
        <v>54</v>
      </c>
      <c r="B59" s="106">
        <v>1.1299999999999999</v>
      </c>
      <c r="C59" s="154">
        <v>7.64</v>
      </c>
      <c r="D59" s="106">
        <v>1.1200000000000001</v>
      </c>
      <c r="E59" s="106">
        <v>7.59</v>
      </c>
      <c r="F59" s="106">
        <v>12.32</v>
      </c>
      <c r="G59" s="154" t="s">
        <v>782</v>
      </c>
      <c r="H59" s="106">
        <v>11.71</v>
      </c>
      <c r="I59" s="106">
        <v>5.77</v>
      </c>
      <c r="J59" s="106">
        <v>11.84</v>
      </c>
      <c r="K59" s="154" t="s">
        <v>782</v>
      </c>
      <c r="L59" s="106">
        <v>11.84</v>
      </c>
      <c r="M59" s="154">
        <v>5.89</v>
      </c>
      <c r="N59" s="106">
        <v>11.84</v>
      </c>
      <c r="O59" s="154">
        <v>5.9</v>
      </c>
      <c r="P59" s="106">
        <v>12.08</v>
      </c>
      <c r="Q59" s="154">
        <v>5.23</v>
      </c>
      <c r="R59" s="106">
        <v>12.09</v>
      </c>
      <c r="S59" s="154">
        <v>5.38</v>
      </c>
      <c r="T59" s="106">
        <v>12</v>
      </c>
      <c r="U59" s="154">
        <v>5.42</v>
      </c>
      <c r="V59" s="106">
        <v>11.95</v>
      </c>
      <c r="W59" s="154">
        <v>5.57</v>
      </c>
      <c r="X59" s="108" t="s">
        <v>782</v>
      </c>
      <c r="Y59" s="108" t="s">
        <v>782</v>
      </c>
      <c r="Z59" s="107">
        <v>12.12</v>
      </c>
      <c r="AA59" s="107">
        <v>6</v>
      </c>
      <c r="AB59" s="107">
        <v>11.92</v>
      </c>
      <c r="AC59" s="107">
        <v>6.02</v>
      </c>
    </row>
    <row r="60" spans="1:29">
      <c r="A60" s="104">
        <v>55</v>
      </c>
      <c r="B60" s="106">
        <v>1.1200000000000001</v>
      </c>
      <c r="C60" s="154">
        <v>7.64</v>
      </c>
      <c r="D60" s="106">
        <v>1.1100000000000001</v>
      </c>
      <c r="E60" s="106">
        <v>7.6</v>
      </c>
      <c r="F60" s="106">
        <v>11.88</v>
      </c>
      <c r="G60" s="154" t="s">
        <v>782</v>
      </c>
      <c r="H60" s="106">
        <v>11.45</v>
      </c>
      <c r="I60" s="106">
        <v>5.74</v>
      </c>
      <c r="J60" s="106">
        <v>11.78</v>
      </c>
      <c r="K60" s="154" t="s">
        <v>782</v>
      </c>
      <c r="L60" s="106">
        <v>11.75</v>
      </c>
      <c r="M60" s="154">
        <v>5.65</v>
      </c>
      <c r="N60" s="106">
        <v>11.71</v>
      </c>
      <c r="O60" s="154">
        <v>5.66</v>
      </c>
      <c r="P60" s="106">
        <v>11.75</v>
      </c>
      <c r="Q60" s="154">
        <v>5.2</v>
      </c>
      <c r="R60" s="106">
        <v>12.08</v>
      </c>
      <c r="S60" s="154">
        <v>5.38</v>
      </c>
      <c r="T60" s="106">
        <v>11.98</v>
      </c>
      <c r="U60" s="154">
        <v>5.52</v>
      </c>
      <c r="V60" s="106">
        <v>11.96</v>
      </c>
      <c r="W60" s="154">
        <v>5.8</v>
      </c>
      <c r="X60" s="108" t="s">
        <v>782</v>
      </c>
      <c r="Y60" s="108" t="s">
        <v>782</v>
      </c>
      <c r="Z60" s="107">
        <v>12.31</v>
      </c>
      <c r="AA60" s="107">
        <v>6.08</v>
      </c>
      <c r="AB60" s="107">
        <v>12</v>
      </c>
      <c r="AC60" s="107">
        <v>6.11</v>
      </c>
    </row>
    <row r="61" spans="1:29">
      <c r="A61" s="104">
        <v>56</v>
      </c>
      <c r="B61" s="106">
        <v>1.1100000000000001</v>
      </c>
      <c r="C61" s="154">
        <v>7.25</v>
      </c>
      <c r="D61" s="106">
        <v>1.06</v>
      </c>
      <c r="E61" s="106">
        <v>5.81</v>
      </c>
      <c r="F61" s="106">
        <v>1.17</v>
      </c>
      <c r="G61" s="154" t="s">
        <v>782</v>
      </c>
      <c r="H61" s="106">
        <v>0.93300000000000005</v>
      </c>
      <c r="I61" s="106">
        <v>6.08</v>
      </c>
      <c r="J61" s="106">
        <v>0.9</v>
      </c>
      <c r="K61" s="154" t="s">
        <v>782</v>
      </c>
      <c r="L61" s="106">
        <v>0.52</v>
      </c>
      <c r="M61" s="154">
        <v>6.32</v>
      </c>
      <c r="N61" s="106">
        <v>0.45</v>
      </c>
      <c r="O61" s="154">
        <v>7.21</v>
      </c>
      <c r="P61" s="106">
        <v>0.57999999999999996</v>
      </c>
      <c r="Q61" s="154">
        <v>7.08</v>
      </c>
      <c r="R61" s="106">
        <v>0.37</v>
      </c>
      <c r="S61" s="154">
        <v>6.94</v>
      </c>
      <c r="T61" s="106">
        <v>0.96</v>
      </c>
      <c r="U61" s="154">
        <v>6.24</v>
      </c>
      <c r="V61" s="106">
        <v>0.88</v>
      </c>
      <c r="W61" s="154">
        <v>6.2</v>
      </c>
      <c r="X61" s="107">
        <v>0.83</v>
      </c>
      <c r="Y61" s="107">
        <v>6.58</v>
      </c>
      <c r="Z61" s="108" t="s">
        <v>782</v>
      </c>
      <c r="AA61" s="108" t="s">
        <v>782</v>
      </c>
      <c r="AB61" s="108" t="s">
        <v>782</v>
      </c>
      <c r="AC61" s="108" t="s">
        <v>782</v>
      </c>
    </row>
    <row r="62" spans="1:29">
      <c r="A62" s="104">
        <v>57</v>
      </c>
      <c r="B62" s="106">
        <v>1.1499999999999999</v>
      </c>
      <c r="C62" s="154">
        <v>7.08</v>
      </c>
      <c r="D62" s="106">
        <v>1.1000000000000001</v>
      </c>
      <c r="E62" s="106">
        <v>5.79</v>
      </c>
      <c r="F62" s="106">
        <v>1.21</v>
      </c>
      <c r="G62" s="154" t="s">
        <v>782</v>
      </c>
      <c r="H62" s="106">
        <v>0.98</v>
      </c>
      <c r="I62" s="106">
        <v>6.12</v>
      </c>
      <c r="J62" s="106">
        <v>0.97</v>
      </c>
      <c r="K62" s="154" t="s">
        <v>782</v>
      </c>
      <c r="L62" s="106">
        <v>0.62</v>
      </c>
      <c r="M62" s="154">
        <v>6.64</v>
      </c>
      <c r="N62" s="106">
        <v>0.46</v>
      </c>
      <c r="O62" s="154">
        <v>7.18</v>
      </c>
      <c r="P62" s="106">
        <v>0.74</v>
      </c>
      <c r="Q62" s="154">
        <v>6.94</v>
      </c>
      <c r="R62" s="106">
        <v>0.54</v>
      </c>
      <c r="S62" s="154">
        <v>6.95</v>
      </c>
      <c r="T62" s="106">
        <v>1.08</v>
      </c>
      <c r="U62" s="154">
        <v>6.26</v>
      </c>
      <c r="V62" s="106">
        <v>0.97</v>
      </c>
      <c r="W62" s="154">
        <v>6.15</v>
      </c>
      <c r="X62" s="107">
        <v>0.88</v>
      </c>
      <c r="Y62" s="107">
        <v>6.54</v>
      </c>
      <c r="Z62" s="108" t="s">
        <v>782</v>
      </c>
      <c r="AA62" s="108" t="s">
        <v>782</v>
      </c>
      <c r="AB62" s="108" t="s">
        <v>782</v>
      </c>
      <c r="AC62" s="108" t="s">
        <v>782</v>
      </c>
    </row>
    <row r="63" spans="1:29">
      <c r="A63" s="104">
        <v>58</v>
      </c>
      <c r="B63" s="106">
        <v>1.0900000000000001</v>
      </c>
      <c r="C63" s="154">
        <v>7.03</v>
      </c>
      <c r="D63" s="106">
        <v>1.06</v>
      </c>
      <c r="E63" s="106">
        <v>5.72</v>
      </c>
      <c r="F63" s="106">
        <v>1.1599999999999999</v>
      </c>
      <c r="G63" s="154" t="s">
        <v>782</v>
      </c>
      <c r="H63" s="106">
        <v>0.9</v>
      </c>
      <c r="I63" s="106">
        <v>6.18</v>
      </c>
      <c r="J63" s="106">
        <v>0.88</v>
      </c>
      <c r="K63" s="154" t="s">
        <v>782</v>
      </c>
      <c r="L63" s="106">
        <v>0.53</v>
      </c>
      <c r="M63" s="154">
        <v>6.75</v>
      </c>
      <c r="N63" s="106">
        <v>0.38</v>
      </c>
      <c r="O63" s="154">
        <v>7.12</v>
      </c>
      <c r="P63" s="106">
        <v>0.65</v>
      </c>
      <c r="Q63" s="154">
        <v>6.96</v>
      </c>
      <c r="R63" s="106">
        <v>0.44</v>
      </c>
      <c r="S63" s="154">
        <v>7.1</v>
      </c>
      <c r="T63" s="106">
        <v>1</v>
      </c>
      <c r="U63" s="154">
        <v>6.28</v>
      </c>
      <c r="V63" s="106">
        <v>0.89</v>
      </c>
      <c r="W63" s="154">
        <v>6.18</v>
      </c>
      <c r="X63" s="107">
        <v>0.8</v>
      </c>
      <c r="Y63" s="107">
        <v>6.53</v>
      </c>
      <c r="Z63" s="108" t="s">
        <v>782</v>
      </c>
      <c r="AA63" s="108" t="s">
        <v>782</v>
      </c>
      <c r="AB63" s="108" t="s">
        <v>782</v>
      </c>
      <c r="AC63" s="108" t="s">
        <v>782</v>
      </c>
    </row>
    <row r="64" spans="1:29">
      <c r="A64" s="104">
        <v>59</v>
      </c>
      <c r="B64" s="106">
        <v>1.1200000000000001</v>
      </c>
      <c r="C64" s="154">
        <v>6.95</v>
      </c>
      <c r="D64" s="106">
        <v>1.07</v>
      </c>
      <c r="E64" s="106">
        <v>5.69</v>
      </c>
      <c r="F64" s="106">
        <v>1.1599999999999999</v>
      </c>
      <c r="G64" s="154" t="s">
        <v>782</v>
      </c>
      <c r="H64" s="106">
        <v>0.93</v>
      </c>
      <c r="I64" s="106">
        <v>6.18</v>
      </c>
      <c r="J64" s="106">
        <v>0.92</v>
      </c>
      <c r="K64" s="154" t="s">
        <v>782</v>
      </c>
      <c r="L64" s="106">
        <v>0.55000000000000004</v>
      </c>
      <c r="M64" s="154">
        <v>6.75</v>
      </c>
      <c r="N64" s="106">
        <v>0.38</v>
      </c>
      <c r="O64" s="154">
        <v>7</v>
      </c>
      <c r="P64" s="106">
        <v>0.66</v>
      </c>
      <c r="Q64" s="154">
        <v>6.99</v>
      </c>
      <c r="R64" s="106">
        <v>0.47</v>
      </c>
      <c r="S64" s="154">
        <v>7.11</v>
      </c>
      <c r="T64" s="106">
        <v>0.99</v>
      </c>
      <c r="U64" s="154">
        <v>6.32</v>
      </c>
      <c r="V64" s="106">
        <v>0.88</v>
      </c>
      <c r="W64" s="154">
        <v>6.2</v>
      </c>
      <c r="X64" s="107">
        <v>0.8</v>
      </c>
      <c r="Y64" s="107">
        <v>6.54</v>
      </c>
      <c r="Z64" s="108" t="s">
        <v>782</v>
      </c>
      <c r="AA64" s="108" t="s">
        <v>782</v>
      </c>
      <c r="AB64" s="108" t="s">
        <v>782</v>
      </c>
      <c r="AC64" s="108" t="s">
        <v>782</v>
      </c>
    </row>
    <row r="65" spans="1:29">
      <c r="A65" s="104">
        <v>60</v>
      </c>
      <c r="B65" s="106">
        <v>1.0900000000000001</v>
      </c>
      <c r="C65" s="154">
        <v>6.92</v>
      </c>
      <c r="D65" s="106">
        <v>1.06</v>
      </c>
      <c r="E65" s="106">
        <v>5.66</v>
      </c>
      <c r="F65" s="106">
        <v>1.18</v>
      </c>
      <c r="G65" s="154" t="s">
        <v>782</v>
      </c>
      <c r="H65" s="106">
        <v>0.93</v>
      </c>
      <c r="I65" s="106">
        <v>6.22</v>
      </c>
      <c r="J65" s="106">
        <v>0.9</v>
      </c>
      <c r="K65" s="154" t="s">
        <v>782</v>
      </c>
      <c r="L65" s="106">
        <v>0.54</v>
      </c>
      <c r="M65" s="154">
        <v>6.71</v>
      </c>
      <c r="N65" s="106">
        <v>0.37</v>
      </c>
      <c r="O65" s="154">
        <v>6.87</v>
      </c>
      <c r="P65" s="106">
        <v>0.66</v>
      </c>
      <c r="Q65" s="154">
        <v>7.02</v>
      </c>
      <c r="R65" s="106">
        <v>0.46</v>
      </c>
      <c r="S65" s="154">
        <v>7.16</v>
      </c>
      <c r="T65" s="106">
        <v>0.99</v>
      </c>
      <c r="U65" s="154">
        <v>6.32</v>
      </c>
      <c r="V65" s="106">
        <v>0.86</v>
      </c>
      <c r="W65" s="154">
        <v>6.2</v>
      </c>
      <c r="X65" s="107">
        <v>0.75</v>
      </c>
      <c r="Y65" s="107">
        <v>6.55</v>
      </c>
      <c r="Z65" s="108" t="s">
        <v>782</v>
      </c>
      <c r="AA65" s="108" t="s">
        <v>782</v>
      </c>
      <c r="AB65" s="108" t="s">
        <v>782</v>
      </c>
      <c r="AC65" s="108" t="s">
        <v>782</v>
      </c>
    </row>
    <row r="66" spans="1:29">
      <c r="A66" s="104">
        <v>61</v>
      </c>
      <c r="B66" s="106">
        <v>1.1000000000000001</v>
      </c>
      <c r="C66" s="154">
        <v>6.94</v>
      </c>
      <c r="D66" s="106">
        <v>1.05</v>
      </c>
      <c r="E66" s="106">
        <v>5.57</v>
      </c>
      <c r="F66" s="106">
        <v>1.18</v>
      </c>
      <c r="G66" s="154" t="s">
        <v>782</v>
      </c>
      <c r="H66" s="106">
        <v>0.92</v>
      </c>
      <c r="I66" s="106">
        <v>6.33</v>
      </c>
      <c r="J66" s="106">
        <v>0.89</v>
      </c>
      <c r="K66" s="154" t="s">
        <v>782</v>
      </c>
      <c r="L66" s="106">
        <v>0.53</v>
      </c>
      <c r="M66" s="154">
        <v>6.71</v>
      </c>
      <c r="N66" s="106">
        <v>0.36</v>
      </c>
      <c r="O66" s="154">
        <v>6.76</v>
      </c>
      <c r="P66" s="106">
        <v>0.69</v>
      </c>
      <c r="Q66" s="154">
        <v>7.04</v>
      </c>
      <c r="R66" s="106">
        <v>0.48</v>
      </c>
      <c r="S66" s="154">
        <v>7.2</v>
      </c>
      <c r="T66" s="106">
        <v>0.99</v>
      </c>
      <c r="U66" s="154">
        <v>6.26</v>
      </c>
      <c r="V66" s="106">
        <v>0.85</v>
      </c>
      <c r="W66" s="154">
        <v>6.21</v>
      </c>
      <c r="X66" s="107">
        <v>0.75</v>
      </c>
      <c r="Y66" s="107">
        <v>6.56</v>
      </c>
      <c r="Z66" s="108" t="s">
        <v>782</v>
      </c>
      <c r="AA66" s="108" t="s">
        <v>782</v>
      </c>
      <c r="AB66" s="108" t="s">
        <v>782</v>
      </c>
      <c r="AC66" s="108" t="s">
        <v>782</v>
      </c>
    </row>
    <row r="67" spans="1:29">
      <c r="F67" t="s">
        <v>982</v>
      </c>
    </row>
  </sheetData>
  <mergeCells count="16">
    <mergeCell ref="AB5:AC5"/>
    <mergeCell ref="B4:AC4"/>
    <mergeCell ref="Z5:AA5"/>
    <mergeCell ref="A4:A6"/>
    <mergeCell ref="B5:C5"/>
    <mergeCell ref="D5:E5"/>
    <mergeCell ref="F5:G5"/>
    <mergeCell ref="H5:I5"/>
    <mergeCell ref="X5:Y5"/>
    <mergeCell ref="R5:S5"/>
    <mergeCell ref="T5:U5"/>
    <mergeCell ref="V5:W5"/>
    <mergeCell ref="J5:K5"/>
    <mergeCell ref="L5:M5"/>
    <mergeCell ref="N5:O5"/>
    <mergeCell ref="P5:Q5"/>
  </mergeCells>
  <pageMargins left="0.23622047244094491" right="0.23622047244094491" top="0.74803149606299213" bottom="0.74803149606299213" header="0.31496062992125984" footer="0.31496062992125984"/>
  <pageSetup orientation="portrait" r:id="rId1"/>
  <headerFooter>
    <oddHeader>&amp;R&amp;"Calibri"&amp;10&amp;K000000 Unclassified / Non classifié&amp;1#_x000D_</oddHeader>
  </headerFooter>
  <rowBreaks count="1" manualBreakCount="1">
    <brk id="36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9756-640D-44FE-B61D-4544CB21C0B2}">
  <dimension ref="A1:Z134"/>
  <sheetViews>
    <sheetView zoomScale="90" zoomScaleNormal="90" workbookViewId="0">
      <selection activeCell="N60" sqref="N60"/>
    </sheetView>
  </sheetViews>
  <sheetFormatPr defaultRowHeight="14.5"/>
  <cols>
    <col min="1" max="1" width="8.54296875" style="102" customWidth="1"/>
    <col min="2" max="3" width="9.7265625" customWidth="1"/>
    <col min="4" max="4" width="11.26953125" bestFit="1" customWidth="1"/>
    <col min="5" max="17" width="9.7265625" customWidth="1"/>
  </cols>
  <sheetData>
    <row r="1" spans="1:26" ht="18.5">
      <c r="A1" s="42" t="s">
        <v>843</v>
      </c>
      <c r="R1" s="42" t="s">
        <v>843</v>
      </c>
    </row>
    <row r="2" spans="1:26">
      <c r="A2" s="102" t="s">
        <v>946</v>
      </c>
      <c r="R2" s="102" t="s">
        <v>947</v>
      </c>
    </row>
    <row r="3" spans="1:26">
      <c r="A3" s="235" t="s">
        <v>100</v>
      </c>
      <c r="B3" s="236" t="s">
        <v>822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102"/>
      <c r="R3" s="235" t="s">
        <v>100</v>
      </c>
      <c r="S3" s="236" t="s">
        <v>822</v>
      </c>
      <c r="T3" s="236"/>
      <c r="U3" s="236"/>
      <c r="V3" s="236"/>
      <c r="W3" s="236"/>
      <c r="X3" s="236"/>
      <c r="Y3" s="236"/>
      <c r="Z3" s="236"/>
    </row>
    <row r="4" spans="1:26">
      <c r="A4" s="235"/>
      <c r="B4" s="103">
        <v>45357</v>
      </c>
      <c r="C4" s="103">
        <v>45364</v>
      </c>
      <c r="D4" s="103" t="s">
        <v>989</v>
      </c>
      <c r="E4" s="103">
        <v>45378</v>
      </c>
      <c r="F4" s="103">
        <v>45385</v>
      </c>
      <c r="G4" s="103">
        <v>45392</v>
      </c>
      <c r="H4" s="179" t="s">
        <v>1047</v>
      </c>
      <c r="I4" s="103">
        <v>45406</v>
      </c>
      <c r="J4" s="103">
        <v>45413</v>
      </c>
      <c r="K4" s="103">
        <v>45420</v>
      </c>
      <c r="L4" s="103">
        <v>45427</v>
      </c>
      <c r="M4" s="103">
        <v>45434</v>
      </c>
      <c r="N4" s="103">
        <v>45441</v>
      </c>
      <c r="O4" s="103"/>
      <c r="P4" s="103"/>
      <c r="Q4" s="184"/>
      <c r="R4" s="235"/>
      <c r="S4" s="103">
        <v>45357</v>
      </c>
      <c r="T4" s="103">
        <v>45364</v>
      </c>
      <c r="U4" s="103">
        <v>45372</v>
      </c>
      <c r="V4" s="103">
        <v>45375</v>
      </c>
      <c r="W4" s="103">
        <v>45377</v>
      </c>
      <c r="X4" s="103">
        <v>45378</v>
      </c>
      <c r="Y4" s="103">
        <v>45380</v>
      </c>
      <c r="Z4" s="103">
        <v>45381</v>
      </c>
    </row>
    <row r="5" spans="1:26">
      <c r="A5" s="235"/>
      <c r="B5" s="104" t="s">
        <v>824</v>
      </c>
      <c r="C5" s="104" t="s">
        <v>824</v>
      </c>
      <c r="D5" s="104" t="s">
        <v>824</v>
      </c>
      <c r="E5" s="104" t="s">
        <v>824</v>
      </c>
      <c r="F5" s="104" t="s">
        <v>824</v>
      </c>
      <c r="G5" s="104" t="s">
        <v>824</v>
      </c>
      <c r="H5" s="104" t="s">
        <v>824</v>
      </c>
      <c r="I5" s="104" t="s">
        <v>824</v>
      </c>
      <c r="J5" s="104" t="s">
        <v>824</v>
      </c>
      <c r="K5" s="104" t="s">
        <v>824</v>
      </c>
      <c r="L5" s="104" t="s">
        <v>824</v>
      </c>
      <c r="M5" s="104" t="s">
        <v>824</v>
      </c>
      <c r="N5" s="104" t="s">
        <v>824</v>
      </c>
      <c r="O5" s="104" t="s">
        <v>824</v>
      </c>
      <c r="P5" s="104" t="s">
        <v>824</v>
      </c>
      <c r="Q5" s="113"/>
      <c r="R5" s="235"/>
      <c r="S5" s="104" t="s">
        <v>824</v>
      </c>
      <c r="T5" s="104" t="s">
        <v>824</v>
      </c>
      <c r="U5" s="104" t="s">
        <v>824</v>
      </c>
      <c r="V5" s="104" t="s">
        <v>824</v>
      </c>
      <c r="W5" s="104" t="s">
        <v>824</v>
      </c>
      <c r="X5" s="104" t="s">
        <v>824</v>
      </c>
      <c r="Y5" s="104" t="s">
        <v>824</v>
      </c>
      <c r="Z5" s="104" t="s">
        <v>824</v>
      </c>
    </row>
    <row r="6" spans="1:26" ht="16.149999999999999" customHeight="1">
      <c r="A6" s="105">
        <v>1</v>
      </c>
      <c r="B6" s="155">
        <v>40</v>
      </c>
      <c r="C6" s="155">
        <v>30</v>
      </c>
      <c r="D6" s="155">
        <v>40</v>
      </c>
      <c r="E6" s="155">
        <v>20</v>
      </c>
      <c r="F6" s="155">
        <v>30</v>
      </c>
      <c r="G6" s="155">
        <v>35</v>
      </c>
      <c r="H6" s="155">
        <v>60</v>
      </c>
      <c r="I6" s="155">
        <v>45</v>
      </c>
      <c r="J6" s="155">
        <v>55</v>
      </c>
      <c r="K6" s="155">
        <v>55</v>
      </c>
      <c r="L6" s="155">
        <v>65</v>
      </c>
      <c r="M6" s="155">
        <v>50</v>
      </c>
      <c r="N6" s="155">
        <v>45</v>
      </c>
      <c r="O6" s="155"/>
      <c r="P6" s="155"/>
      <c r="Q6" s="180"/>
      <c r="R6" s="105">
        <v>56</v>
      </c>
      <c r="S6" s="155">
        <v>70</v>
      </c>
      <c r="T6" s="155">
        <v>100</v>
      </c>
      <c r="U6" s="155">
        <v>170</v>
      </c>
      <c r="V6" s="155">
        <v>175</v>
      </c>
      <c r="W6" s="155">
        <v>70</v>
      </c>
      <c r="X6" s="155">
        <v>75</v>
      </c>
      <c r="Y6" s="155">
        <v>120</v>
      </c>
      <c r="Z6" s="155">
        <v>100</v>
      </c>
    </row>
    <row r="7" spans="1:26" ht="16.149999999999999" customHeight="1">
      <c r="A7" s="105">
        <v>2</v>
      </c>
      <c r="B7" s="155">
        <v>40</v>
      </c>
      <c r="C7" s="155">
        <v>30</v>
      </c>
      <c r="D7" s="155">
        <f>D6</f>
        <v>40</v>
      </c>
      <c r="E7" s="155">
        <v>20</v>
      </c>
      <c r="F7" s="155">
        <v>30</v>
      </c>
      <c r="G7" s="155">
        <v>35</v>
      </c>
      <c r="H7" s="155">
        <v>60</v>
      </c>
      <c r="I7" s="155">
        <v>40</v>
      </c>
      <c r="J7" s="155">
        <v>50</v>
      </c>
      <c r="K7" s="155">
        <v>50</v>
      </c>
      <c r="L7" s="155">
        <v>60</v>
      </c>
      <c r="M7" s="155">
        <v>50</v>
      </c>
      <c r="N7" s="155">
        <v>50</v>
      </c>
      <c r="O7" s="155"/>
      <c r="P7" s="155"/>
      <c r="Q7" s="180"/>
      <c r="R7" s="105">
        <v>57</v>
      </c>
      <c r="S7" s="155">
        <v>60</v>
      </c>
      <c r="T7" s="155">
        <v>100</v>
      </c>
      <c r="U7" s="155">
        <v>205</v>
      </c>
      <c r="V7" s="155">
        <v>175</v>
      </c>
      <c r="W7" s="155">
        <v>50</v>
      </c>
      <c r="X7" s="155">
        <v>70</v>
      </c>
      <c r="Y7" s="155">
        <v>120</v>
      </c>
      <c r="Z7" s="155">
        <v>90</v>
      </c>
    </row>
    <row r="8" spans="1:26" ht="16.149999999999999" customHeight="1">
      <c r="A8" s="105">
        <v>3</v>
      </c>
      <c r="B8" s="155">
        <v>45</v>
      </c>
      <c r="C8" s="155">
        <v>30</v>
      </c>
      <c r="D8" s="155">
        <f t="shared" ref="D8:D59" si="0">D7</f>
        <v>40</v>
      </c>
      <c r="E8" s="155">
        <v>15</v>
      </c>
      <c r="F8" s="155">
        <v>30</v>
      </c>
      <c r="G8" s="155">
        <v>35</v>
      </c>
      <c r="H8" s="155">
        <v>45</v>
      </c>
      <c r="I8" s="155">
        <v>30</v>
      </c>
      <c r="J8" s="155">
        <v>45</v>
      </c>
      <c r="K8" s="155">
        <v>35</v>
      </c>
      <c r="L8" s="155">
        <v>40</v>
      </c>
      <c r="M8" s="155">
        <v>35</v>
      </c>
      <c r="N8" s="155">
        <v>35</v>
      </c>
      <c r="O8" s="155"/>
      <c r="P8" s="155"/>
      <c r="Q8" s="180"/>
      <c r="R8" s="105">
        <v>58</v>
      </c>
      <c r="S8" s="155">
        <v>65</v>
      </c>
      <c r="T8" s="155">
        <v>95</v>
      </c>
      <c r="U8" s="155">
        <v>195</v>
      </c>
      <c r="V8" s="155">
        <v>175</v>
      </c>
      <c r="W8" s="155">
        <v>90</v>
      </c>
      <c r="X8" s="155">
        <v>70</v>
      </c>
      <c r="Y8" s="155">
        <v>130</v>
      </c>
      <c r="Z8" s="155">
        <v>75</v>
      </c>
    </row>
    <row r="9" spans="1:26" ht="16.149999999999999" customHeight="1">
      <c r="A9" s="105">
        <v>4</v>
      </c>
      <c r="B9" s="155">
        <v>40</v>
      </c>
      <c r="C9" s="155">
        <v>30</v>
      </c>
      <c r="D9" s="155">
        <f t="shared" si="0"/>
        <v>40</v>
      </c>
      <c r="E9" s="155">
        <v>20</v>
      </c>
      <c r="F9" s="155">
        <v>30</v>
      </c>
      <c r="G9" s="155">
        <v>30</v>
      </c>
      <c r="H9" s="155">
        <v>40</v>
      </c>
      <c r="I9" s="155">
        <v>15</v>
      </c>
      <c r="J9" s="155">
        <v>40</v>
      </c>
      <c r="K9" s="155">
        <v>35</v>
      </c>
      <c r="L9" s="155">
        <v>45</v>
      </c>
      <c r="M9" s="155">
        <v>35</v>
      </c>
      <c r="N9" s="155">
        <v>30</v>
      </c>
      <c r="O9" s="155"/>
      <c r="P9" s="155"/>
      <c r="Q9" s="180"/>
      <c r="R9" s="105">
        <v>59</v>
      </c>
      <c r="S9" s="155">
        <v>65</v>
      </c>
      <c r="T9" s="155">
        <v>105</v>
      </c>
      <c r="U9" s="155">
        <v>160</v>
      </c>
      <c r="V9" s="155">
        <v>175</v>
      </c>
      <c r="W9" s="155">
        <v>95</v>
      </c>
      <c r="X9" s="155">
        <v>55</v>
      </c>
      <c r="Y9" s="155">
        <v>120</v>
      </c>
      <c r="Z9" s="155">
        <v>90</v>
      </c>
    </row>
    <row r="10" spans="1:26" ht="16.149999999999999" customHeight="1">
      <c r="A10" s="105">
        <v>5</v>
      </c>
      <c r="B10" s="155">
        <v>40</v>
      </c>
      <c r="C10" s="155">
        <v>40</v>
      </c>
      <c r="D10" s="155">
        <f t="shared" si="0"/>
        <v>40</v>
      </c>
      <c r="E10" s="155">
        <v>20</v>
      </c>
      <c r="F10" s="155">
        <v>60</v>
      </c>
      <c r="G10" s="155">
        <v>65</v>
      </c>
      <c r="H10" s="155">
        <v>105</v>
      </c>
      <c r="I10" s="155">
        <v>60</v>
      </c>
      <c r="J10" s="155">
        <v>100</v>
      </c>
      <c r="K10" s="155">
        <v>75</v>
      </c>
      <c r="L10" s="155">
        <v>80</v>
      </c>
      <c r="M10" s="155">
        <v>70</v>
      </c>
      <c r="N10" s="155">
        <v>70</v>
      </c>
      <c r="O10" s="155"/>
      <c r="P10" s="155"/>
      <c r="Q10" s="180"/>
      <c r="R10" s="105">
        <v>60</v>
      </c>
      <c r="S10" s="155">
        <v>65</v>
      </c>
      <c r="T10" s="155">
        <v>100</v>
      </c>
      <c r="U10" s="155">
        <v>215</v>
      </c>
      <c r="V10" s="155">
        <v>175</v>
      </c>
      <c r="W10" s="155">
        <v>105</v>
      </c>
      <c r="X10" s="155">
        <v>65</v>
      </c>
      <c r="Y10" s="155">
        <v>130</v>
      </c>
      <c r="Z10" s="155">
        <v>85</v>
      </c>
    </row>
    <row r="11" spans="1:26" ht="16.149999999999999" customHeight="1">
      <c r="A11" s="105">
        <v>6</v>
      </c>
      <c r="B11" s="155">
        <v>35</v>
      </c>
      <c r="C11" s="155">
        <v>25</v>
      </c>
      <c r="D11" s="155">
        <f t="shared" si="0"/>
        <v>40</v>
      </c>
      <c r="E11" s="155">
        <v>10</v>
      </c>
      <c r="F11" s="155">
        <v>25</v>
      </c>
      <c r="G11" s="155">
        <v>25</v>
      </c>
      <c r="H11" s="155">
        <v>55</v>
      </c>
      <c r="I11" s="155">
        <v>30</v>
      </c>
      <c r="J11" s="155">
        <v>55</v>
      </c>
      <c r="K11" s="155">
        <v>50</v>
      </c>
      <c r="L11" s="155">
        <v>55</v>
      </c>
      <c r="M11" s="155">
        <v>55</v>
      </c>
      <c r="N11" s="155">
        <v>45</v>
      </c>
      <c r="O11" s="155"/>
      <c r="P11" s="155"/>
      <c r="Q11" s="180"/>
      <c r="R11" s="105">
        <v>61</v>
      </c>
      <c r="S11" s="155">
        <v>55</v>
      </c>
      <c r="T11" s="155">
        <v>110</v>
      </c>
      <c r="U11" s="155">
        <v>145</v>
      </c>
      <c r="V11" s="155">
        <v>175</v>
      </c>
      <c r="W11" s="155">
        <v>95</v>
      </c>
      <c r="X11" s="155">
        <v>60</v>
      </c>
      <c r="Y11" s="155">
        <v>120</v>
      </c>
      <c r="Z11" s="155">
        <v>65</v>
      </c>
    </row>
    <row r="12" spans="1:26" ht="16.149999999999999" customHeight="1">
      <c r="A12" s="105">
        <v>7</v>
      </c>
      <c r="B12" s="155">
        <v>40</v>
      </c>
      <c r="C12" s="155">
        <v>30</v>
      </c>
      <c r="D12" s="155">
        <f t="shared" si="0"/>
        <v>40</v>
      </c>
      <c r="E12" s="155">
        <v>20</v>
      </c>
      <c r="F12" s="155">
        <v>25</v>
      </c>
      <c r="G12" s="155">
        <v>30</v>
      </c>
      <c r="H12" s="155">
        <v>45</v>
      </c>
      <c r="I12" s="155">
        <v>25</v>
      </c>
      <c r="J12" s="155">
        <v>35</v>
      </c>
      <c r="K12" s="155">
        <v>40</v>
      </c>
      <c r="L12" s="155">
        <v>45</v>
      </c>
      <c r="M12" s="155">
        <v>40</v>
      </c>
      <c r="N12" s="155">
        <v>35</v>
      </c>
      <c r="O12" s="155"/>
      <c r="P12" s="155"/>
      <c r="Q12" s="180"/>
    </row>
    <row r="13" spans="1:26" ht="16.149999999999999" customHeight="1">
      <c r="A13" s="105">
        <v>8</v>
      </c>
      <c r="B13" s="155">
        <v>45</v>
      </c>
      <c r="C13" s="155">
        <v>30</v>
      </c>
      <c r="D13" s="155">
        <f t="shared" si="0"/>
        <v>40</v>
      </c>
      <c r="E13" s="155">
        <v>25</v>
      </c>
      <c r="F13" s="155">
        <v>25</v>
      </c>
      <c r="G13" s="155">
        <v>55</v>
      </c>
      <c r="H13" s="155">
        <v>90</v>
      </c>
      <c r="I13" s="155">
        <v>50</v>
      </c>
      <c r="J13" s="155">
        <v>90</v>
      </c>
      <c r="K13" s="155">
        <v>65</v>
      </c>
      <c r="L13" s="155">
        <v>60</v>
      </c>
      <c r="M13" s="155">
        <v>45</v>
      </c>
      <c r="N13" s="155">
        <v>40</v>
      </c>
      <c r="O13" s="155"/>
      <c r="P13" s="155"/>
      <c r="Q13" s="180"/>
      <c r="R13" s="235" t="s">
        <v>100</v>
      </c>
      <c r="S13" s="236" t="s">
        <v>822</v>
      </c>
      <c r="T13" s="236"/>
      <c r="U13" s="236"/>
      <c r="V13" s="236"/>
      <c r="W13" s="236"/>
      <c r="X13" s="236"/>
      <c r="Y13" s="236"/>
      <c r="Z13" s="236"/>
    </row>
    <row r="14" spans="1:26" ht="16.149999999999999" customHeight="1">
      <c r="A14" s="105">
        <v>9</v>
      </c>
      <c r="B14" s="155">
        <v>45</v>
      </c>
      <c r="C14" s="155">
        <v>25</v>
      </c>
      <c r="D14" s="155">
        <f t="shared" si="0"/>
        <v>40</v>
      </c>
      <c r="E14" s="155">
        <v>20</v>
      </c>
      <c r="F14" s="155">
        <v>35</v>
      </c>
      <c r="G14" s="155">
        <v>45</v>
      </c>
      <c r="H14" s="155">
        <v>65</v>
      </c>
      <c r="I14" s="155">
        <v>35</v>
      </c>
      <c r="J14" s="155">
        <v>55</v>
      </c>
      <c r="K14" s="155">
        <v>50</v>
      </c>
      <c r="L14" s="155">
        <v>60</v>
      </c>
      <c r="M14" s="155">
        <v>45</v>
      </c>
      <c r="N14" s="155">
        <v>35</v>
      </c>
      <c r="O14" s="155"/>
      <c r="P14" s="155"/>
      <c r="Q14" s="180"/>
      <c r="R14" s="235"/>
      <c r="S14" s="103">
        <v>45382</v>
      </c>
      <c r="T14" s="103">
        <v>45384</v>
      </c>
      <c r="U14" s="103">
        <v>45385</v>
      </c>
      <c r="V14" s="103">
        <v>45387</v>
      </c>
      <c r="W14" s="103">
        <v>45389</v>
      </c>
      <c r="X14" s="103">
        <v>45391</v>
      </c>
      <c r="Y14" s="103">
        <v>45393</v>
      </c>
      <c r="Z14" s="103">
        <v>45397</v>
      </c>
    </row>
    <row r="15" spans="1:26" ht="16.149999999999999" customHeight="1">
      <c r="A15" s="105">
        <v>10</v>
      </c>
      <c r="B15" s="155">
        <v>50</v>
      </c>
      <c r="C15" s="155">
        <v>35</v>
      </c>
      <c r="D15" s="155">
        <f t="shared" si="0"/>
        <v>40</v>
      </c>
      <c r="E15" s="155">
        <v>25</v>
      </c>
      <c r="F15" s="155">
        <v>35</v>
      </c>
      <c r="G15" s="155">
        <v>55</v>
      </c>
      <c r="H15" s="155">
        <v>75</v>
      </c>
      <c r="I15" s="155">
        <v>45</v>
      </c>
      <c r="J15" s="155">
        <v>60</v>
      </c>
      <c r="K15" s="155">
        <v>60</v>
      </c>
      <c r="L15" s="155">
        <v>60</v>
      </c>
      <c r="M15" s="155">
        <v>50</v>
      </c>
      <c r="N15" s="155">
        <v>45</v>
      </c>
      <c r="O15" s="155"/>
      <c r="P15" s="155"/>
      <c r="Q15" s="180"/>
      <c r="R15" s="235"/>
      <c r="S15" s="104" t="s">
        <v>824</v>
      </c>
      <c r="T15" s="104" t="s">
        <v>824</v>
      </c>
      <c r="U15" s="104" t="s">
        <v>824</v>
      </c>
      <c r="V15" s="104" t="s">
        <v>824</v>
      </c>
      <c r="W15" s="104" t="s">
        <v>824</v>
      </c>
      <c r="X15" s="104" t="s">
        <v>824</v>
      </c>
      <c r="Y15" s="104" t="s">
        <v>824</v>
      </c>
      <c r="Z15" s="104" t="s">
        <v>824</v>
      </c>
    </row>
    <row r="16" spans="1:26" ht="16.149999999999999" customHeight="1">
      <c r="A16" s="105">
        <v>11</v>
      </c>
      <c r="B16" s="155">
        <v>40</v>
      </c>
      <c r="C16" s="155">
        <v>30</v>
      </c>
      <c r="D16" s="155">
        <f t="shared" si="0"/>
        <v>40</v>
      </c>
      <c r="E16" s="155">
        <v>20</v>
      </c>
      <c r="F16" s="155">
        <v>30</v>
      </c>
      <c r="G16" s="155">
        <v>40</v>
      </c>
      <c r="H16" s="155">
        <v>55</v>
      </c>
      <c r="I16" s="155">
        <v>35</v>
      </c>
      <c r="J16" s="155">
        <v>40</v>
      </c>
      <c r="K16" s="155">
        <v>40</v>
      </c>
      <c r="L16" s="155">
        <v>50</v>
      </c>
      <c r="M16" s="155">
        <v>40</v>
      </c>
      <c r="N16" s="155">
        <v>30</v>
      </c>
      <c r="O16" s="155"/>
      <c r="P16" s="155"/>
      <c r="Q16" s="180"/>
      <c r="R16" s="105">
        <v>56</v>
      </c>
      <c r="S16" s="155">
        <v>80</v>
      </c>
      <c r="T16" s="155">
        <v>130</v>
      </c>
      <c r="U16" s="155">
        <v>105</v>
      </c>
      <c r="V16" s="155">
        <v>200</v>
      </c>
      <c r="W16" s="155">
        <v>85</v>
      </c>
      <c r="X16" s="155">
        <v>95</v>
      </c>
      <c r="Y16" s="155">
        <v>240</v>
      </c>
      <c r="Z16" s="155">
        <v>85</v>
      </c>
    </row>
    <row r="17" spans="1:26" ht="16.149999999999999" customHeight="1">
      <c r="A17" s="105">
        <v>12</v>
      </c>
      <c r="B17" s="155">
        <v>40</v>
      </c>
      <c r="C17" s="155">
        <v>25</v>
      </c>
      <c r="D17" s="155">
        <f t="shared" si="0"/>
        <v>40</v>
      </c>
      <c r="E17" s="155">
        <v>30</v>
      </c>
      <c r="F17" s="155">
        <v>30</v>
      </c>
      <c r="G17" s="155">
        <v>50</v>
      </c>
      <c r="H17" s="155">
        <v>65</v>
      </c>
      <c r="I17" s="155">
        <v>50</v>
      </c>
      <c r="J17" s="155">
        <v>70</v>
      </c>
      <c r="K17" s="155">
        <v>50</v>
      </c>
      <c r="L17" s="155">
        <v>55</v>
      </c>
      <c r="M17" s="155">
        <v>35</v>
      </c>
      <c r="N17" s="155">
        <v>35</v>
      </c>
      <c r="O17" s="155"/>
      <c r="P17" s="155"/>
      <c r="Q17" s="180"/>
      <c r="R17" s="105">
        <v>57</v>
      </c>
      <c r="S17" s="155">
        <v>60</v>
      </c>
      <c r="T17" s="155">
        <v>120</v>
      </c>
      <c r="U17" s="155">
        <v>75</v>
      </c>
      <c r="V17" s="155">
        <v>150</v>
      </c>
      <c r="W17" s="155">
        <v>65</v>
      </c>
      <c r="X17" s="155">
        <v>80</v>
      </c>
      <c r="Y17" s="155">
        <v>115</v>
      </c>
      <c r="Z17" s="155">
        <v>130</v>
      </c>
    </row>
    <row r="18" spans="1:26" ht="16.149999999999999" customHeight="1">
      <c r="A18" s="105">
        <v>13</v>
      </c>
      <c r="B18" s="155">
        <v>40</v>
      </c>
      <c r="C18" s="155">
        <v>25</v>
      </c>
      <c r="D18" s="155">
        <f t="shared" si="0"/>
        <v>40</v>
      </c>
      <c r="E18" s="155">
        <v>30</v>
      </c>
      <c r="F18" s="155">
        <v>50</v>
      </c>
      <c r="G18" s="155">
        <v>55</v>
      </c>
      <c r="H18" s="155">
        <v>65</v>
      </c>
      <c r="I18" s="155">
        <v>45</v>
      </c>
      <c r="J18" s="155">
        <v>65</v>
      </c>
      <c r="K18" s="155">
        <v>50</v>
      </c>
      <c r="L18" s="155">
        <v>55</v>
      </c>
      <c r="M18" s="155">
        <v>45</v>
      </c>
      <c r="N18" s="155">
        <v>35</v>
      </c>
      <c r="O18" s="155"/>
      <c r="P18" s="155"/>
      <c r="Q18" s="180"/>
      <c r="R18" s="105">
        <v>58</v>
      </c>
      <c r="S18" s="155">
        <v>60</v>
      </c>
      <c r="T18" s="155">
        <v>135</v>
      </c>
      <c r="U18" s="155">
        <v>80</v>
      </c>
      <c r="V18" s="155">
        <v>155</v>
      </c>
      <c r="W18" s="155">
        <v>85</v>
      </c>
      <c r="X18" s="155">
        <v>70</v>
      </c>
      <c r="Y18" s="155">
        <v>190</v>
      </c>
      <c r="Z18" s="155">
        <v>80</v>
      </c>
    </row>
    <row r="19" spans="1:26" ht="16.149999999999999" customHeight="1">
      <c r="A19" s="105">
        <v>14</v>
      </c>
      <c r="B19" s="155">
        <v>40</v>
      </c>
      <c r="C19" s="155">
        <v>25</v>
      </c>
      <c r="D19" s="155">
        <f t="shared" si="0"/>
        <v>40</v>
      </c>
      <c r="E19" s="155">
        <v>30</v>
      </c>
      <c r="F19" s="155">
        <v>50</v>
      </c>
      <c r="G19" s="155">
        <v>50</v>
      </c>
      <c r="H19" s="155">
        <v>70</v>
      </c>
      <c r="I19" s="155">
        <v>50</v>
      </c>
      <c r="J19" s="155">
        <v>70</v>
      </c>
      <c r="K19" s="155">
        <v>50</v>
      </c>
      <c r="L19" s="155">
        <v>60</v>
      </c>
      <c r="M19" s="155">
        <v>40</v>
      </c>
      <c r="N19" s="155">
        <v>25</v>
      </c>
      <c r="O19" s="155"/>
      <c r="P19" s="155"/>
      <c r="Q19" s="180"/>
      <c r="R19" s="105">
        <v>59</v>
      </c>
      <c r="S19" s="155">
        <v>60</v>
      </c>
      <c r="T19" s="155">
        <v>130</v>
      </c>
      <c r="U19" s="155">
        <v>75</v>
      </c>
      <c r="V19" s="155">
        <v>160</v>
      </c>
      <c r="W19" s="155">
        <v>70</v>
      </c>
      <c r="X19" s="155">
        <v>120</v>
      </c>
      <c r="Y19" s="155">
        <v>175</v>
      </c>
      <c r="Z19" s="155">
        <v>180</v>
      </c>
    </row>
    <row r="20" spans="1:26" ht="16.149999999999999" customHeight="1">
      <c r="A20" s="105">
        <v>15</v>
      </c>
      <c r="B20" s="155">
        <v>45</v>
      </c>
      <c r="C20" s="155">
        <v>30</v>
      </c>
      <c r="D20" s="155">
        <f t="shared" si="0"/>
        <v>40</v>
      </c>
      <c r="E20" s="175">
        <v>30</v>
      </c>
      <c r="F20" s="155">
        <v>45</v>
      </c>
      <c r="G20" s="155">
        <v>65</v>
      </c>
      <c r="H20" s="155">
        <v>85</v>
      </c>
      <c r="I20" s="155">
        <v>55</v>
      </c>
      <c r="J20" s="155">
        <v>75</v>
      </c>
      <c r="K20" s="155">
        <v>65</v>
      </c>
      <c r="L20" s="155">
        <v>70</v>
      </c>
      <c r="M20" s="155">
        <v>65</v>
      </c>
      <c r="N20" s="155">
        <v>45</v>
      </c>
      <c r="O20" s="155"/>
      <c r="P20" s="155"/>
      <c r="Q20" s="180"/>
      <c r="R20" s="105">
        <v>60</v>
      </c>
      <c r="S20" s="155">
        <v>60</v>
      </c>
      <c r="T20" s="155">
        <v>115</v>
      </c>
      <c r="U20" s="155">
        <v>95</v>
      </c>
      <c r="V20" s="155">
        <v>165</v>
      </c>
      <c r="W20" s="155">
        <v>85</v>
      </c>
      <c r="X20" s="155">
        <v>85</v>
      </c>
      <c r="Y20" s="155">
        <v>170</v>
      </c>
      <c r="Z20" s="155">
        <v>110</v>
      </c>
    </row>
    <row r="21" spans="1:26" ht="16.149999999999999" customHeight="1">
      <c r="A21" s="105">
        <v>16</v>
      </c>
      <c r="B21" s="155">
        <v>40</v>
      </c>
      <c r="C21" s="155">
        <v>30</v>
      </c>
      <c r="D21" s="155">
        <f t="shared" si="0"/>
        <v>40</v>
      </c>
      <c r="E21" s="155">
        <v>25</v>
      </c>
      <c r="F21" s="155">
        <v>50</v>
      </c>
      <c r="G21" s="155">
        <v>55</v>
      </c>
      <c r="H21" s="155">
        <v>85</v>
      </c>
      <c r="I21" s="155">
        <v>60</v>
      </c>
      <c r="J21" s="155">
        <v>75</v>
      </c>
      <c r="K21" s="155">
        <v>60</v>
      </c>
      <c r="L21" s="155">
        <v>60</v>
      </c>
      <c r="M21" s="155">
        <v>50</v>
      </c>
      <c r="N21" s="155">
        <v>35</v>
      </c>
      <c r="O21" s="155"/>
      <c r="P21" s="155"/>
      <c r="Q21" s="180"/>
      <c r="R21" s="105">
        <v>61</v>
      </c>
      <c r="S21" s="155">
        <v>60</v>
      </c>
      <c r="T21" s="155">
        <v>110</v>
      </c>
      <c r="U21" s="155">
        <v>60</v>
      </c>
      <c r="V21" s="155">
        <v>140</v>
      </c>
      <c r="W21" s="155">
        <v>80</v>
      </c>
      <c r="X21" s="155">
        <v>105</v>
      </c>
      <c r="Y21" s="155">
        <v>140</v>
      </c>
      <c r="Z21" s="155">
        <v>160</v>
      </c>
    </row>
    <row r="22" spans="1:26" ht="16.149999999999999" customHeight="1">
      <c r="A22" s="105">
        <v>17</v>
      </c>
      <c r="B22" s="155">
        <v>40</v>
      </c>
      <c r="C22" s="155">
        <v>30</v>
      </c>
      <c r="D22" s="155">
        <f t="shared" si="0"/>
        <v>40</v>
      </c>
      <c r="E22" s="155">
        <v>25</v>
      </c>
      <c r="F22" s="155">
        <v>45</v>
      </c>
      <c r="G22" s="155">
        <v>50</v>
      </c>
      <c r="H22" s="155">
        <v>65</v>
      </c>
      <c r="I22" s="155">
        <v>45</v>
      </c>
      <c r="J22" s="155">
        <v>55</v>
      </c>
      <c r="K22" s="155">
        <v>55</v>
      </c>
      <c r="L22" s="155">
        <v>50</v>
      </c>
      <c r="M22" s="155">
        <v>35</v>
      </c>
      <c r="N22" s="155">
        <v>25</v>
      </c>
      <c r="O22" s="155"/>
      <c r="P22" s="155"/>
      <c r="Q22" s="180"/>
    </row>
    <row r="23" spans="1:26" ht="16.149999999999999" customHeight="1">
      <c r="A23" s="105">
        <v>18</v>
      </c>
      <c r="B23" s="155">
        <v>40</v>
      </c>
      <c r="C23" s="155">
        <v>25</v>
      </c>
      <c r="D23" s="155">
        <f t="shared" si="0"/>
        <v>40</v>
      </c>
      <c r="E23" s="155">
        <v>30</v>
      </c>
      <c r="F23" s="155">
        <v>45</v>
      </c>
      <c r="G23" s="155">
        <v>65</v>
      </c>
      <c r="H23" s="155">
        <v>80</v>
      </c>
      <c r="I23" s="155">
        <v>60</v>
      </c>
      <c r="J23" s="155">
        <v>75</v>
      </c>
      <c r="K23" s="155">
        <v>55</v>
      </c>
      <c r="L23" s="155">
        <v>60</v>
      </c>
      <c r="M23" s="155">
        <v>50</v>
      </c>
      <c r="N23" s="155">
        <v>30</v>
      </c>
      <c r="O23" s="155"/>
      <c r="P23" s="155"/>
      <c r="Q23" s="180"/>
      <c r="R23" s="235" t="s">
        <v>100</v>
      </c>
      <c r="S23" s="236" t="s">
        <v>822</v>
      </c>
      <c r="T23" s="236"/>
      <c r="U23" s="236"/>
      <c r="V23" s="236"/>
      <c r="W23" s="236"/>
      <c r="X23" s="236"/>
      <c r="Y23" s="236"/>
      <c r="Z23" s="236"/>
    </row>
    <row r="24" spans="1:26" ht="16.149999999999999" customHeight="1">
      <c r="A24" s="105">
        <v>19</v>
      </c>
      <c r="B24" s="155">
        <v>45</v>
      </c>
      <c r="C24" s="155">
        <v>40</v>
      </c>
      <c r="D24" s="155">
        <f t="shared" si="0"/>
        <v>40</v>
      </c>
      <c r="E24" s="155">
        <v>30</v>
      </c>
      <c r="F24" s="155">
        <v>60</v>
      </c>
      <c r="G24" s="155">
        <v>60</v>
      </c>
      <c r="H24" s="155">
        <v>80</v>
      </c>
      <c r="I24" s="155">
        <v>60</v>
      </c>
      <c r="J24" s="155">
        <v>75</v>
      </c>
      <c r="K24" s="155">
        <v>65</v>
      </c>
      <c r="L24" s="155">
        <v>70</v>
      </c>
      <c r="M24" s="155">
        <v>55</v>
      </c>
      <c r="N24" s="155">
        <v>40</v>
      </c>
      <c r="O24" s="155"/>
      <c r="P24" s="155"/>
      <c r="Q24" s="180"/>
      <c r="R24" s="235"/>
      <c r="S24" s="103">
        <v>45399</v>
      </c>
      <c r="T24" s="103">
        <v>45401</v>
      </c>
      <c r="U24" s="103">
        <v>45403</v>
      </c>
      <c r="V24" s="103">
        <v>45405</v>
      </c>
      <c r="W24" s="103">
        <v>45407</v>
      </c>
      <c r="X24" s="103">
        <v>45408</v>
      </c>
      <c r="Y24" s="103">
        <v>45409</v>
      </c>
      <c r="Z24" s="103">
        <v>45410</v>
      </c>
    </row>
    <row r="25" spans="1:26" ht="16.149999999999999" customHeight="1">
      <c r="A25" s="105">
        <v>20</v>
      </c>
      <c r="B25" s="155">
        <v>50</v>
      </c>
      <c r="C25" s="155">
        <v>30</v>
      </c>
      <c r="D25" s="155">
        <f t="shared" si="0"/>
        <v>40</v>
      </c>
      <c r="E25" s="155">
        <v>35</v>
      </c>
      <c r="F25" s="155">
        <v>45</v>
      </c>
      <c r="G25" s="155">
        <v>60</v>
      </c>
      <c r="H25" s="155">
        <v>85</v>
      </c>
      <c r="I25" s="155">
        <v>65</v>
      </c>
      <c r="J25" s="155">
        <v>75</v>
      </c>
      <c r="K25" s="155">
        <v>60</v>
      </c>
      <c r="L25" s="155">
        <v>65</v>
      </c>
      <c r="M25" s="155">
        <v>45</v>
      </c>
      <c r="N25" s="155">
        <v>25</v>
      </c>
      <c r="O25" s="155"/>
      <c r="P25" s="155"/>
      <c r="Q25" s="180"/>
      <c r="R25" s="235"/>
      <c r="S25" s="104" t="s">
        <v>824</v>
      </c>
      <c r="T25" s="104" t="s">
        <v>824</v>
      </c>
      <c r="U25" s="104" t="s">
        <v>824</v>
      </c>
      <c r="V25" s="104" t="s">
        <v>824</v>
      </c>
      <c r="W25" s="104" t="s">
        <v>824</v>
      </c>
      <c r="X25" s="104" t="s">
        <v>824</v>
      </c>
      <c r="Y25" s="104" t="s">
        <v>824</v>
      </c>
      <c r="Z25" s="104" t="s">
        <v>824</v>
      </c>
    </row>
    <row r="26" spans="1:26" ht="16.149999999999999" customHeight="1">
      <c r="A26" s="105">
        <v>21</v>
      </c>
      <c r="B26" s="155">
        <v>40</v>
      </c>
      <c r="C26" s="155">
        <v>30</v>
      </c>
      <c r="D26" s="155">
        <f t="shared" si="0"/>
        <v>40</v>
      </c>
      <c r="E26" s="155">
        <v>20</v>
      </c>
      <c r="F26" s="155">
        <v>50</v>
      </c>
      <c r="G26" s="155">
        <v>55</v>
      </c>
      <c r="H26" s="155">
        <v>65</v>
      </c>
      <c r="I26" s="155">
        <v>70</v>
      </c>
      <c r="J26" s="155">
        <v>65</v>
      </c>
      <c r="K26" s="155">
        <v>55</v>
      </c>
      <c r="L26" s="155">
        <v>60</v>
      </c>
      <c r="M26" s="155">
        <v>50</v>
      </c>
      <c r="N26" s="155">
        <v>30</v>
      </c>
      <c r="O26" s="155"/>
      <c r="P26" s="155"/>
      <c r="Q26" s="180"/>
      <c r="R26" s="105">
        <v>56</v>
      </c>
      <c r="S26" s="155">
        <v>175</v>
      </c>
      <c r="T26" s="155">
        <v>170</v>
      </c>
      <c r="U26" s="155">
        <v>130</v>
      </c>
      <c r="V26" s="155">
        <v>140</v>
      </c>
      <c r="W26" s="155">
        <v>135</v>
      </c>
      <c r="X26" s="155">
        <v>110</v>
      </c>
      <c r="Y26" s="155">
        <v>95</v>
      </c>
      <c r="Z26" s="155">
        <v>120</v>
      </c>
    </row>
    <row r="27" spans="1:26" ht="16.149999999999999" customHeight="1">
      <c r="A27" s="105">
        <v>22</v>
      </c>
      <c r="B27" s="155">
        <v>40</v>
      </c>
      <c r="C27" s="155">
        <v>30</v>
      </c>
      <c r="D27" s="155">
        <f t="shared" si="0"/>
        <v>40</v>
      </c>
      <c r="E27" s="155">
        <v>25</v>
      </c>
      <c r="F27" s="155">
        <v>40</v>
      </c>
      <c r="G27" s="155">
        <v>45</v>
      </c>
      <c r="H27" s="155">
        <v>55</v>
      </c>
      <c r="I27" s="155">
        <v>50</v>
      </c>
      <c r="J27" s="155">
        <v>55</v>
      </c>
      <c r="K27" s="155">
        <v>45</v>
      </c>
      <c r="L27" s="155">
        <v>45</v>
      </c>
      <c r="M27" s="155">
        <v>25</v>
      </c>
      <c r="N27" s="155">
        <v>20</v>
      </c>
      <c r="O27" s="155"/>
      <c r="P27" s="155"/>
      <c r="Q27" s="180"/>
      <c r="R27" s="105">
        <v>57</v>
      </c>
      <c r="S27" s="155">
        <v>120</v>
      </c>
      <c r="T27" s="155">
        <v>145</v>
      </c>
      <c r="U27" s="155">
        <v>120</v>
      </c>
      <c r="V27" s="155">
        <v>120</v>
      </c>
      <c r="W27" s="155">
        <v>120</v>
      </c>
      <c r="X27" s="155">
        <v>90</v>
      </c>
      <c r="Y27" s="155">
        <v>25</v>
      </c>
      <c r="Z27" s="155">
        <v>80</v>
      </c>
    </row>
    <row r="28" spans="1:26" ht="16.149999999999999" customHeight="1">
      <c r="A28" s="105">
        <v>23</v>
      </c>
      <c r="B28" s="155">
        <v>45</v>
      </c>
      <c r="C28" s="155">
        <v>30</v>
      </c>
      <c r="D28" s="155">
        <f t="shared" si="0"/>
        <v>40</v>
      </c>
      <c r="E28" s="155">
        <v>35</v>
      </c>
      <c r="F28" s="155">
        <v>50</v>
      </c>
      <c r="G28" s="155">
        <v>50</v>
      </c>
      <c r="H28" s="155">
        <v>55</v>
      </c>
      <c r="I28" s="155">
        <v>55</v>
      </c>
      <c r="J28" s="155">
        <v>55</v>
      </c>
      <c r="K28" s="155">
        <v>45</v>
      </c>
      <c r="L28" s="155">
        <v>50</v>
      </c>
      <c r="M28" s="155">
        <v>40</v>
      </c>
      <c r="N28" s="155">
        <v>30</v>
      </c>
      <c r="O28" s="155"/>
      <c r="P28" s="155"/>
      <c r="Q28" s="180"/>
      <c r="R28" s="105">
        <v>58</v>
      </c>
      <c r="S28" s="155">
        <v>180</v>
      </c>
      <c r="T28" s="155">
        <v>170</v>
      </c>
      <c r="U28" s="155">
        <v>120</v>
      </c>
      <c r="V28" s="155">
        <v>170</v>
      </c>
      <c r="W28" s="155">
        <v>165</v>
      </c>
      <c r="X28" s="155">
        <v>90</v>
      </c>
      <c r="Y28" s="155">
        <v>65</v>
      </c>
      <c r="Z28" s="155">
        <v>85</v>
      </c>
    </row>
    <row r="29" spans="1:26" ht="16.149999999999999" customHeight="1">
      <c r="A29" s="105">
        <v>24</v>
      </c>
      <c r="B29" s="155">
        <v>45</v>
      </c>
      <c r="C29" s="155">
        <v>25</v>
      </c>
      <c r="D29" s="155">
        <f t="shared" si="0"/>
        <v>40</v>
      </c>
      <c r="E29" s="155">
        <v>45</v>
      </c>
      <c r="F29" s="155">
        <v>50</v>
      </c>
      <c r="G29" s="155">
        <v>55</v>
      </c>
      <c r="H29" s="155">
        <v>60</v>
      </c>
      <c r="I29" s="155">
        <v>65</v>
      </c>
      <c r="J29" s="155">
        <v>65</v>
      </c>
      <c r="K29" s="155">
        <v>55</v>
      </c>
      <c r="L29" s="155">
        <v>50</v>
      </c>
      <c r="M29" s="155">
        <v>35</v>
      </c>
      <c r="N29" s="155">
        <v>15</v>
      </c>
      <c r="O29" s="155"/>
      <c r="P29" s="155"/>
      <c r="Q29" s="180"/>
      <c r="R29" s="105">
        <v>59</v>
      </c>
      <c r="S29" s="155">
        <v>165</v>
      </c>
      <c r="T29" s="155">
        <v>160</v>
      </c>
      <c r="U29" s="155">
        <v>140</v>
      </c>
      <c r="V29" s="155">
        <v>155</v>
      </c>
      <c r="W29" s="155">
        <v>160</v>
      </c>
      <c r="X29" s="155">
        <v>90</v>
      </c>
      <c r="Y29" s="155">
        <v>70</v>
      </c>
      <c r="Z29" s="155">
        <v>80</v>
      </c>
    </row>
    <row r="30" spans="1:26" ht="16.149999999999999" customHeight="1">
      <c r="A30" s="105">
        <v>25</v>
      </c>
      <c r="B30" s="155">
        <v>45</v>
      </c>
      <c r="C30" s="155">
        <v>40</v>
      </c>
      <c r="D30" s="155">
        <f t="shared" si="0"/>
        <v>40</v>
      </c>
      <c r="E30" s="155">
        <v>40</v>
      </c>
      <c r="F30" s="155">
        <v>65</v>
      </c>
      <c r="G30" s="155">
        <v>75</v>
      </c>
      <c r="H30" s="155">
        <v>70</v>
      </c>
      <c r="I30" s="155">
        <v>90</v>
      </c>
      <c r="J30" s="155">
        <v>100</v>
      </c>
      <c r="K30" s="155">
        <v>80</v>
      </c>
      <c r="L30" s="155">
        <v>85</v>
      </c>
      <c r="M30" s="155">
        <v>75</v>
      </c>
      <c r="N30" s="155">
        <v>45</v>
      </c>
      <c r="O30" s="155"/>
      <c r="P30" s="155"/>
      <c r="Q30" s="180"/>
      <c r="R30" s="105">
        <v>60</v>
      </c>
      <c r="S30" s="155">
        <v>160</v>
      </c>
      <c r="T30" s="155">
        <v>160</v>
      </c>
      <c r="U30" s="155">
        <v>135</v>
      </c>
      <c r="V30" s="155">
        <v>150</v>
      </c>
      <c r="W30" s="155">
        <v>160</v>
      </c>
      <c r="X30" s="155">
        <v>95</v>
      </c>
      <c r="Y30" s="155">
        <v>65</v>
      </c>
      <c r="Z30" s="155">
        <v>90</v>
      </c>
    </row>
    <row r="31" spans="1:26" ht="16.149999999999999" customHeight="1">
      <c r="A31" s="105">
        <v>26</v>
      </c>
      <c r="B31" s="155">
        <v>40</v>
      </c>
      <c r="C31" s="155">
        <v>25</v>
      </c>
      <c r="D31" s="155">
        <f t="shared" si="0"/>
        <v>40</v>
      </c>
      <c r="E31" s="155">
        <v>40</v>
      </c>
      <c r="F31" s="155">
        <v>60</v>
      </c>
      <c r="G31" s="155">
        <v>65</v>
      </c>
      <c r="H31" s="155">
        <v>65</v>
      </c>
      <c r="I31" s="155">
        <v>80</v>
      </c>
      <c r="J31" s="155">
        <v>80</v>
      </c>
      <c r="K31" s="155">
        <v>70</v>
      </c>
      <c r="L31" s="155">
        <v>70</v>
      </c>
      <c r="M31" s="155">
        <v>65</v>
      </c>
      <c r="N31" s="155">
        <v>45</v>
      </c>
      <c r="O31" s="155"/>
      <c r="P31" s="155"/>
      <c r="Q31" s="180"/>
      <c r="R31" s="105">
        <v>61</v>
      </c>
      <c r="S31" s="155">
        <v>130</v>
      </c>
      <c r="T31" s="155">
        <v>140</v>
      </c>
      <c r="U31" s="155">
        <v>120</v>
      </c>
      <c r="V31" s="155">
        <v>130</v>
      </c>
      <c r="W31" s="155">
        <v>160</v>
      </c>
      <c r="X31" s="155">
        <v>85</v>
      </c>
      <c r="Y31" s="155">
        <v>65</v>
      </c>
      <c r="Z31" s="155">
        <v>70</v>
      </c>
    </row>
    <row r="32" spans="1:26" ht="16.149999999999999" customHeight="1">
      <c r="A32" s="105">
        <v>27</v>
      </c>
      <c r="B32" s="155">
        <v>45</v>
      </c>
      <c r="C32" s="155">
        <v>25</v>
      </c>
      <c r="D32" s="155">
        <f t="shared" si="0"/>
        <v>40</v>
      </c>
      <c r="E32" s="155">
        <v>40</v>
      </c>
      <c r="F32" s="155">
        <v>60</v>
      </c>
      <c r="G32" s="155">
        <v>55</v>
      </c>
      <c r="H32" s="155">
        <v>70</v>
      </c>
      <c r="I32" s="155">
        <v>70</v>
      </c>
      <c r="J32" s="155">
        <v>75</v>
      </c>
      <c r="K32" s="155">
        <v>60</v>
      </c>
      <c r="L32" s="155">
        <v>55</v>
      </c>
      <c r="M32" s="155">
        <v>35</v>
      </c>
      <c r="N32" s="155">
        <v>25</v>
      </c>
      <c r="O32" s="155"/>
      <c r="P32" s="155"/>
      <c r="Q32" s="180"/>
    </row>
    <row r="33" spans="1:26" ht="16.149999999999999" customHeight="1">
      <c r="A33" s="105">
        <v>28</v>
      </c>
      <c r="B33" s="155">
        <v>40</v>
      </c>
      <c r="C33" s="155">
        <v>30</v>
      </c>
      <c r="D33" s="155">
        <f t="shared" si="0"/>
        <v>40</v>
      </c>
      <c r="E33" s="155">
        <v>45</v>
      </c>
      <c r="F33" s="155">
        <v>65</v>
      </c>
      <c r="G33" s="155">
        <v>55</v>
      </c>
      <c r="H33" s="155">
        <v>70</v>
      </c>
      <c r="I33" s="155">
        <v>70</v>
      </c>
      <c r="J33" s="155">
        <v>80</v>
      </c>
      <c r="K33" s="155">
        <v>60</v>
      </c>
      <c r="L33" s="175">
        <v>65</v>
      </c>
      <c r="M33" s="155">
        <v>40</v>
      </c>
      <c r="N33" s="155">
        <v>35</v>
      </c>
      <c r="O33" s="155"/>
      <c r="P33" s="155"/>
      <c r="Q33" s="180"/>
      <c r="R33" s="235" t="s">
        <v>100</v>
      </c>
      <c r="S33" s="236" t="s">
        <v>822</v>
      </c>
      <c r="T33" s="236"/>
      <c r="U33" s="236"/>
      <c r="V33" s="236"/>
      <c r="W33" s="236"/>
      <c r="X33" s="236"/>
      <c r="Y33" s="236"/>
      <c r="Z33" s="236"/>
    </row>
    <row r="34" spans="1:26" ht="16.149999999999999" customHeight="1">
      <c r="A34" s="105">
        <v>29</v>
      </c>
      <c r="B34" s="155">
        <v>45</v>
      </c>
      <c r="C34" s="155">
        <v>25</v>
      </c>
      <c r="D34" s="155">
        <f t="shared" si="0"/>
        <v>40</v>
      </c>
      <c r="E34" s="155">
        <v>35</v>
      </c>
      <c r="F34" s="155">
        <v>60</v>
      </c>
      <c r="G34" s="155">
        <v>60</v>
      </c>
      <c r="H34" s="155">
        <v>70</v>
      </c>
      <c r="I34" s="155">
        <v>55</v>
      </c>
      <c r="J34" s="155">
        <v>75</v>
      </c>
      <c r="K34" s="155">
        <v>60</v>
      </c>
      <c r="L34" s="155">
        <v>60</v>
      </c>
      <c r="M34" s="155">
        <v>35</v>
      </c>
      <c r="N34" s="155">
        <v>30</v>
      </c>
      <c r="O34" s="155"/>
      <c r="P34" s="155"/>
      <c r="Q34" s="180"/>
      <c r="R34" s="235"/>
      <c r="S34" s="103">
        <v>45411</v>
      </c>
      <c r="T34" s="103">
        <v>45412</v>
      </c>
      <c r="U34" s="103">
        <v>45413</v>
      </c>
      <c r="V34" s="103">
        <v>45414</v>
      </c>
      <c r="W34" s="103">
        <v>45415</v>
      </c>
      <c r="X34" s="103">
        <v>45418</v>
      </c>
      <c r="Y34" s="103">
        <v>45420</v>
      </c>
      <c r="Z34" s="103">
        <v>45422</v>
      </c>
    </row>
    <row r="35" spans="1:26" ht="16.149999999999999" customHeight="1">
      <c r="A35" s="105">
        <v>30</v>
      </c>
      <c r="B35" s="155">
        <v>45</v>
      </c>
      <c r="C35" s="155">
        <v>30</v>
      </c>
      <c r="D35" s="155">
        <f t="shared" si="0"/>
        <v>40</v>
      </c>
      <c r="E35" s="155">
        <v>30</v>
      </c>
      <c r="F35" s="155">
        <v>55</v>
      </c>
      <c r="G35" s="155">
        <v>65</v>
      </c>
      <c r="H35" s="155">
        <v>65</v>
      </c>
      <c r="I35" s="155">
        <v>70</v>
      </c>
      <c r="J35" s="155">
        <v>65</v>
      </c>
      <c r="K35" s="155">
        <v>55</v>
      </c>
      <c r="L35" s="155">
        <v>60</v>
      </c>
      <c r="M35" s="155">
        <v>45</v>
      </c>
      <c r="N35" s="155">
        <v>30</v>
      </c>
      <c r="O35" s="155"/>
      <c r="P35" s="155"/>
      <c r="Q35" s="180"/>
      <c r="R35" s="235"/>
      <c r="S35" s="104" t="s">
        <v>824</v>
      </c>
      <c r="T35" s="104" t="s">
        <v>824</v>
      </c>
      <c r="U35" s="104" t="s">
        <v>824</v>
      </c>
      <c r="V35" s="104" t="s">
        <v>824</v>
      </c>
      <c r="W35" s="104" t="s">
        <v>824</v>
      </c>
      <c r="X35" s="104" t="s">
        <v>824</v>
      </c>
      <c r="Y35" s="104" t="s">
        <v>824</v>
      </c>
      <c r="Z35" s="104" t="s">
        <v>824</v>
      </c>
    </row>
    <row r="36" spans="1:26" ht="16.149999999999999" customHeight="1">
      <c r="A36" s="105">
        <v>31</v>
      </c>
      <c r="B36" s="155">
        <v>40</v>
      </c>
      <c r="C36" s="155">
        <v>30</v>
      </c>
      <c r="D36" s="155">
        <f t="shared" si="0"/>
        <v>40</v>
      </c>
      <c r="E36" s="155">
        <v>40</v>
      </c>
      <c r="F36" s="155">
        <v>55</v>
      </c>
      <c r="G36" s="155">
        <v>45</v>
      </c>
      <c r="H36" s="155">
        <v>50</v>
      </c>
      <c r="I36" s="155">
        <v>70</v>
      </c>
      <c r="J36" s="155">
        <v>60</v>
      </c>
      <c r="K36" s="155">
        <v>50</v>
      </c>
      <c r="L36" s="155">
        <v>50</v>
      </c>
      <c r="M36" s="155">
        <v>45</v>
      </c>
      <c r="N36" s="155">
        <v>35</v>
      </c>
      <c r="O36" s="155"/>
      <c r="P36" s="155"/>
      <c r="Q36" s="180"/>
      <c r="R36" s="105">
        <v>56</v>
      </c>
      <c r="S36" s="155">
        <v>110</v>
      </c>
      <c r="T36" s="155">
        <v>80</v>
      </c>
      <c r="U36" s="155">
        <v>55</v>
      </c>
      <c r="V36" s="155">
        <v>60</v>
      </c>
      <c r="W36" s="155">
        <v>55</v>
      </c>
      <c r="X36" s="155">
        <v>85</v>
      </c>
      <c r="Y36" s="155">
        <v>70</v>
      </c>
      <c r="Z36" s="155">
        <v>95</v>
      </c>
    </row>
    <row r="37" spans="1:26" ht="16.149999999999999" customHeight="1">
      <c r="A37" s="105">
        <v>32</v>
      </c>
      <c r="B37" s="155">
        <v>40</v>
      </c>
      <c r="C37" s="155">
        <v>35</v>
      </c>
      <c r="D37" s="155">
        <f t="shared" si="0"/>
        <v>40</v>
      </c>
      <c r="E37" s="155">
        <v>50</v>
      </c>
      <c r="F37" s="155">
        <v>75</v>
      </c>
      <c r="G37" s="155">
        <v>75</v>
      </c>
      <c r="H37" s="155">
        <v>70</v>
      </c>
      <c r="I37" s="155">
        <v>95</v>
      </c>
      <c r="J37" s="155">
        <v>85</v>
      </c>
      <c r="K37" s="155">
        <v>70</v>
      </c>
      <c r="L37" s="155">
        <v>70</v>
      </c>
      <c r="M37" s="155">
        <v>60</v>
      </c>
      <c r="N37" s="155">
        <v>35</v>
      </c>
      <c r="O37" s="155"/>
      <c r="P37" s="155"/>
      <c r="Q37" s="180"/>
      <c r="R37" s="105">
        <v>57</v>
      </c>
      <c r="S37" s="155">
        <v>140</v>
      </c>
      <c r="T37" s="155">
        <v>85</v>
      </c>
      <c r="U37" s="155">
        <v>50</v>
      </c>
      <c r="V37" s="155">
        <v>40</v>
      </c>
      <c r="W37" s="155">
        <v>60</v>
      </c>
      <c r="X37" s="155">
        <v>90</v>
      </c>
      <c r="Y37" s="155">
        <v>65</v>
      </c>
      <c r="Z37" s="155">
        <v>100</v>
      </c>
    </row>
    <row r="38" spans="1:26" ht="16.149999999999999" customHeight="1">
      <c r="A38" s="105">
        <v>33</v>
      </c>
      <c r="B38" s="155">
        <v>45</v>
      </c>
      <c r="C38" s="155">
        <v>30</v>
      </c>
      <c r="D38" s="155">
        <f t="shared" si="0"/>
        <v>40</v>
      </c>
      <c r="E38" s="155">
        <v>50</v>
      </c>
      <c r="F38" s="155">
        <v>55</v>
      </c>
      <c r="G38" s="155">
        <v>40</v>
      </c>
      <c r="H38" s="155">
        <v>55</v>
      </c>
      <c r="I38" s="155">
        <v>60</v>
      </c>
      <c r="J38" s="155">
        <v>60</v>
      </c>
      <c r="K38" s="155">
        <v>45</v>
      </c>
      <c r="L38" s="155">
        <v>45</v>
      </c>
      <c r="M38" s="155">
        <v>35</v>
      </c>
      <c r="N38" s="155">
        <v>20</v>
      </c>
      <c r="O38" s="155"/>
      <c r="P38" s="155"/>
      <c r="Q38" s="180"/>
      <c r="R38" s="105">
        <v>58</v>
      </c>
      <c r="S38" s="155">
        <v>115</v>
      </c>
      <c r="T38" s="155">
        <v>65</v>
      </c>
      <c r="U38" s="155">
        <v>65</v>
      </c>
      <c r="V38" s="155">
        <v>15</v>
      </c>
      <c r="W38" s="155">
        <v>40</v>
      </c>
      <c r="X38" s="155">
        <v>100</v>
      </c>
      <c r="Y38" s="155">
        <v>65</v>
      </c>
      <c r="Z38" s="155">
        <v>105</v>
      </c>
    </row>
    <row r="39" spans="1:26" ht="16.149999999999999" customHeight="1">
      <c r="A39" s="105">
        <v>34</v>
      </c>
      <c r="B39" s="155">
        <v>45</v>
      </c>
      <c r="C39" s="155">
        <v>30</v>
      </c>
      <c r="D39" s="155">
        <f t="shared" si="0"/>
        <v>40</v>
      </c>
      <c r="E39" s="155">
        <v>40</v>
      </c>
      <c r="F39" s="155">
        <v>55</v>
      </c>
      <c r="G39" s="155">
        <v>55</v>
      </c>
      <c r="H39" s="155">
        <v>60</v>
      </c>
      <c r="I39" s="155">
        <v>80</v>
      </c>
      <c r="J39" s="155">
        <v>75</v>
      </c>
      <c r="K39" s="155">
        <v>60</v>
      </c>
      <c r="L39" s="155">
        <v>70</v>
      </c>
      <c r="M39" s="155">
        <v>45</v>
      </c>
      <c r="N39" s="155">
        <v>35</v>
      </c>
      <c r="O39" s="155"/>
      <c r="P39" s="155"/>
      <c r="Q39" s="180"/>
      <c r="R39" s="105">
        <v>59</v>
      </c>
      <c r="S39" s="155">
        <v>80</v>
      </c>
      <c r="T39" s="155">
        <v>80</v>
      </c>
      <c r="U39" s="155">
        <v>55</v>
      </c>
      <c r="V39" s="155">
        <v>60</v>
      </c>
      <c r="W39" s="155">
        <v>50</v>
      </c>
      <c r="X39" s="155">
        <v>140</v>
      </c>
      <c r="Y39" s="155">
        <v>100</v>
      </c>
      <c r="Z39" s="155">
        <v>90</v>
      </c>
    </row>
    <row r="40" spans="1:26" ht="16.149999999999999" customHeight="1">
      <c r="A40" s="105">
        <v>35</v>
      </c>
      <c r="B40" s="155">
        <v>40</v>
      </c>
      <c r="C40" s="155">
        <v>35</v>
      </c>
      <c r="D40" s="155">
        <f t="shared" si="0"/>
        <v>40</v>
      </c>
      <c r="E40" s="155">
        <v>45</v>
      </c>
      <c r="F40" s="155">
        <v>60</v>
      </c>
      <c r="G40" s="155">
        <v>60</v>
      </c>
      <c r="H40" s="155">
        <v>60</v>
      </c>
      <c r="I40" s="155">
        <v>90</v>
      </c>
      <c r="J40" s="155">
        <v>85</v>
      </c>
      <c r="K40" s="155">
        <v>65</v>
      </c>
      <c r="L40" s="155">
        <v>70</v>
      </c>
      <c r="M40" s="155">
        <v>65</v>
      </c>
      <c r="N40" s="155">
        <v>45</v>
      </c>
      <c r="O40" s="155"/>
      <c r="P40" s="155"/>
      <c r="Q40" s="180"/>
      <c r="R40" s="105">
        <v>60</v>
      </c>
      <c r="S40" s="155">
        <v>105</v>
      </c>
      <c r="T40" s="155">
        <v>80</v>
      </c>
      <c r="U40" s="155">
        <v>55</v>
      </c>
      <c r="V40" s="155">
        <v>65</v>
      </c>
      <c r="W40" s="155">
        <v>65</v>
      </c>
      <c r="X40" s="155">
        <v>155</v>
      </c>
      <c r="Y40" s="155">
        <v>95</v>
      </c>
      <c r="Z40" s="155">
        <v>105</v>
      </c>
    </row>
    <row r="41" spans="1:26" ht="16.149999999999999" customHeight="1">
      <c r="A41" s="105">
        <v>36</v>
      </c>
      <c r="B41" s="155">
        <v>45</v>
      </c>
      <c r="C41" s="155">
        <v>25</v>
      </c>
      <c r="D41" s="155">
        <f t="shared" si="0"/>
        <v>40</v>
      </c>
      <c r="E41" s="155">
        <v>40</v>
      </c>
      <c r="F41" s="155">
        <v>65</v>
      </c>
      <c r="G41" s="155">
        <v>65</v>
      </c>
      <c r="H41" s="155">
        <v>65</v>
      </c>
      <c r="I41" s="155">
        <v>65</v>
      </c>
      <c r="J41" s="155">
        <v>80</v>
      </c>
      <c r="K41" s="155">
        <v>55</v>
      </c>
      <c r="L41" s="155">
        <v>50</v>
      </c>
      <c r="M41" s="155">
        <v>40</v>
      </c>
      <c r="N41" s="155">
        <v>30</v>
      </c>
      <c r="O41" s="155"/>
      <c r="P41" s="155"/>
      <c r="Q41" s="180"/>
      <c r="R41" s="105">
        <v>61</v>
      </c>
      <c r="S41" s="155">
        <v>90</v>
      </c>
      <c r="T41" s="155">
        <v>75</v>
      </c>
      <c r="U41" s="155">
        <v>55</v>
      </c>
      <c r="V41" s="155">
        <v>55</v>
      </c>
      <c r="W41" s="155">
        <v>45</v>
      </c>
      <c r="X41" s="155">
        <v>140</v>
      </c>
      <c r="Y41" s="155">
        <v>75</v>
      </c>
      <c r="Z41" s="155">
        <v>100</v>
      </c>
    </row>
    <row r="42" spans="1:26">
      <c r="A42" s="105">
        <v>37</v>
      </c>
      <c r="B42" s="155">
        <v>40</v>
      </c>
      <c r="C42" s="155">
        <v>30</v>
      </c>
      <c r="D42" s="155">
        <f t="shared" si="0"/>
        <v>40</v>
      </c>
      <c r="E42" s="155">
        <v>35</v>
      </c>
      <c r="F42" s="155">
        <v>50</v>
      </c>
      <c r="G42" s="155">
        <v>45</v>
      </c>
      <c r="H42" s="155">
        <v>55</v>
      </c>
      <c r="I42" s="155">
        <v>65</v>
      </c>
      <c r="J42" s="155">
        <v>70</v>
      </c>
      <c r="K42" s="155">
        <v>55</v>
      </c>
      <c r="L42" s="155">
        <v>55</v>
      </c>
      <c r="M42" s="155">
        <v>10</v>
      </c>
      <c r="N42" s="155">
        <v>25</v>
      </c>
      <c r="O42" s="155"/>
      <c r="P42" s="155"/>
      <c r="Q42" s="180"/>
    </row>
    <row r="43" spans="1:26">
      <c r="A43" s="105">
        <v>38</v>
      </c>
      <c r="B43" s="155">
        <v>45</v>
      </c>
      <c r="C43" s="155">
        <v>30</v>
      </c>
      <c r="D43" s="155">
        <f t="shared" si="0"/>
        <v>40</v>
      </c>
      <c r="E43" s="155">
        <v>40</v>
      </c>
      <c r="F43" s="155">
        <v>55</v>
      </c>
      <c r="G43" s="155">
        <v>45</v>
      </c>
      <c r="H43" s="155">
        <v>55</v>
      </c>
      <c r="I43" s="155">
        <v>70</v>
      </c>
      <c r="J43" s="155">
        <v>45</v>
      </c>
      <c r="K43" s="155">
        <v>45</v>
      </c>
      <c r="L43" s="155">
        <v>50</v>
      </c>
      <c r="M43" s="155">
        <v>35</v>
      </c>
      <c r="N43" s="155">
        <v>20</v>
      </c>
      <c r="O43" s="155"/>
      <c r="P43" s="155"/>
      <c r="Q43" s="180"/>
      <c r="R43" s="235" t="s">
        <v>100</v>
      </c>
      <c r="S43" s="236" t="s">
        <v>822</v>
      </c>
      <c r="T43" s="236"/>
      <c r="U43" s="236"/>
      <c r="V43" s="236"/>
      <c r="W43" s="236"/>
      <c r="X43" s="236"/>
      <c r="Y43" s="236"/>
      <c r="Z43" s="236"/>
    </row>
    <row r="44" spans="1:26">
      <c r="A44" s="105">
        <v>39</v>
      </c>
      <c r="B44" s="155">
        <v>40</v>
      </c>
      <c r="C44" s="155">
        <v>25</v>
      </c>
      <c r="D44" s="155">
        <f t="shared" si="0"/>
        <v>40</v>
      </c>
      <c r="E44" s="155">
        <v>35</v>
      </c>
      <c r="F44" s="155">
        <v>55</v>
      </c>
      <c r="G44" s="155">
        <v>45</v>
      </c>
      <c r="H44" s="155">
        <v>60</v>
      </c>
      <c r="I44" s="155">
        <v>45</v>
      </c>
      <c r="J44" s="155">
        <v>45</v>
      </c>
      <c r="K44" s="155">
        <v>30</v>
      </c>
      <c r="L44" s="155">
        <v>35</v>
      </c>
      <c r="M44" s="155">
        <v>20</v>
      </c>
      <c r="N44" s="155">
        <v>15</v>
      </c>
      <c r="O44" s="155"/>
      <c r="P44" s="155"/>
      <c r="Q44" s="180"/>
      <c r="R44" s="235"/>
      <c r="S44" s="103">
        <v>45424</v>
      </c>
      <c r="T44" s="103">
        <v>45425</v>
      </c>
      <c r="U44" s="103">
        <v>45426</v>
      </c>
      <c r="V44" s="103">
        <v>45428</v>
      </c>
      <c r="W44" s="103">
        <v>45432</v>
      </c>
      <c r="X44" s="103">
        <v>45433</v>
      </c>
      <c r="Y44" s="103"/>
      <c r="Z44" s="103"/>
    </row>
    <row r="45" spans="1:26">
      <c r="A45" s="105">
        <v>40</v>
      </c>
      <c r="B45" s="155">
        <v>40</v>
      </c>
      <c r="C45" s="155">
        <v>30</v>
      </c>
      <c r="D45" s="155">
        <f t="shared" si="0"/>
        <v>40</v>
      </c>
      <c r="E45" s="155">
        <v>35</v>
      </c>
      <c r="F45" s="155">
        <v>55</v>
      </c>
      <c r="G45" s="155">
        <v>35</v>
      </c>
      <c r="H45" s="155">
        <v>45</v>
      </c>
      <c r="I45" s="155">
        <v>65</v>
      </c>
      <c r="J45" s="155">
        <v>55</v>
      </c>
      <c r="K45" s="155">
        <v>45</v>
      </c>
      <c r="L45" s="155">
        <v>45</v>
      </c>
      <c r="M45" s="155">
        <v>40</v>
      </c>
      <c r="N45" s="155">
        <v>20</v>
      </c>
      <c r="O45" s="155"/>
      <c r="P45" s="155"/>
      <c r="Q45" s="180"/>
      <c r="R45" s="235"/>
      <c r="S45" s="104" t="s">
        <v>824</v>
      </c>
      <c r="T45" s="104" t="s">
        <v>824</v>
      </c>
      <c r="U45" s="104" t="s">
        <v>824</v>
      </c>
      <c r="V45" s="104" t="s">
        <v>824</v>
      </c>
      <c r="W45" s="104" t="s">
        <v>824</v>
      </c>
      <c r="X45" s="104" t="s">
        <v>824</v>
      </c>
      <c r="Y45" s="104" t="s">
        <v>824</v>
      </c>
      <c r="Z45" s="104" t="s">
        <v>824</v>
      </c>
    </row>
    <row r="46" spans="1:26">
      <c r="A46" s="105">
        <v>41</v>
      </c>
      <c r="B46" s="155">
        <v>45</v>
      </c>
      <c r="C46" s="155">
        <v>35</v>
      </c>
      <c r="D46" s="155">
        <f t="shared" si="0"/>
        <v>40</v>
      </c>
      <c r="E46" s="155">
        <v>45</v>
      </c>
      <c r="F46" s="155">
        <v>60</v>
      </c>
      <c r="G46" s="155">
        <v>50</v>
      </c>
      <c r="H46" s="155">
        <v>45</v>
      </c>
      <c r="I46" s="155">
        <v>90</v>
      </c>
      <c r="J46" s="155">
        <v>70</v>
      </c>
      <c r="K46" s="155">
        <v>55</v>
      </c>
      <c r="L46" s="155">
        <v>50</v>
      </c>
      <c r="M46" s="155">
        <v>35</v>
      </c>
      <c r="N46" s="155">
        <v>20</v>
      </c>
      <c r="O46" s="155"/>
      <c r="P46" s="155"/>
      <c r="Q46" s="180"/>
      <c r="R46" s="105">
        <v>56</v>
      </c>
      <c r="S46" s="155">
        <v>160</v>
      </c>
      <c r="T46" s="155">
        <v>35</v>
      </c>
      <c r="U46" s="155">
        <v>45</v>
      </c>
      <c r="V46" s="155">
        <v>75</v>
      </c>
      <c r="W46" s="155">
        <v>95</v>
      </c>
      <c r="X46" s="155">
        <v>70</v>
      </c>
      <c r="Y46" s="155"/>
      <c r="Z46" s="155"/>
    </row>
    <row r="47" spans="1:26">
      <c r="A47" s="105">
        <v>42</v>
      </c>
      <c r="B47" s="155">
        <v>45</v>
      </c>
      <c r="C47" s="155">
        <v>35</v>
      </c>
      <c r="D47" s="155">
        <f t="shared" si="0"/>
        <v>40</v>
      </c>
      <c r="E47" s="155">
        <v>35</v>
      </c>
      <c r="F47" s="155">
        <v>50</v>
      </c>
      <c r="G47" s="155">
        <v>55</v>
      </c>
      <c r="H47" s="155">
        <v>40</v>
      </c>
      <c r="I47" s="155">
        <v>80</v>
      </c>
      <c r="J47" s="155">
        <v>65</v>
      </c>
      <c r="K47" s="155">
        <v>50</v>
      </c>
      <c r="L47" s="155">
        <v>50</v>
      </c>
      <c r="M47" s="155">
        <v>50</v>
      </c>
      <c r="N47" s="155">
        <v>25</v>
      </c>
      <c r="O47" s="155"/>
      <c r="P47" s="155"/>
      <c r="Q47" s="180"/>
      <c r="R47" s="105">
        <v>57</v>
      </c>
      <c r="S47" s="155">
        <v>140</v>
      </c>
      <c r="T47" s="155">
        <v>65</v>
      </c>
      <c r="U47" s="155">
        <v>40</v>
      </c>
      <c r="V47" s="155">
        <v>85</v>
      </c>
      <c r="W47" s="155">
        <v>130</v>
      </c>
      <c r="X47" s="155">
        <v>65</v>
      </c>
      <c r="Y47" s="155"/>
      <c r="Z47" s="155"/>
    </row>
    <row r="48" spans="1:26">
      <c r="A48" s="105">
        <v>43</v>
      </c>
      <c r="B48" s="155">
        <v>40</v>
      </c>
      <c r="C48" s="155">
        <v>25</v>
      </c>
      <c r="D48" s="155">
        <f t="shared" si="0"/>
        <v>40</v>
      </c>
      <c r="E48" s="155">
        <v>45</v>
      </c>
      <c r="F48" s="155">
        <v>75</v>
      </c>
      <c r="G48" s="155">
        <v>55</v>
      </c>
      <c r="H48" s="155">
        <v>55</v>
      </c>
      <c r="I48" s="155">
        <v>120</v>
      </c>
      <c r="J48" s="155">
        <v>105</v>
      </c>
      <c r="K48" s="155">
        <v>80</v>
      </c>
      <c r="L48" s="155">
        <v>80</v>
      </c>
      <c r="M48" s="155">
        <v>75</v>
      </c>
      <c r="N48" s="155">
        <v>25</v>
      </c>
      <c r="O48" s="155"/>
      <c r="P48" s="155"/>
      <c r="Q48" s="180"/>
      <c r="R48" s="105">
        <v>58</v>
      </c>
      <c r="S48" s="155">
        <v>130</v>
      </c>
      <c r="T48" s="155">
        <v>60</v>
      </c>
      <c r="U48" s="155">
        <v>10</v>
      </c>
      <c r="V48" s="155">
        <v>75</v>
      </c>
      <c r="W48" s="155">
        <v>130</v>
      </c>
      <c r="X48" s="155">
        <v>70</v>
      </c>
      <c r="Y48" s="155"/>
      <c r="Z48" s="155"/>
    </row>
    <row r="49" spans="1:26">
      <c r="A49" s="105">
        <v>44</v>
      </c>
      <c r="B49" s="155">
        <v>40</v>
      </c>
      <c r="C49" s="155">
        <v>30</v>
      </c>
      <c r="D49" s="155">
        <f t="shared" si="0"/>
        <v>40</v>
      </c>
      <c r="E49" s="155">
        <v>30</v>
      </c>
      <c r="F49" s="155">
        <v>45</v>
      </c>
      <c r="G49" s="155">
        <v>40</v>
      </c>
      <c r="H49" s="155">
        <v>35</v>
      </c>
      <c r="I49" s="155">
        <v>55</v>
      </c>
      <c r="J49" s="155">
        <v>40</v>
      </c>
      <c r="K49" s="155">
        <v>40</v>
      </c>
      <c r="L49" s="155">
        <v>40</v>
      </c>
      <c r="M49" s="155">
        <v>35</v>
      </c>
      <c r="N49" s="155">
        <v>20</v>
      </c>
      <c r="O49" s="155"/>
      <c r="P49" s="155"/>
      <c r="Q49" s="180"/>
      <c r="R49" s="105">
        <v>59</v>
      </c>
      <c r="S49" s="155">
        <v>160</v>
      </c>
      <c r="T49" s="155">
        <v>85</v>
      </c>
      <c r="U49" s="155">
        <v>60</v>
      </c>
      <c r="V49" s="155">
        <v>75</v>
      </c>
      <c r="W49" s="155">
        <v>140</v>
      </c>
      <c r="X49" s="155">
        <v>80</v>
      </c>
      <c r="Y49" s="155"/>
      <c r="Z49" s="155"/>
    </row>
    <row r="50" spans="1:26">
      <c r="A50" s="105">
        <v>45</v>
      </c>
      <c r="B50" s="155">
        <v>45</v>
      </c>
      <c r="C50" s="155">
        <v>35</v>
      </c>
      <c r="D50" s="155">
        <f t="shared" si="0"/>
        <v>40</v>
      </c>
      <c r="E50" s="155">
        <v>50</v>
      </c>
      <c r="F50" s="155">
        <v>55</v>
      </c>
      <c r="G50" s="155">
        <v>55</v>
      </c>
      <c r="H50" s="155">
        <v>50</v>
      </c>
      <c r="I50" s="155">
        <v>80</v>
      </c>
      <c r="J50" s="155">
        <v>70</v>
      </c>
      <c r="K50" s="155">
        <v>60</v>
      </c>
      <c r="L50" s="155">
        <v>60</v>
      </c>
      <c r="M50" s="155">
        <v>50</v>
      </c>
      <c r="N50" s="155">
        <v>30</v>
      </c>
      <c r="O50" s="155"/>
      <c r="P50" s="155"/>
      <c r="Q50" s="180"/>
      <c r="R50" s="105">
        <v>60</v>
      </c>
      <c r="S50" s="155">
        <v>175</v>
      </c>
      <c r="T50" s="155">
        <v>50</v>
      </c>
      <c r="U50" s="155">
        <v>50</v>
      </c>
      <c r="V50" s="155">
        <v>80</v>
      </c>
      <c r="W50" s="155">
        <v>150</v>
      </c>
      <c r="X50" s="155">
        <v>60</v>
      </c>
      <c r="Y50" s="155"/>
      <c r="Z50" s="155"/>
    </row>
    <row r="51" spans="1:26">
      <c r="A51" s="105">
        <v>46</v>
      </c>
      <c r="B51" s="155">
        <v>40</v>
      </c>
      <c r="C51" s="155">
        <v>30</v>
      </c>
      <c r="D51" s="155">
        <f t="shared" si="0"/>
        <v>40</v>
      </c>
      <c r="E51" s="155">
        <v>45</v>
      </c>
      <c r="F51" s="155">
        <v>50</v>
      </c>
      <c r="G51" s="155">
        <v>45</v>
      </c>
      <c r="H51" s="155">
        <v>50</v>
      </c>
      <c r="I51" s="155">
        <v>80</v>
      </c>
      <c r="J51" s="155">
        <v>70</v>
      </c>
      <c r="K51" s="155">
        <v>55</v>
      </c>
      <c r="L51" s="155">
        <v>50</v>
      </c>
      <c r="M51" s="155">
        <v>50</v>
      </c>
      <c r="N51" s="155">
        <v>20</v>
      </c>
      <c r="O51" s="155"/>
      <c r="P51" s="155"/>
      <c r="Q51" s="180"/>
      <c r="R51" s="105">
        <v>61</v>
      </c>
      <c r="S51" s="155">
        <v>150</v>
      </c>
      <c r="T51" s="155">
        <v>80</v>
      </c>
      <c r="U51" s="155">
        <v>50</v>
      </c>
      <c r="V51" s="155">
        <v>85</v>
      </c>
      <c r="W51" s="155">
        <v>145</v>
      </c>
      <c r="X51" s="155">
        <v>65</v>
      </c>
      <c r="Y51" s="155"/>
      <c r="Z51" s="155"/>
    </row>
    <row r="52" spans="1:26">
      <c r="A52" s="105">
        <v>47</v>
      </c>
      <c r="B52" s="155">
        <v>45</v>
      </c>
      <c r="C52" s="155">
        <v>40</v>
      </c>
      <c r="D52" s="155">
        <f t="shared" si="0"/>
        <v>40</v>
      </c>
      <c r="E52" s="155">
        <v>35</v>
      </c>
      <c r="F52" s="155">
        <v>50</v>
      </c>
      <c r="G52" s="175">
        <v>45</v>
      </c>
      <c r="H52" s="155">
        <v>40</v>
      </c>
      <c r="I52" s="155">
        <v>70</v>
      </c>
      <c r="J52" s="155">
        <v>55</v>
      </c>
      <c r="K52" s="155">
        <v>45</v>
      </c>
      <c r="L52" s="155">
        <v>40</v>
      </c>
      <c r="M52" s="155">
        <v>30</v>
      </c>
      <c r="N52" s="155">
        <v>10</v>
      </c>
      <c r="O52" s="155"/>
      <c r="P52" s="155"/>
      <c r="Q52" s="180"/>
    </row>
    <row r="53" spans="1:26">
      <c r="A53" s="105">
        <v>48</v>
      </c>
      <c r="B53" s="155">
        <v>40</v>
      </c>
      <c r="C53" s="155">
        <v>35</v>
      </c>
      <c r="D53" s="155">
        <f t="shared" si="0"/>
        <v>40</v>
      </c>
      <c r="E53" s="155">
        <v>30</v>
      </c>
      <c r="F53" s="155">
        <v>80</v>
      </c>
      <c r="G53" s="155">
        <v>60</v>
      </c>
      <c r="H53" s="155">
        <v>60</v>
      </c>
      <c r="I53" s="155">
        <v>100</v>
      </c>
      <c r="J53" s="155">
        <v>95</v>
      </c>
      <c r="K53" s="155">
        <v>65</v>
      </c>
      <c r="L53" s="155">
        <v>55</v>
      </c>
      <c r="M53" s="155">
        <v>60</v>
      </c>
      <c r="N53" s="155">
        <v>15</v>
      </c>
      <c r="O53" s="155"/>
      <c r="P53" s="155"/>
      <c r="Q53" s="180"/>
      <c r="R53" s="235" t="s">
        <v>100</v>
      </c>
      <c r="S53" s="236" t="s">
        <v>822</v>
      </c>
      <c r="T53" s="236"/>
      <c r="U53" s="236"/>
      <c r="V53" s="236"/>
      <c r="W53" s="236"/>
      <c r="X53" s="236"/>
      <c r="Y53" s="236"/>
      <c r="Z53" s="236"/>
    </row>
    <row r="54" spans="1:26">
      <c r="A54" s="105">
        <v>49</v>
      </c>
      <c r="B54" s="155">
        <v>45</v>
      </c>
      <c r="C54" s="155">
        <v>35</v>
      </c>
      <c r="D54" s="155">
        <f t="shared" si="0"/>
        <v>40</v>
      </c>
      <c r="E54" s="155">
        <v>45</v>
      </c>
      <c r="F54" s="155">
        <v>70</v>
      </c>
      <c r="G54" s="155">
        <v>65</v>
      </c>
      <c r="H54" s="155">
        <v>55</v>
      </c>
      <c r="I54" s="155">
        <v>95</v>
      </c>
      <c r="J54" s="155">
        <v>70</v>
      </c>
      <c r="K54" s="155">
        <v>65</v>
      </c>
      <c r="L54" s="155">
        <v>50</v>
      </c>
      <c r="M54" s="155">
        <v>45</v>
      </c>
      <c r="N54" s="155">
        <v>20</v>
      </c>
      <c r="O54" s="155"/>
      <c r="P54" s="155"/>
      <c r="Q54" s="180"/>
      <c r="R54" s="235"/>
      <c r="S54" s="103"/>
      <c r="T54" s="103"/>
      <c r="U54" s="103"/>
      <c r="V54" s="103"/>
      <c r="W54" s="103"/>
      <c r="X54" s="103"/>
      <c r="Y54" s="103"/>
      <c r="Z54" s="103"/>
    </row>
    <row r="55" spans="1:26">
      <c r="A55" s="105">
        <v>50</v>
      </c>
      <c r="B55" s="155">
        <v>45</v>
      </c>
      <c r="C55" s="155">
        <v>35</v>
      </c>
      <c r="D55" s="155">
        <f t="shared" si="0"/>
        <v>40</v>
      </c>
      <c r="E55" s="155">
        <v>35</v>
      </c>
      <c r="F55" s="155">
        <v>60</v>
      </c>
      <c r="G55" s="155">
        <v>45</v>
      </c>
      <c r="H55" s="155">
        <v>55</v>
      </c>
      <c r="I55" s="155">
        <v>85</v>
      </c>
      <c r="J55" s="155">
        <v>80</v>
      </c>
      <c r="K55" s="155">
        <v>60</v>
      </c>
      <c r="L55" s="155">
        <v>60</v>
      </c>
      <c r="M55" s="155">
        <v>45</v>
      </c>
      <c r="N55" s="155">
        <v>20</v>
      </c>
      <c r="O55" s="155"/>
      <c r="P55" s="155"/>
      <c r="Q55" s="180"/>
      <c r="R55" s="235"/>
      <c r="S55" s="104" t="s">
        <v>824</v>
      </c>
      <c r="T55" s="104" t="s">
        <v>824</v>
      </c>
      <c r="U55" s="104" t="s">
        <v>824</v>
      </c>
      <c r="V55" s="104" t="s">
        <v>824</v>
      </c>
      <c r="W55" s="104" t="s">
        <v>824</v>
      </c>
      <c r="X55" s="104" t="s">
        <v>824</v>
      </c>
      <c r="Y55" s="104" t="s">
        <v>824</v>
      </c>
      <c r="Z55" s="104" t="s">
        <v>824</v>
      </c>
    </row>
    <row r="56" spans="1:26">
      <c r="A56" s="105">
        <v>52</v>
      </c>
      <c r="B56" s="155">
        <v>40</v>
      </c>
      <c r="C56" s="155">
        <v>30</v>
      </c>
      <c r="D56" s="155">
        <f t="shared" si="0"/>
        <v>40</v>
      </c>
      <c r="E56" s="155">
        <v>45</v>
      </c>
      <c r="F56" s="155">
        <v>60</v>
      </c>
      <c r="G56" s="155">
        <v>60</v>
      </c>
      <c r="H56" s="155">
        <v>55</v>
      </c>
      <c r="I56" s="155">
        <v>100</v>
      </c>
      <c r="J56" s="155">
        <v>80</v>
      </c>
      <c r="K56" s="155">
        <v>60</v>
      </c>
      <c r="L56" s="155">
        <v>50</v>
      </c>
      <c r="M56" s="155">
        <v>40</v>
      </c>
      <c r="N56" s="155">
        <v>15</v>
      </c>
      <c r="O56" s="155"/>
      <c r="P56" s="155"/>
      <c r="Q56" s="180"/>
      <c r="R56" s="105">
        <v>56</v>
      </c>
      <c r="S56" s="155"/>
      <c r="T56" s="155"/>
      <c r="U56" s="155"/>
      <c r="V56" s="155"/>
      <c r="W56" s="155"/>
      <c r="X56" s="155"/>
      <c r="Y56" s="155"/>
      <c r="Z56" s="155"/>
    </row>
    <row r="57" spans="1:26">
      <c r="A57" s="105">
        <v>53</v>
      </c>
      <c r="B57" s="155">
        <v>45</v>
      </c>
      <c r="C57" s="155">
        <v>25</v>
      </c>
      <c r="D57" s="155">
        <f t="shared" si="0"/>
        <v>40</v>
      </c>
      <c r="E57" s="155">
        <v>45</v>
      </c>
      <c r="F57" s="155">
        <v>60</v>
      </c>
      <c r="G57" s="155">
        <v>55</v>
      </c>
      <c r="H57" s="155">
        <v>40</v>
      </c>
      <c r="I57" s="155">
        <v>90</v>
      </c>
      <c r="J57" s="155">
        <v>70</v>
      </c>
      <c r="K57" s="155">
        <v>55</v>
      </c>
      <c r="L57" s="155">
        <v>50</v>
      </c>
      <c r="M57" s="155">
        <v>45</v>
      </c>
      <c r="N57" s="155">
        <v>15</v>
      </c>
      <c r="O57" s="155"/>
      <c r="P57" s="155"/>
      <c r="Q57" s="180"/>
      <c r="R57" s="105">
        <v>57</v>
      </c>
      <c r="S57" s="155"/>
      <c r="T57" s="155"/>
      <c r="U57" s="155"/>
      <c r="V57" s="155"/>
      <c r="W57" s="155"/>
      <c r="X57" s="155"/>
      <c r="Y57" s="155"/>
      <c r="Z57" s="155"/>
    </row>
    <row r="58" spans="1:26">
      <c r="A58" s="105">
        <v>54</v>
      </c>
      <c r="B58" s="155">
        <v>50</v>
      </c>
      <c r="C58" s="155">
        <v>35</v>
      </c>
      <c r="D58" s="155">
        <f t="shared" si="0"/>
        <v>40</v>
      </c>
      <c r="E58" s="155">
        <v>50</v>
      </c>
      <c r="F58" s="155">
        <v>70</v>
      </c>
      <c r="G58" s="155">
        <v>70</v>
      </c>
      <c r="H58" s="155">
        <v>55</v>
      </c>
      <c r="I58" s="155">
        <v>105</v>
      </c>
      <c r="J58" s="155">
        <v>75</v>
      </c>
      <c r="K58" s="155">
        <v>60</v>
      </c>
      <c r="L58" s="155">
        <v>50</v>
      </c>
      <c r="M58" s="155">
        <v>45</v>
      </c>
      <c r="N58" s="155">
        <v>15</v>
      </c>
      <c r="O58" s="155"/>
      <c r="P58" s="155"/>
      <c r="Q58" s="180"/>
      <c r="R58" s="105">
        <v>58</v>
      </c>
      <c r="S58" s="155"/>
      <c r="T58" s="155"/>
      <c r="U58" s="155"/>
      <c r="V58" s="155"/>
      <c r="W58" s="155"/>
      <c r="X58" s="155"/>
      <c r="Y58" s="155"/>
      <c r="Z58" s="155"/>
    </row>
    <row r="59" spans="1:26">
      <c r="A59" s="105">
        <v>55</v>
      </c>
      <c r="B59" s="155">
        <v>50</v>
      </c>
      <c r="C59" s="155">
        <v>40</v>
      </c>
      <c r="D59" s="155">
        <f t="shared" si="0"/>
        <v>40</v>
      </c>
      <c r="E59" s="155">
        <v>45</v>
      </c>
      <c r="F59" s="155">
        <v>70</v>
      </c>
      <c r="G59" s="155">
        <v>70</v>
      </c>
      <c r="H59" s="155">
        <v>55</v>
      </c>
      <c r="I59" s="155">
        <v>120</v>
      </c>
      <c r="J59" s="155">
        <v>85</v>
      </c>
      <c r="K59" s="155">
        <v>80</v>
      </c>
      <c r="L59" s="155">
        <v>70</v>
      </c>
      <c r="M59" s="155">
        <v>60</v>
      </c>
      <c r="N59" s="155">
        <v>25</v>
      </c>
      <c r="O59" s="155"/>
      <c r="P59" s="155"/>
      <c r="Q59" s="180"/>
      <c r="R59" s="105">
        <v>59</v>
      </c>
      <c r="S59" s="155"/>
      <c r="T59" s="155"/>
      <c r="U59" s="155"/>
      <c r="V59" s="155"/>
      <c r="W59" s="155"/>
      <c r="X59" s="155"/>
      <c r="Y59" s="155"/>
      <c r="Z59" s="155"/>
    </row>
    <row r="60" spans="1:26">
      <c r="R60" s="105">
        <v>60</v>
      </c>
      <c r="S60" s="155"/>
      <c r="T60" s="155"/>
      <c r="U60" s="155"/>
      <c r="V60" s="155"/>
      <c r="W60" s="155"/>
      <c r="X60" s="155"/>
      <c r="Y60" s="155"/>
      <c r="Z60" s="155"/>
    </row>
    <row r="61" spans="1:26">
      <c r="R61" s="105">
        <v>61</v>
      </c>
      <c r="S61" s="155"/>
      <c r="T61" s="155"/>
      <c r="U61" s="155"/>
      <c r="V61" s="155"/>
      <c r="W61" s="155"/>
      <c r="X61" s="155"/>
      <c r="Y61" s="155"/>
      <c r="Z61" s="155"/>
    </row>
    <row r="77" spans="1:17">
      <c r="A77" s="235" t="s">
        <v>100</v>
      </c>
      <c r="B77" s="236" t="s">
        <v>822</v>
      </c>
      <c r="C77" s="236"/>
      <c r="D77" s="236"/>
      <c r="E77" s="236"/>
      <c r="F77" s="236"/>
      <c r="G77" s="236"/>
      <c r="H77" s="236"/>
      <c r="I77" s="236"/>
      <c r="J77" s="181"/>
      <c r="K77" s="181"/>
      <c r="M77" s="181"/>
      <c r="N77" s="181"/>
      <c r="O77" s="181"/>
      <c r="P77" s="181"/>
      <c r="Q77" s="113"/>
    </row>
    <row r="78" spans="1:17">
      <c r="A78" s="235"/>
      <c r="B78" s="103"/>
      <c r="C78" s="103"/>
      <c r="D78" s="103"/>
      <c r="E78" s="103"/>
      <c r="F78" s="103"/>
      <c r="G78" s="103"/>
      <c r="H78" s="103"/>
      <c r="I78" s="103"/>
      <c r="J78" s="182"/>
      <c r="K78" s="182"/>
      <c r="L78" s="181"/>
      <c r="M78" s="182"/>
      <c r="N78" s="182"/>
      <c r="O78" s="182"/>
      <c r="P78" s="182"/>
      <c r="Q78" s="184"/>
    </row>
    <row r="79" spans="1:17">
      <c r="A79" s="235"/>
      <c r="B79" s="104" t="s">
        <v>824</v>
      </c>
      <c r="C79" s="104" t="s">
        <v>824</v>
      </c>
      <c r="D79" s="104" t="s">
        <v>824</v>
      </c>
      <c r="E79" s="104" t="s">
        <v>824</v>
      </c>
      <c r="F79" s="104" t="s">
        <v>824</v>
      </c>
      <c r="G79" s="104" t="s">
        <v>824</v>
      </c>
      <c r="H79" s="104" t="s">
        <v>824</v>
      </c>
      <c r="I79" s="104" t="s">
        <v>824</v>
      </c>
      <c r="J79" s="183"/>
      <c r="K79" s="183"/>
      <c r="L79" s="182"/>
      <c r="M79" s="183"/>
      <c r="N79" s="183"/>
      <c r="O79" s="183"/>
      <c r="P79" s="183"/>
      <c r="Q79" s="113"/>
    </row>
    <row r="80" spans="1:17">
      <c r="A80" s="105">
        <v>1</v>
      </c>
      <c r="B80" s="155"/>
      <c r="C80" s="155"/>
      <c r="D80" s="155"/>
      <c r="E80" s="155"/>
      <c r="F80" s="155"/>
      <c r="G80" s="155"/>
      <c r="H80" s="155"/>
      <c r="I80" s="155"/>
      <c r="J80" s="180"/>
      <c r="K80" s="180"/>
      <c r="L80" s="183"/>
      <c r="M80" s="180"/>
      <c r="N80" s="180"/>
      <c r="O80" s="180"/>
      <c r="P80" s="180"/>
      <c r="Q80" s="180"/>
    </row>
    <row r="81" spans="1:17">
      <c r="A81" s="105">
        <v>2</v>
      </c>
      <c r="B81" s="155"/>
      <c r="C81" s="155"/>
      <c r="D81" s="155"/>
      <c r="E81" s="155"/>
      <c r="F81" s="155"/>
      <c r="G81" s="155"/>
      <c r="H81" s="155"/>
      <c r="I81" s="155"/>
      <c r="J81" s="180"/>
      <c r="K81" s="180"/>
      <c r="L81" s="180"/>
      <c r="M81" s="180"/>
      <c r="N81" s="180"/>
      <c r="O81" s="180"/>
      <c r="P81" s="180"/>
      <c r="Q81" s="180"/>
    </row>
    <row r="82" spans="1:17">
      <c r="A82" s="105">
        <v>3</v>
      </c>
      <c r="B82" s="155"/>
      <c r="C82" s="155"/>
      <c r="D82" s="155"/>
      <c r="E82" s="155"/>
      <c r="F82" s="155"/>
      <c r="G82" s="155"/>
      <c r="H82" s="155"/>
      <c r="I82" s="155"/>
      <c r="J82" s="180"/>
      <c r="K82" s="180"/>
      <c r="L82" s="180"/>
      <c r="M82" s="180"/>
      <c r="N82" s="180"/>
      <c r="O82" s="180"/>
      <c r="P82" s="180"/>
      <c r="Q82" s="180"/>
    </row>
    <row r="83" spans="1:17">
      <c r="A83" s="105">
        <v>4</v>
      </c>
      <c r="B83" s="155"/>
      <c r="C83" s="155"/>
      <c r="D83" s="155"/>
      <c r="E83" s="155"/>
      <c r="F83" s="155"/>
      <c r="G83" s="155"/>
      <c r="H83" s="155"/>
      <c r="I83" s="155"/>
      <c r="J83" s="180"/>
      <c r="K83" s="180"/>
      <c r="L83" s="180"/>
      <c r="M83" s="180"/>
      <c r="N83" s="180"/>
      <c r="O83" s="180"/>
      <c r="P83" s="180"/>
      <c r="Q83" s="180"/>
    </row>
    <row r="84" spans="1:17">
      <c r="A84" s="105">
        <v>5</v>
      </c>
      <c r="B84" s="155"/>
      <c r="C84" s="155"/>
      <c r="D84" s="155"/>
      <c r="E84" s="155"/>
      <c r="F84" s="155"/>
      <c r="G84" s="155"/>
      <c r="H84" s="155"/>
      <c r="I84" s="155"/>
      <c r="J84" s="180"/>
      <c r="K84" s="180"/>
      <c r="L84" s="180"/>
      <c r="M84" s="180"/>
      <c r="N84" s="180"/>
      <c r="O84" s="180"/>
      <c r="P84" s="180"/>
      <c r="Q84" s="180"/>
    </row>
    <row r="85" spans="1:17">
      <c r="A85" s="105">
        <v>6</v>
      </c>
      <c r="B85" s="155"/>
      <c r="C85" s="155"/>
      <c r="D85" s="155"/>
      <c r="E85" s="155"/>
      <c r="F85" s="155"/>
      <c r="G85" s="155"/>
      <c r="H85" s="155"/>
      <c r="I85" s="155"/>
      <c r="J85" s="180"/>
      <c r="K85" s="180"/>
      <c r="L85" s="180"/>
      <c r="M85" s="180"/>
      <c r="N85" s="180"/>
      <c r="O85" s="180"/>
      <c r="P85" s="180"/>
      <c r="Q85" s="180"/>
    </row>
    <row r="86" spans="1:17">
      <c r="A86" s="105">
        <v>7</v>
      </c>
      <c r="B86" s="155"/>
      <c r="C86" s="155"/>
      <c r="D86" s="155"/>
      <c r="E86" s="155"/>
      <c r="F86" s="155"/>
      <c r="G86" s="155"/>
      <c r="H86" s="155"/>
      <c r="I86" s="155"/>
      <c r="J86" s="180"/>
      <c r="K86" s="180"/>
      <c r="L86" s="180"/>
      <c r="M86" s="180"/>
      <c r="N86" s="180"/>
      <c r="O86" s="180"/>
      <c r="P86" s="180"/>
      <c r="Q86" s="180"/>
    </row>
    <row r="87" spans="1:17">
      <c r="A87" s="105">
        <v>8</v>
      </c>
      <c r="B87" s="155"/>
      <c r="C87" s="155"/>
      <c r="D87" s="155"/>
      <c r="E87" s="155"/>
      <c r="F87" s="155"/>
      <c r="G87" s="155"/>
      <c r="H87" s="155"/>
      <c r="I87" s="155"/>
      <c r="J87" s="180"/>
      <c r="K87" s="180"/>
      <c r="L87" s="180"/>
      <c r="M87" s="180"/>
      <c r="N87" s="180"/>
      <c r="O87" s="180"/>
      <c r="P87" s="180"/>
      <c r="Q87" s="180"/>
    </row>
    <row r="88" spans="1:17">
      <c r="A88" s="105">
        <v>9</v>
      </c>
      <c r="B88" s="155"/>
      <c r="C88" s="155"/>
      <c r="D88" s="155"/>
      <c r="E88" s="155"/>
      <c r="F88" s="155"/>
      <c r="G88" s="155"/>
      <c r="H88" s="155"/>
      <c r="I88" s="155"/>
      <c r="J88" s="180"/>
      <c r="K88" s="180"/>
      <c r="L88" s="180"/>
      <c r="M88" s="180"/>
      <c r="N88" s="180"/>
      <c r="O88" s="180"/>
      <c r="P88" s="180"/>
      <c r="Q88" s="180"/>
    </row>
    <row r="89" spans="1:17">
      <c r="A89" s="105">
        <v>10</v>
      </c>
      <c r="B89" s="155"/>
      <c r="C89" s="155"/>
      <c r="D89" s="155"/>
      <c r="E89" s="155"/>
      <c r="F89" s="155"/>
      <c r="G89" s="155"/>
      <c r="H89" s="155"/>
      <c r="I89" s="155"/>
      <c r="J89" s="180"/>
      <c r="K89" s="180"/>
      <c r="L89" s="180"/>
      <c r="M89" s="180"/>
      <c r="N89" s="180"/>
      <c r="O89" s="180"/>
      <c r="P89" s="180"/>
      <c r="Q89" s="180"/>
    </row>
    <row r="90" spans="1:17">
      <c r="A90" s="105">
        <v>11</v>
      </c>
      <c r="B90" s="155"/>
      <c r="C90" s="155"/>
      <c r="D90" s="155"/>
      <c r="E90" s="155"/>
      <c r="F90" s="155"/>
      <c r="G90" s="155"/>
      <c r="H90" s="155"/>
      <c r="I90" s="155"/>
      <c r="J90" s="180"/>
      <c r="K90" s="180"/>
      <c r="L90" s="180"/>
      <c r="M90" s="180"/>
      <c r="N90" s="180"/>
      <c r="O90" s="180"/>
      <c r="P90" s="180"/>
      <c r="Q90" s="180"/>
    </row>
    <row r="91" spans="1:17">
      <c r="A91" s="105">
        <v>12</v>
      </c>
      <c r="B91" s="155"/>
      <c r="C91" s="155"/>
      <c r="D91" s="155"/>
      <c r="E91" s="155"/>
      <c r="F91" s="155"/>
      <c r="G91" s="155"/>
      <c r="H91" s="155"/>
      <c r="I91" s="155"/>
      <c r="J91" s="180"/>
      <c r="K91" s="180"/>
      <c r="L91" s="180"/>
      <c r="M91" s="180"/>
      <c r="N91" s="180"/>
      <c r="O91" s="180"/>
      <c r="P91" s="180"/>
      <c r="Q91" s="180"/>
    </row>
    <row r="92" spans="1:17">
      <c r="A92" s="105">
        <v>13</v>
      </c>
      <c r="B92" s="155"/>
      <c r="C92" s="155"/>
      <c r="D92" s="155"/>
      <c r="E92" s="155"/>
      <c r="F92" s="155"/>
      <c r="G92" s="155"/>
      <c r="H92" s="155"/>
      <c r="I92" s="155"/>
      <c r="J92" s="180"/>
      <c r="K92" s="180"/>
      <c r="L92" s="180"/>
      <c r="M92" s="180"/>
      <c r="N92" s="180"/>
      <c r="O92" s="180"/>
      <c r="P92" s="180"/>
      <c r="Q92" s="180"/>
    </row>
    <row r="93" spans="1:17">
      <c r="A93" s="105">
        <v>14</v>
      </c>
      <c r="B93" s="155"/>
      <c r="C93" s="155"/>
      <c r="D93" s="155"/>
      <c r="E93" s="155"/>
      <c r="F93" s="155"/>
      <c r="G93" s="155"/>
      <c r="H93" s="155"/>
      <c r="I93" s="155"/>
      <c r="J93" s="180"/>
      <c r="K93" s="180"/>
      <c r="L93" s="180"/>
      <c r="M93" s="180"/>
      <c r="N93" s="180"/>
      <c r="O93" s="180"/>
      <c r="P93" s="180"/>
      <c r="Q93" s="180"/>
    </row>
    <row r="94" spans="1:17">
      <c r="A94" s="105">
        <v>15</v>
      </c>
      <c r="B94" s="155"/>
      <c r="C94" s="155"/>
      <c r="D94" s="155"/>
      <c r="E94" s="155"/>
      <c r="F94" s="155"/>
      <c r="G94" s="155"/>
      <c r="H94" s="155"/>
      <c r="I94" s="155"/>
      <c r="J94" s="180"/>
      <c r="K94" s="180"/>
      <c r="L94" s="180"/>
      <c r="M94" s="180"/>
      <c r="N94" s="180"/>
      <c r="O94" s="180"/>
      <c r="P94" s="180"/>
      <c r="Q94" s="180"/>
    </row>
    <row r="95" spans="1:17">
      <c r="A95" s="105">
        <v>16</v>
      </c>
      <c r="B95" s="155"/>
      <c r="C95" s="155"/>
      <c r="D95" s="155"/>
      <c r="E95" s="155"/>
      <c r="F95" s="155"/>
      <c r="G95" s="155"/>
      <c r="H95" s="155"/>
      <c r="I95" s="155"/>
      <c r="J95" s="180"/>
      <c r="K95" s="180"/>
      <c r="L95" s="180"/>
      <c r="M95" s="180"/>
      <c r="N95" s="180"/>
      <c r="O95" s="180"/>
      <c r="P95" s="180"/>
      <c r="Q95" s="180"/>
    </row>
    <row r="96" spans="1:17">
      <c r="A96" s="105">
        <v>17</v>
      </c>
      <c r="B96" s="155"/>
      <c r="C96" s="155"/>
      <c r="D96" s="155"/>
      <c r="E96" s="155"/>
      <c r="F96" s="155"/>
      <c r="G96" s="155"/>
      <c r="H96" s="155"/>
      <c r="I96" s="155"/>
      <c r="J96" s="180"/>
      <c r="K96" s="180"/>
      <c r="L96" s="180"/>
      <c r="M96" s="180"/>
      <c r="N96" s="180"/>
      <c r="O96" s="180"/>
      <c r="P96" s="180"/>
      <c r="Q96" s="180"/>
    </row>
    <row r="97" spans="1:17">
      <c r="A97" s="105">
        <v>18</v>
      </c>
      <c r="B97" s="155"/>
      <c r="C97" s="155"/>
      <c r="D97" s="155"/>
      <c r="E97" s="155"/>
      <c r="F97" s="155"/>
      <c r="G97" s="155"/>
      <c r="H97" s="155"/>
      <c r="I97" s="155"/>
      <c r="J97" s="180"/>
      <c r="K97" s="180"/>
      <c r="L97" s="180"/>
      <c r="M97" s="180"/>
      <c r="N97" s="180"/>
      <c r="O97" s="180"/>
      <c r="P97" s="180"/>
      <c r="Q97" s="180"/>
    </row>
    <row r="98" spans="1:17">
      <c r="A98" s="105">
        <v>19</v>
      </c>
      <c r="B98" s="155"/>
      <c r="C98" s="155"/>
      <c r="D98" s="155"/>
      <c r="E98" s="155"/>
      <c r="F98" s="155"/>
      <c r="G98" s="155"/>
      <c r="H98" s="155"/>
      <c r="I98" s="155"/>
      <c r="J98" s="180"/>
      <c r="K98" s="180"/>
      <c r="L98" s="180"/>
      <c r="M98" s="180"/>
      <c r="N98" s="180"/>
      <c r="O98" s="180"/>
      <c r="P98" s="180"/>
      <c r="Q98" s="180"/>
    </row>
    <row r="99" spans="1:17">
      <c r="A99" s="105">
        <v>20</v>
      </c>
      <c r="B99" s="155"/>
      <c r="C99" s="155"/>
      <c r="D99" s="155"/>
      <c r="E99" s="155"/>
      <c r="F99" s="155"/>
      <c r="G99" s="155"/>
      <c r="H99" s="155"/>
      <c r="I99" s="155"/>
      <c r="J99" s="180"/>
      <c r="K99" s="180"/>
      <c r="L99" s="180"/>
      <c r="M99" s="180"/>
      <c r="N99" s="180"/>
      <c r="O99" s="180"/>
      <c r="P99" s="180"/>
      <c r="Q99" s="180"/>
    </row>
    <row r="100" spans="1:17">
      <c r="A100" s="105">
        <v>21</v>
      </c>
      <c r="B100" s="155"/>
      <c r="C100" s="155"/>
      <c r="D100" s="155"/>
      <c r="E100" s="155"/>
      <c r="F100" s="155"/>
      <c r="G100" s="155"/>
      <c r="H100" s="155"/>
      <c r="I100" s="155"/>
      <c r="J100" s="180"/>
      <c r="K100" s="180"/>
      <c r="L100" s="180"/>
      <c r="M100" s="180"/>
      <c r="N100" s="180"/>
      <c r="O100" s="180"/>
      <c r="P100" s="180"/>
      <c r="Q100" s="180"/>
    </row>
    <row r="101" spans="1:17">
      <c r="A101" s="105">
        <v>22</v>
      </c>
      <c r="B101" s="155"/>
      <c r="C101" s="155"/>
      <c r="D101" s="155"/>
      <c r="E101" s="155"/>
      <c r="F101" s="155"/>
      <c r="G101" s="155"/>
      <c r="H101" s="155"/>
      <c r="I101" s="155"/>
      <c r="J101" s="180"/>
      <c r="K101" s="180"/>
      <c r="L101" s="180"/>
      <c r="M101" s="180"/>
      <c r="N101" s="180"/>
      <c r="O101" s="180"/>
      <c r="P101" s="180"/>
      <c r="Q101" s="180"/>
    </row>
    <row r="102" spans="1:17">
      <c r="A102" s="105">
        <v>23</v>
      </c>
      <c r="B102" s="155"/>
      <c r="C102" s="155"/>
      <c r="D102" s="155"/>
      <c r="E102" s="155"/>
      <c r="F102" s="155"/>
      <c r="G102" s="155"/>
      <c r="H102" s="155"/>
      <c r="I102" s="155"/>
      <c r="J102" s="180"/>
      <c r="K102" s="180"/>
      <c r="L102" s="180"/>
      <c r="M102" s="180"/>
      <c r="N102" s="180"/>
      <c r="O102" s="180"/>
      <c r="P102" s="180"/>
      <c r="Q102" s="180"/>
    </row>
    <row r="103" spans="1:17">
      <c r="A103" s="105">
        <v>24</v>
      </c>
      <c r="B103" s="155"/>
      <c r="C103" s="155"/>
      <c r="D103" s="155"/>
      <c r="E103" s="155"/>
      <c r="F103" s="155"/>
      <c r="G103" s="155"/>
      <c r="H103" s="155"/>
      <c r="I103" s="155"/>
      <c r="J103" s="180"/>
      <c r="K103" s="180"/>
      <c r="L103" s="180"/>
      <c r="M103" s="180"/>
      <c r="N103" s="180"/>
      <c r="O103" s="180"/>
      <c r="P103" s="180"/>
      <c r="Q103" s="180"/>
    </row>
    <row r="104" spans="1:17">
      <c r="A104" s="105">
        <v>25</v>
      </c>
      <c r="B104" s="155"/>
      <c r="C104" s="155"/>
      <c r="D104" s="155"/>
      <c r="E104" s="155"/>
      <c r="F104" s="155"/>
      <c r="G104" s="155"/>
      <c r="H104" s="155"/>
      <c r="I104" s="155"/>
      <c r="J104" s="180"/>
      <c r="K104" s="180"/>
      <c r="L104" s="180"/>
      <c r="M104" s="180"/>
      <c r="N104" s="180"/>
      <c r="O104" s="180"/>
      <c r="P104" s="180"/>
      <c r="Q104" s="180"/>
    </row>
    <row r="105" spans="1:17">
      <c r="A105" s="105">
        <v>26</v>
      </c>
      <c r="B105" s="155"/>
      <c r="C105" s="155"/>
      <c r="D105" s="155"/>
      <c r="E105" s="155"/>
      <c r="F105" s="155"/>
      <c r="G105" s="155"/>
      <c r="H105" s="155"/>
      <c r="I105" s="155"/>
      <c r="J105" s="180"/>
      <c r="K105" s="180"/>
      <c r="L105" s="180"/>
      <c r="M105" s="180"/>
      <c r="N105" s="180"/>
      <c r="O105" s="180"/>
      <c r="P105" s="180"/>
      <c r="Q105" s="180"/>
    </row>
    <row r="106" spans="1:17">
      <c r="A106" s="105">
        <v>27</v>
      </c>
      <c r="B106" s="155"/>
      <c r="C106" s="155"/>
      <c r="D106" s="155"/>
      <c r="E106" s="155"/>
      <c r="F106" s="155"/>
      <c r="G106" s="155"/>
      <c r="H106" s="155"/>
      <c r="I106" s="155"/>
      <c r="J106" s="180"/>
      <c r="K106" s="180"/>
      <c r="L106" s="180"/>
      <c r="M106" s="180"/>
      <c r="N106" s="180"/>
      <c r="O106" s="180"/>
      <c r="P106" s="180"/>
      <c r="Q106" s="180"/>
    </row>
    <row r="107" spans="1:17">
      <c r="A107" s="105">
        <v>28</v>
      </c>
      <c r="B107" s="155"/>
      <c r="C107" s="155"/>
      <c r="D107" s="155"/>
      <c r="E107" s="155"/>
      <c r="F107" s="155"/>
      <c r="G107" s="155"/>
      <c r="H107" s="155"/>
      <c r="I107" s="155"/>
      <c r="J107" s="180"/>
      <c r="K107" s="180"/>
      <c r="L107" s="180"/>
      <c r="M107" s="180"/>
      <c r="N107" s="180"/>
      <c r="O107" s="180"/>
      <c r="P107" s="180"/>
      <c r="Q107" s="180"/>
    </row>
    <row r="108" spans="1:17">
      <c r="A108" s="105">
        <v>29</v>
      </c>
      <c r="B108" s="155"/>
      <c r="C108" s="155"/>
      <c r="D108" s="155"/>
      <c r="E108" s="155"/>
      <c r="F108" s="155"/>
      <c r="G108" s="155"/>
      <c r="H108" s="155"/>
      <c r="I108" s="155"/>
      <c r="J108" s="180"/>
      <c r="K108" s="180"/>
      <c r="L108" s="180"/>
      <c r="M108" s="180"/>
      <c r="N108" s="180"/>
      <c r="O108" s="180"/>
      <c r="P108" s="180"/>
      <c r="Q108" s="180"/>
    </row>
    <row r="109" spans="1:17">
      <c r="A109" s="105">
        <v>30</v>
      </c>
      <c r="B109" s="155"/>
      <c r="C109" s="155"/>
      <c r="D109" s="155"/>
      <c r="E109" s="155"/>
      <c r="F109" s="155"/>
      <c r="G109" s="155"/>
      <c r="H109" s="155"/>
      <c r="I109" s="155"/>
      <c r="J109" s="180"/>
      <c r="K109" s="180"/>
      <c r="L109" s="180"/>
      <c r="M109" s="180"/>
      <c r="N109" s="180"/>
      <c r="O109" s="180"/>
      <c r="P109" s="180"/>
      <c r="Q109" s="180"/>
    </row>
    <row r="110" spans="1:17">
      <c r="A110" s="105">
        <v>31</v>
      </c>
      <c r="B110" s="155"/>
      <c r="C110" s="155"/>
      <c r="D110" s="155"/>
      <c r="E110" s="155"/>
      <c r="F110" s="155"/>
      <c r="G110" s="155"/>
      <c r="H110" s="155"/>
      <c r="I110" s="155"/>
      <c r="J110" s="180"/>
      <c r="K110" s="180"/>
      <c r="L110" s="180"/>
      <c r="M110" s="180"/>
      <c r="N110" s="180"/>
      <c r="O110" s="180"/>
      <c r="P110" s="180"/>
      <c r="Q110" s="180"/>
    </row>
    <row r="111" spans="1:17">
      <c r="A111" s="105">
        <v>32</v>
      </c>
      <c r="B111" s="155"/>
      <c r="C111" s="155"/>
      <c r="D111" s="155"/>
      <c r="E111" s="155"/>
      <c r="F111" s="155"/>
      <c r="G111" s="155"/>
      <c r="H111" s="155"/>
      <c r="I111" s="155"/>
      <c r="J111" s="180"/>
      <c r="K111" s="180"/>
      <c r="L111" s="180"/>
      <c r="M111" s="180"/>
      <c r="N111" s="180"/>
      <c r="O111" s="180"/>
      <c r="P111" s="180"/>
      <c r="Q111" s="180"/>
    </row>
    <row r="112" spans="1:17">
      <c r="A112" s="105">
        <v>33</v>
      </c>
      <c r="B112" s="155"/>
      <c r="C112" s="155"/>
      <c r="D112" s="155"/>
      <c r="E112" s="155"/>
      <c r="F112" s="155"/>
      <c r="G112" s="155"/>
      <c r="H112" s="155"/>
      <c r="I112" s="155"/>
      <c r="J112" s="180"/>
      <c r="K112" s="180"/>
      <c r="L112" s="180"/>
      <c r="M112" s="180"/>
      <c r="N112" s="180"/>
      <c r="O112" s="180"/>
      <c r="P112" s="180"/>
      <c r="Q112" s="180"/>
    </row>
    <row r="113" spans="1:17">
      <c r="A113" s="105">
        <v>34</v>
      </c>
      <c r="B113" s="155"/>
      <c r="C113" s="155"/>
      <c r="D113" s="155"/>
      <c r="E113" s="155"/>
      <c r="F113" s="155"/>
      <c r="G113" s="155"/>
      <c r="H113" s="155"/>
      <c r="I113" s="155"/>
      <c r="J113" s="180"/>
      <c r="K113" s="180"/>
      <c r="L113" s="180"/>
      <c r="M113" s="180"/>
      <c r="N113" s="180"/>
      <c r="O113" s="180"/>
      <c r="P113" s="180"/>
      <c r="Q113" s="180"/>
    </row>
    <row r="114" spans="1:17">
      <c r="A114" s="105">
        <v>35</v>
      </c>
      <c r="B114" s="155"/>
      <c r="C114" s="155"/>
      <c r="D114" s="155"/>
      <c r="E114" s="155"/>
      <c r="F114" s="155"/>
      <c r="G114" s="155"/>
      <c r="H114" s="155"/>
      <c r="I114" s="155"/>
      <c r="J114" s="180"/>
      <c r="K114" s="180"/>
      <c r="L114" s="180"/>
      <c r="M114" s="180"/>
      <c r="N114" s="180"/>
      <c r="O114" s="180"/>
      <c r="P114" s="180"/>
      <c r="Q114" s="180"/>
    </row>
    <row r="115" spans="1:17">
      <c r="A115" s="105">
        <v>36</v>
      </c>
      <c r="B115" s="155"/>
      <c r="C115" s="155"/>
      <c r="D115" s="155"/>
      <c r="E115" s="155"/>
      <c r="F115" s="155"/>
      <c r="G115" s="155"/>
      <c r="H115" s="155"/>
      <c r="I115" s="155"/>
      <c r="J115" s="180"/>
      <c r="K115" s="180"/>
      <c r="L115" s="180"/>
      <c r="M115" s="180"/>
      <c r="N115" s="180"/>
      <c r="O115" s="180"/>
      <c r="P115" s="180"/>
      <c r="Q115" s="180"/>
    </row>
    <row r="116" spans="1:17">
      <c r="A116" s="105">
        <v>37</v>
      </c>
      <c r="B116" s="155"/>
      <c r="C116" s="155"/>
      <c r="D116" s="155"/>
      <c r="E116" s="155"/>
      <c r="F116" s="155"/>
      <c r="G116" s="155"/>
      <c r="H116" s="155"/>
      <c r="I116" s="155"/>
      <c r="J116" s="180"/>
      <c r="K116" s="180"/>
      <c r="L116" s="180"/>
      <c r="M116" s="180"/>
      <c r="N116" s="180"/>
      <c r="O116" s="180"/>
      <c r="P116" s="180"/>
      <c r="Q116" s="180"/>
    </row>
    <row r="117" spans="1:17">
      <c r="A117" s="105">
        <v>38</v>
      </c>
      <c r="B117" s="155"/>
      <c r="C117" s="155"/>
      <c r="D117" s="155"/>
      <c r="E117" s="155"/>
      <c r="F117" s="155"/>
      <c r="G117" s="155"/>
      <c r="H117" s="155"/>
      <c r="I117" s="155"/>
      <c r="J117" s="180"/>
      <c r="K117" s="180"/>
      <c r="L117" s="180"/>
      <c r="M117" s="180"/>
      <c r="N117" s="180"/>
      <c r="O117" s="180"/>
      <c r="P117" s="180"/>
      <c r="Q117" s="180"/>
    </row>
    <row r="118" spans="1:17">
      <c r="A118" s="105">
        <v>39</v>
      </c>
      <c r="B118" s="155"/>
      <c r="C118" s="155"/>
      <c r="D118" s="155"/>
      <c r="E118" s="155"/>
      <c r="F118" s="155"/>
      <c r="G118" s="155"/>
      <c r="H118" s="155"/>
      <c r="I118" s="155"/>
      <c r="J118" s="180"/>
      <c r="K118" s="180"/>
      <c r="L118" s="180"/>
      <c r="M118" s="180"/>
      <c r="N118" s="180"/>
      <c r="O118" s="180"/>
      <c r="P118" s="180"/>
      <c r="Q118" s="180"/>
    </row>
    <row r="119" spans="1:17">
      <c r="A119" s="105">
        <v>40</v>
      </c>
      <c r="B119" s="155"/>
      <c r="C119" s="155"/>
      <c r="D119" s="155"/>
      <c r="E119" s="155"/>
      <c r="F119" s="155"/>
      <c r="G119" s="155"/>
      <c r="H119" s="155"/>
      <c r="I119" s="155"/>
      <c r="J119" s="180"/>
      <c r="K119" s="180"/>
      <c r="L119" s="180"/>
      <c r="M119" s="180"/>
      <c r="N119" s="180"/>
      <c r="O119" s="180"/>
      <c r="P119" s="180"/>
      <c r="Q119" s="180"/>
    </row>
    <row r="120" spans="1:17">
      <c r="A120" s="105">
        <v>41</v>
      </c>
      <c r="B120" s="155"/>
      <c r="C120" s="155"/>
      <c r="D120" s="155"/>
      <c r="E120" s="155"/>
      <c r="F120" s="155"/>
      <c r="G120" s="155"/>
      <c r="H120" s="155"/>
      <c r="I120" s="155"/>
      <c r="J120" s="180"/>
      <c r="K120" s="180"/>
      <c r="L120" s="180"/>
      <c r="M120" s="180"/>
      <c r="N120" s="180"/>
      <c r="O120" s="180"/>
      <c r="P120" s="180"/>
      <c r="Q120" s="180"/>
    </row>
    <row r="121" spans="1:17">
      <c r="A121" s="105">
        <v>42</v>
      </c>
      <c r="B121" s="155"/>
      <c r="C121" s="155"/>
      <c r="D121" s="155"/>
      <c r="E121" s="155"/>
      <c r="F121" s="155"/>
      <c r="G121" s="155"/>
      <c r="H121" s="155"/>
      <c r="I121" s="155"/>
      <c r="J121" s="180"/>
      <c r="K121" s="180"/>
      <c r="L121" s="180"/>
      <c r="M121" s="180"/>
      <c r="N121" s="180"/>
      <c r="O121" s="180"/>
      <c r="P121" s="180"/>
      <c r="Q121" s="180"/>
    </row>
    <row r="122" spans="1:17">
      <c r="A122" s="105">
        <v>43</v>
      </c>
      <c r="B122" s="155"/>
      <c r="C122" s="155"/>
      <c r="D122" s="155"/>
      <c r="E122" s="155"/>
      <c r="F122" s="155"/>
      <c r="G122" s="155"/>
      <c r="H122" s="155"/>
      <c r="I122" s="155"/>
      <c r="J122" s="180"/>
      <c r="K122" s="180"/>
      <c r="L122" s="180"/>
      <c r="M122" s="180"/>
      <c r="N122" s="180"/>
      <c r="O122" s="180"/>
      <c r="P122" s="180"/>
      <c r="Q122" s="180"/>
    </row>
    <row r="123" spans="1:17">
      <c r="A123" s="105">
        <v>44</v>
      </c>
      <c r="B123" s="155"/>
      <c r="C123" s="155"/>
      <c r="D123" s="155"/>
      <c r="E123" s="155"/>
      <c r="F123" s="155"/>
      <c r="G123" s="155"/>
      <c r="H123" s="155"/>
      <c r="I123" s="155"/>
      <c r="J123" s="180"/>
      <c r="K123" s="180"/>
      <c r="L123" s="180"/>
      <c r="M123" s="180"/>
      <c r="N123" s="180"/>
      <c r="O123" s="180"/>
      <c r="P123" s="180"/>
      <c r="Q123" s="180"/>
    </row>
    <row r="124" spans="1:17">
      <c r="A124" s="105">
        <v>45</v>
      </c>
      <c r="B124" s="155"/>
      <c r="C124" s="155"/>
      <c r="D124" s="155"/>
      <c r="E124" s="155"/>
      <c r="F124" s="155"/>
      <c r="G124" s="155"/>
      <c r="H124" s="155"/>
      <c r="I124" s="155"/>
      <c r="J124" s="180"/>
      <c r="K124" s="180"/>
      <c r="L124" s="180"/>
      <c r="M124" s="180"/>
      <c r="N124" s="180"/>
      <c r="O124" s="180"/>
      <c r="P124" s="180"/>
      <c r="Q124" s="180"/>
    </row>
    <row r="125" spans="1:17">
      <c r="A125" s="105">
        <v>46</v>
      </c>
      <c r="B125" s="155"/>
      <c r="C125" s="155"/>
      <c r="D125" s="155"/>
      <c r="E125" s="155"/>
      <c r="F125" s="155"/>
      <c r="G125" s="155"/>
      <c r="H125" s="155"/>
      <c r="I125" s="155"/>
      <c r="J125" s="180"/>
      <c r="K125" s="180"/>
      <c r="L125" s="180"/>
      <c r="M125" s="180"/>
      <c r="N125" s="180"/>
      <c r="O125" s="180"/>
      <c r="P125" s="180"/>
      <c r="Q125" s="180"/>
    </row>
    <row r="126" spans="1:17">
      <c r="A126" s="105">
        <v>47</v>
      </c>
      <c r="B126" s="155"/>
      <c r="C126" s="155"/>
      <c r="D126" s="155"/>
      <c r="E126" s="155"/>
      <c r="F126" s="155"/>
      <c r="G126" s="155"/>
      <c r="H126" s="155"/>
      <c r="I126" s="155"/>
      <c r="J126" s="180"/>
      <c r="K126" s="180"/>
      <c r="L126" s="180"/>
      <c r="M126" s="180"/>
      <c r="N126" s="180"/>
      <c r="O126" s="180"/>
      <c r="P126" s="180"/>
      <c r="Q126" s="180"/>
    </row>
    <row r="127" spans="1:17">
      <c r="A127" s="105">
        <v>48</v>
      </c>
      <c r="B127" s="155"/>
      <c r="C127" s="155"/>
      <c r="D127" s="155"/>
      <c r="E127" s="155"/>
      <c r="F127" s="155"/>
      <c r="G127" s="155"/>
      <c r="H127" s="155"/>
      <c r="I127" s="155"/>
      <c r="J127" s="180"/>
      <c r="K127" s="180"/>
      <c r="L127" s="180"/>
      <c r="M127" s="180"/>
      <c r="N127" s="180"/>
      <c r="O127" s="180"/>
      <c r="P127" s="180"/>
      <c r="Q127" s="180"/>
    </row>
    <row r="128" spans="1:17">
      <c r="A128" s="105">
        <v>49</v>
      </c>
      <c r="B128" s="155"/>
      <c r="C128" s="155"/>
      <c r="D128" s="155"/>
      <c r="E128" s="155"/>
      <c r="F128" s="155"/>
      <c r="G128" s="155"/>
      <c r="H128" s="155"/>
      <c r="I128" s="155"/>
      <c r="J128" s="180"/>
      <c r="K128" s="180"/>
      <c r="L128" s="180"/>
      <c r="M128" s="180"/>
      <c r="N128" s="180"/>
      <c r="O128" s="180"/>
      <c r="P128" s="180"/>
      <c r="Q128" s="180"/>
    </row>
    <row r="129" spans="1:17">
      <c r="A129" s="105">
        <v>50</v>
      </c>
      <c r="B129" s="155"/>
      <c r="C129" s="155"/>
      <c r="D129" s="155"/>
      <c r="E129" s="155"/>
      <c r="F129" s="155"/>
      <c r="G129" s="155"/>
      <c r="H129" s="155"/>
      <c r="I129" s="155"/>
      <c r="J129" s="180"/>
      <c r="K129" s="180"/>
      <c r="L129" s="180"/>
      <c r="M129" s="180"/>
      <c r="N129" s="180"/>
      <c r="O129" s="180"/>
      <c r="P129" s="180"/>
      <c r="Q129" s="180"/>
    </row>
    <row r="130" spans="1:17">
      <c r="A130" s="105">
        <v>52</v>
      </c>
      <c r="B130" s="155"/>
      <c r="C130" s="155"/>
      <c r="D130" s="155"/>
      <c r="E130" s="155"/>
      <c r="F130" s="155"/>
      <c r="G130" s="155"/>
      <c r="H130" s="155"/>
      <c r="I130" s="155"/>
      <c r="J130" s="180"/>
      <c r="K130" s="180"/>
      <c r="L130" s="180"/>
      <c r="M130" s="180"/>
      <c r="N130" s="180"/>
      <c r="O130" s="180"/>
      <c r="P130" s="180"/>
      <c r="Q130" s="180"/>
    </row>
    <row r="131" spans="1:17">
      <c r="A131" s="105">
        <v>53</v>
      </c>
      <c r="B131" s="155"/>
      <c r="C131" s="155"/>
      <c r="D131" s="155"/>
      <c r="E131" s="155"/>
      <c r="F131" s="155"/>
      <c r="G131" s="155"/>
      <c r="H131" s="155"/>
      <c r="I131" s="155"/>
      <c r="J131" s="180"/>
      <c r="K131" s="180"/>
      <c r="L131" s="180"/>
      <c r="M131" s="180"/>
      <c r="N131" s="180"/>
      <c r="O131" s="180"/>
      <c r="P131" s="180"/>
      <c r="Q131" s="180"/>
    </row>
    <row r="132" spans="1:17">
      <c r="A132" s="105">
        <v>54</v>
      </c>
      <c r="B132" s="155"/>
      <c r="C132" s="155"/>
      <c r="D132" s="155"/>
      <c r="E132" s="155"/>
      <c r="F132" s="155"/>
      <c r="G132" s="155"/>
      <c r="H132" s="155"/>
      <c r="I132" s="155"/>
      <c r="J132" s="180"/>
      <c r="K132" s="180"/>
      <c r="L132" s="180"/>
      <c r="M132" s="180"/>
      <c r="N132" s="180"/>
      <c r="O132" s="180"/>
      <c r="P132" s="180"/>
      <c r="Q132" s="180"/>
    </row>
    <row r="133" spans="1:17">
      <c r="A133" s="105">
        <v>55</v>
      </c>
      <c r="B133" s="155"/>
      <c r="C133" s="155"/>
      <c r="D133" s="155"/>
      <c r="E133" s="155"/>
      <c r="F133" s="155"/>
      <c r="G133" s="155"/>
      <c r="H133" s="155"/>
      <c r="I133" s="155"/>
      <c r="J133" s="180"/>
      <c r="K133" s="180"/>
      <c r="L133" s="180"/>
      <c r="M133" s="180"/>
      <c r="N133" s="180"/>
      <c r="O133" s="180"/>
      <c r="P133" s="180"/>
      <c r="Q133" s="180"/>
    </row>
    <row r="134" spans="1:17">
      <c r="L134" s="180"/>
    </row>
  </sheetData>
  <mergeCells count="16">
    <mergeCell ref="R23:R25"/>
    <mergeCell ref="S23:Z23"/>
    <mergeCell ref="A77:A79"/>
    <mergeCell ref="B77:I77"/>
    <mergeCell ref="A3:A5"/>
    <mergeCell ref="R3:R5"/>
    <mergeCell ref="S3:Z3"/>
    <mergeCell ref="R13:R15"/>
    <mergeCell ref="S13:Z13"/>
    <mergeCell ref="B3:P3"/>
    <mergeCell ref="R33:R35"/>
    <mergeCell ref="S33:Z33"/>
    <mergeCell ref="R43:R45"/>
    <mergeCell ref="S43:Z43"/>
    <mergeCell ref="R53:R55"/>
    <mergeCell ref="S53:Z53"/>
  </mergeCells>
  <pageMargins left="0.7" right="0.7" top="0.75" bottom="0.75" header="0.3" footer="0.3"/>
  <pageSetup orientation="portrait" r:id="rId1"/>
  <headerFooter>
    <oddHeader>&amp;R&amp;"Calibri"&amp;10&amp;K000000 Unclassified / Non classifié&amp;1#_x000D_</oddHeader>
  </headerFooter>
  <rowBreaks count="1" manualBreakCount="1">
    <brk id="3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299D-8C96-42AC-97C1-CEC66B1E10CC}">
  <dimension ref="A1:G2648"/>
  <sheetViews>
    <sheetView zoomScale="70" zoomScaleNormal="70" workbookViewId="0">
      <selection activeCell="M30" sqref="M30"/>
    </sheetView>
  </sheetViews>
  <sheetFormatPr defaultRowHeight="14.5"/>
  <cols>
    <col min="1" max="1" width="6.7265625" customWidth="1"/>
    <col min="2" max="2" width="10.7265625" customWidth="1"/>
    <col min="3" max="3" width="7.54296875" bestFit="1" customWidth="1"/>
    <col min="4" max="4" width="13" customWidth="1"/>
    <col min="5" max="5" width="23.26953125" customWidth="1"/>
    <col min="6" max="6" width="19.26953125" customWidth="1"/>
    <col min="7" max="7" width="17.26953125" customWidth="1"/>
  </cols>
  <sheetData>
    <row r="1" spans="1:7" ht="18.5">
      <c r="A1" s="42" t="s">
        <v>844</v>
      </c>
    </row>
    <row r="2" spans="1:7">
      <c r="A2" t="s">
        <v>948</v>
      </c>
      <c r="F2" t="s">
        <v>950</v>
      </c>
      <c r="G2" s="100">
        <v>45348</v>
      </c>
    </row>
    <row r="3" spans="1:7">
      <c r="A3" s="140" t="s">
        <v>100</v>
      </c>
      <c r="B3" s="140" t="s">
        <v>101</v>
      </c>
      <c r="C3" s="140" t="s">
        <v>834</v>
      </c>
      <c r="D3" s="140" t="s">
        <v>758</v>
      </c>
      <c r="E3" s="140" t="s">
        <v>756</v>
      </c>
      <c r="F3" s="140" t="s">
        <v>832</v>
      </c>
      <c r="G3" s="140" t="s">
        <v>833</v>
      </c>
    </row>
    <row r="4" spans="1:7">
      <c r="A4" s="107">
        <v>1</v>
      </c>
      <c r="B4" s="107">
        <v>1</v>
      </c>
      <c r="C4" s="107">
        <v>1</v>
      </c>
      <c r="D4" s="107" t="s">
        <v>130</v>
      </c>
      <c r="E4" s="107" t="s">
        <v>132</v>
      </c>
      <c r="F4" s="161">
        <v>45358</v>
      </c>
      <c r="G4" s="107">
        <f>DATEDIF(G$2,F4,"d")</f>
        <v>10</v>
      </c>
    </row>
    <row r="5" spans="1:7">
      <c r="A5" s="107">
        <v>1</v>
      </c>
      <c r="B5" s="107">
        <v>1</v>
      </c>
      <c r="C5" s="107">
        <v>2</v>
      </c>
      <c r="D5" s="107" t="s">
        <v>130</v>
      </c>
      <c r="E5" s="107" t="s">
        <v>132</v>
      </c>
      <c r="F5" s="161">
        <v>45354</v>
      </c>
      <c r="G5" s="107">
        <f t="shared" ref="G5:G68" si="0">DATEDIF(G$2,F5,"d")</f>
        <v>6</v>
      </c>
    </row>
    <row r="6" spans="1:7">
      <c r="A6" s="107">
        <v>1</v>
      </c>
      <c r="B6" s="107">
        <v>1</v>
      </c>
      <c r="C6" s="107">
        <v>3</v>
      </c>
      <c r="D6" s="107" t="s">
        <v>130</v>
      </c>
      <c r="E6" s="107" t="s">
        <v>132</v>
      </c>
      <c r="F6" s="107"/>
      <c r="G6" s="107"/>
    </row>
    <row r="7" spans="1:7">
      <c r="A7" s="107">
        <v>1</v>
      </c>
      <c r="B7" s="107">
        <v>1</v>
      </c>
      <c r="C7" s="107">
        <v>4</v>
      </c>
      <c r="D7" s="107" t="s">
        <v>130</v>
      </c>
      <c r="E7" s="107" t="s">
        <v>132</v>
      </c>
      <c r="F7" s="107"/>
      <c r="G7" s="107"/>
    </row>
    <row r="8" spans="1:7">
      <c r="A8" s="107">
        <v>1</v>
      </c>
      <c r="B8" s="107">
        <v>1</v>
      </c>
      <c r="C8" s="107">
        <v>5</v>
      </c>
      <c r="D8" s="107" t="s">
        <v>130</v>
      </c>
      <c r="E8" s="107" t="s">
        <v>132</v>
      </c>
      <c r="F8" s="107"/>
      <c r="G8" s="107"/>
    </row>
    <row r="9" spans="1:7">
      <c r="A9" s="107">
        <v>1</v>
      </c>
      <c r="B9" s="107">
        <v>1</v>
      </c>
      <c r="C9" s="107">
        <v>6</v>
      </c>
      <c r="D9" s="107" t="s">
        <v>130</v>
      </c>
      <c r="E9" s="107" t="s">
        <v>132</v>
      </c>
      <c r="F9" s="161">
        <v>45354</v>
      </c>
      <c r="G9" s="107">
        <f t="shared" si="0"/>
        <v>6</v>
      </c>
    </row>
    <row r="10" spans="1:7">
      <c r="A10" s="107">
        <v>1</v>
      </c>
      <c r="B10" s="107">
        <v>1</v>
      </c>
      <c r="C10" s="107">
        <v>7</v>
      </c>
      <c r="D10" s="107" t="s">
        <v>130</v>
      </c>
      <c r="E10" s="107" t="s">
        <v>132</v>
      </c>
      <c r="F10" s="107"/>
      <c r="G10" s="107"/>
    </row>
    <row r="11" spans="1:7">
      <c r="A11" s="107">
        <v>1</v>
      </c>
      <c r="B11" s="107">
        <v>1</v>
      </c>
      <c r="C11" s="107">
        <v>8</v>
      </c>
      <c r="D11" s="107" t="s">
        <v>130</v>
      </c>
      <c r="E11" s="107" t="s">
        <v>132</v>
      </c>
      <c r="F11" s="161">
        <v>45357</v>
      </c>
      <c r="G11" s="107">
        <f t="shared" si="0"/>
        <v>9</v>
      </c>
    </row>
    <row r="12" spans="1:7">
      <c r="A12" s="107">
        <v>1</v>
      </c>
      <c r="B12" s="107">
        <v>2</v>
      </c>
      <c r="C12" s="107">
        <v>1</v>
      </c>
      <c r="D12" s="107" t="s">
        <v>134</v>
      </c>
      <c r="E12" s="107" t="s">
        <v>135</v>
      </c>
      <c r="F12" s="161">
        <v>45355</v>
      </c>
      <c r="G12" s="107">
        <f t="shared" si="0"/>
        <v>7</v>
      </c>
    </row>
    <row r="13" spans="1:7">
      <c r="A13" s="107">
        <v>1</v>
      </c>
      <c r="B13" s="107">
        <v>2</v>
      </c>
      <c r="C13" s="107">
        <v>2</v>
      </c>
      <c r="D13" s="107" t="s">
        <v>134</v>
      </c>
      <c r="E13" s="107" t="s">
        <v>135</v>
      </c>
      <c r="F13" s="161">
        <v>45354</v>
      </c>
      <c r="G13" s="107">
        <f t="shared" si="0"/>
        <v>6</v>
      </c>
    </row>
    <row r="14" spans="1:7">
      <c r="A14" s="107">
        <v>1</v>
      </c>
      <c r="B14" s="107">
        <v>2</v>
      </c>
      <c r="C14" s="107">
        <v>3</v>
      </c>
      <c r="D14" s="107" t="s">
        <v>134</v>
      </c>
      <c r="E14" s="107" t="s">
        <v>135</v>
      </c>
      <c r="F14" s="161">
        <v>45353</v>
      </c>
      <c r="G14" s="107">
        <f t="shared" si="0"/>
        <v>5</v>
      </c>
    </row>
    <row r="15" spans="1:7">
      <c r="A15" s="107">
        <v>1</v>
      </c>
      <c r="B15" s="107">
        <v>2</v>
      </c>
      <c r="C15" s="107">
        <v>4</v>
      </c>
      <c r="D15" s="107" t="s">
        <v>134</v>
      </c>
      <c r="E15" s="107" t="s">
        <v>135</v>
      </c>
      <c r="F15" s="161">
        <v>45354</v>
      </c>
      <c r="G15" s="107">
        <f t="shared" si="0"/>
        <v>6</v>
      </c>
    </row>
    <row r="16" spans="1:7">
      <c r="A16" s="107">
        <v>1</v>
      </c>
      <c r="B16" s="107">
        <v>2</v>
      </c>
      <c r="C16" s="107">
        <v>5</v>
      </c>
      <c r="D16" s="107" t="s">
        <v>134</v>
      </c>
      <c r="E16" s="107" t="s">
        <v>135</v>
      </c>
      <c r="F16" s="161">
        <v>45353</v>
      </c>
      <c r="G16" s="107">
        <f t="shared" si="0"/>
        <v>5</v>
      </c>
    </row>
    <row r="17" spans="1:7">
      <c r="A17" s="107">
        <v>1</v>
      </c>
      <c r="B17" s="107">
        <v>2</v>
      </c>
      <c r="C17" s="107">
        <v>6</v>
      </c>
      <c r="D17" s="107" t="s">
        <v>134</v>
      </c>
      <c r="E17" s="107" t="s">
        <v>135</v>
      </c>
      <c r="F17" s="161">
        <v>45353</v>
      </c>
      <c r="G17" s="107">
        <f t="shared" si="0"/>
        <v>5</v>
      </c>
    </row>
    <row r="18" spans="1:7">
      <c r="A18" s="107">
        <v>1</v>
      </c>
      <c r="B18" s="107">
        <v>2</v>
      </c>
      <c r="C18" s="107">
        <v>7</v>
      </c>
      <c r="D18" s="107" t="s">
        <v>134</v>
      </c>
      <c r="E18" s="107" t="s">
        <v>135</v>
      </c>
      <c r="F18" s="161">
        <v>45354</v>
      </c>
      <c r="G18" s="107">
        <f t="shared" si="0"/>
        <v>6</v>
      </c>
    </row>
    <row r="19" spans="1:7">
      <c r="A19" s="107">
        <v>1</v>
      </c>
      <c r="B19" s="107">
        <v>2</v>
      </c>
      <c r="C19" s="107">
        <v>8</v>
      </c>
      <c r="D19" s="107" t="s">
        <v>134</v>
      </c>
      <c r="E19" s="107" t="s">
        <v>135</v>
      </c>
      <c r="F19" s="161">
        <v>45354</v>
      </c>
      <c r="G19" s="107">
        <f t="shared" si="0"/>
        <v>6</v>
      </c>
    </row>
    <row r="20" spans="1:7">
      <c r="A20" s="107">
        <v>1</v>
      </c>
      <c r="B20" s="107">
        <v>3</v>
      </c>
      <c r="C20" s="107">
        <v>1</v>
      </c>
      <c r="D20" s="107" t="s">
        <v>136</v>
      </c>
      <c r="E20" s="107" t="s">
        <v>137</v>
      </c>
      <c r="F20" s="161">
        <v>45355</v>
      </c>
      <c r="G20" s="107">
        <f t="shared" si="0"/>
        <v>7</v>
      </c>
    </row>
    <row r="21" spans="1:7">
      <c r="A21" s="107">
        <v>1</v>
      </c>
      <c r="B21" s="107">
        <v>3</v>
      </c>
      <c r="C21" s="107">
        <v>2</v>
      </c>
      <c r="D21" s="107" t="s">
        <v>136</v>
      </c>
      <c r="E21" s="107" t="s">
        <v>137</v>
      </c>
      <c r="F21" s="161">
        <v>45355</v>
      </c>
      <c r="G21" s="107">
        <f t="shared" si="0"/>
        <v>7</v>
      </c>
    </row>
    <row r="22" spans="1:7">
      <c r="A22" s="107">
        <v>1</v>
      </c>
      <c r="B22" s="107">
        <v>3</v>
      </c>
      <c r="C22" s="107">
        <v>3</v>
      </c>
      <c r="D22" s="107" t="s">
        <v>136</v>
      </c>
      <c r="E22" s="107" t="s">
        <v>137</v>
      </c>
      <c r="F22" s="161">
        <v>45356</v>
      </c>
      <c r="G22" s="107">
        <f t="shared" si="0"/>
        <v>8</v>
      </c>
    </row>
    <row r="23" spans="1:7">
      <c r="A23" s="107">
        <v>1</v>
      </c>
      <c r="B23" s="107">
        <v>3</v>
      </c>
      <c r="C23" s="107">
        <v>4</v>
      </c>
      <c r="D23" s="107" t="s">
        <v>136</v>
      </c>
      <c r="E23" s="107" t="s">
        <v>137</v>
      </c>
      <c r="F23" s="161">
        <v>45356</v>
      </c>
      <c r="G23" s="107">
        <f t="shared" si="0"/>
        <v>8</v>
      </c>
    </row>
    <row r="24" spans="1:7">
      <c r="A24" s="107">
        <v>1</v>
      </c>
      <c r="B24" s="107">
        <v>3</v>
      </c>
      <c r="C24" s="107">
        <v>5</v>
      </c>
      <c r="D24" s="107" t="s">
        <v>136</v>
      </c>
      <c r="E24" s="107" t="s">
        <v>137</v>
      </c>
      <c r="F24" s="161">
        <v>45355</v>
      </c>
      <c r="G24" s="107">
        <f t="shared" si="0"/>
        <v>7</v>
      </c>
    </row>
    <row r="25" spans="1:7">
      <c r="A25" s="107">
        <v>1</v>
      </c>
      <c r="B25" s="107">
        <v>3</v>
      </c>
      <c r="C25" s="107">
        <v>6</v>
      </c>
      <c r="D25" s="107" t="s">
        <v>136</v>
      </c>
      <c r="E25" s="107" t="s">
        <v>137</v>
      </c>
      <c r="F25" s="161">
        <v>45353</v>
      </c>
      <c r="G25" s="107">
        <f t="shared" si="0"/>
        <v>5</v>
      </c>
    </row>
    <row r="26" spans="1:7">
      <c r="A26" s="107">
        <v>1</v>
      </c>
      <c r="B26" s="107">
        <v>3</v>
      </c>
      <c r="C26" s="107">
        <v>7</v>
      </c>
      <c r="D26" s="107" t="s">
        <v>136</v>
      </c>
      <c r="E26" s="107" t="s">
        <v>137</v>
      </c>
      <c r="F26" s="161">
        <v>45354</v>
      </c>
      <c r="G26" s="107">
        <f t="shared" si="0"/>
        <v>6</v>
      </c>
    </row>
    <row r="27" spans="1:7">
      <c r="A27" s="107">
        <v>1</v>
      </c>
      <c r="B27" s="107">
        <v>3</v>
      </c>
      <c r="C27" s="107">
        <v>8</v>
      </c>
      <c r="D27" s="107" t="s">
        <v>136</v>
      </c>
      <c r="E27" s="107" t="s">
        <v>137</v>
      </c>
      <c r="F27" s="161">
        <v>45356</v>
      </c>
      <c r="G27" s="107">
        <f t="shared" si="0"/>
        <v>8</v>
      </c>
    </row>
    <row r="28" spans="1:7">
      <c r="A28" s="107">
        <v>1</v>
      </c>
      <c r="B28" s="107">
        <v>4</v>
      </c>
      <c r="C28" s="107">
        <v>1</v>
      </c>
      <c r="D28" s="107" t="s">
        <v>138</v>
      </c>
      <c r="E28" s="107" t="s">
        <v>139</v>
      </c>
      <c r="F28" s="161">
        <v>45355</v>
      </c>
      <c r="G28" s="107">
        <f t="shared" si="0"/>
        <v>7</v>
      </c>
    </row>
    <row r="29" spans="1:7">
      <c r="A29" s="107">
        <v>1</v>
      </c>
      <c r="B29" s="107">
        <v>4</v>
      </c>
      <c r="C29" s="107">
        <v>2</v>
      </c>
      <c r="D29" s="107" t="s">
        <v>138</v>
      </c>
      <c r="E29" s="107" t="s">
        <v>139</v>
      </c>
      <c r="F29" s="161">
        <v>45355</v>
      </c>
      <c r="G29" s="107">
        <f t="shared" si="0"/>
        <v>7</v>
      </c>
    </row>
    <row r="30" spans="1:7">
      <c r="A30" s="107">
        <v>1</v>
      </c>
      <c r="B30" s="107">
        <v>4</v>
      </c>
      <c r="C30" s="107">
        <v>3</v>
      </c>
      <c r="D30" s="107" t="s">
        <v>138</v>
      </c>
      <c r="E30" s="107" t="s">
        <v>139</v>
      </c>
      <c r="F30" s="161">
        <v>45354</v>
      </c>
      <c r="G30" s="107">
        <f t="shared" si="0"/>
        <v>6</v>
      </c>
    </row>
    <row r="31" spans="1:7">
      <c r="A31" s="107">
        <v>1</v>
      </c>
      <c r="B31" s="107">
        <v>4</v>
      </c>
      <c r="C31" s="107">
        <v>4</v>
      </c>
      <c r="D31" s="107" t="s">
        <v>138</v>
      </c>
      <c r="E31" s="107" t="s">
        <v>139</v>
      </c>
      <c r="F31" s="161">
        <v>45354</v>
      </c>
      <c r="G31" s="107">
        <f t="shared" si="0"/>
        <v>6</v>
      </c>
    </row>
    <row r="32" spans="1:7">
      <c r="A32" s="107">
        <v>1</v>
      </c>
      <c r="B32" s="107">
        <v>4</v>
      </c>
      <c r="C32" s="107">
        <v>5</v>
      </c>
      <c r="D32" s="107" t="s">
        <v>138</v>
      </c>
      <c r="E32" s="107" t="s">
        <v>139</v>
      </c>
      <c r="F32" s="161">
        <v>45355</v>
      </c>
      <c r="G32" s="107">
        <f t="shared" si="0"/>
        <v>7</v>
      </c>
    </row>
    <row r="33" spans="1:7">
      <c r="A33" s="107">
        <v>1</v>
      </c>
      <c r="B33" s="107">
        <v>4</v>
      </c>
      <c r="C33" s="107">
        <v>6</v>
      </c>
      <c r="D33" s="107" t="s">
        <v>138</v>
      </c>
      <c r="E33" s="107" t="s">
        <v>139</v>
      </c>
      <c r="F33" s="161">
        <v>45354</v>
      </c>
      <c r="G33" s="107">
        <f t="shared" si="0"/>
        <v>6</v>
      </c>
    </row>
    <row r="34" spans="1:7">
      <c r="A34" s="107">
        <v>1</v>
      </c>
      <c r="B34" s="107">
        <v>4</v>
      </c>
      <c r="C34" s="107">
        <v>7</v>
      </c>
      <c r="D34" s="107" t="s">
        <v>138</v>
      </c>
      <c r="E34" s="107" t="s">
        <v>139</v>
      </c>
      <c r="F34" s="161">
        <v>45355</v>
      </c>
      <c r="G34" s="107">
        <f t="shared" si="0"/>
        <v>7</v>
      </c>
    </row>
    <row r="35" spans="1:7">
      <c r="A35" s="107">
        <v>1</v>
      </c>
      <c r="B35" s="107">
        <v>4</v>
      </c>
      <c r="C35" s="107">
        <v>8</v>
      </c>
      <c r="D35" s="107" t="s">
        <v>138</v>
      </c>
      <c r="E35" s="107" t="s">
        <v>139</v>
      </c>
      <c r="F35" s="161">
        <v>45356</v>
      </c>
      <c r="G35" s="107">
        <f t="shared" si="0"/>
        <v>8</v>
      </c>
    </row>
    <row r="36" spans="1:7">
      <c r="A36" s="107">
        <v>1</v>
      </c>
      <c r="B36" s="107">
        <v>5</v>
      </c>
      <c r="C36" s="107">
        <v>1</v>
      </c>
      <c r="D36" s="107" t="s">
        <v>140</v>
      </c>
      <c r="E36" s="107" t="s">
        <v>141</v>
      </c>
      <c r="F36" s="161">
        <v>45354</v>
      </c>
      <c r="G36" s="107">
        <f t="shared" si="0"/>
        <v>6</v>
      </c>
    </row>
    <row r="37" spans="1:7">
      <c r="A37" s="107">
        <v>1</v>
      </c>
      <c r="B37" s="107">
        <v>5</v>
      </c>
      <c r="C37" s="107">
        <v>2</v>
      </c>
      <c r="D37" s="107" t="s">
        <v>140</v>
      </c>
      <c r="E37" s="107" t="s">
        <v>141</v>
      </c>
      <c r="F37" s="161">
        <v>45354</v>
      </c>
      <c r="G37" s="107">
        <f t="shared" si="0"/>
        <v>6</v>
      </c>
    </row>
    <row r="38" spans="1:7">
      <c r="A38" s="107">
        <v>1</v>
      </c>
      <c r="B38" s="107">
        <v>5</v>
      </c>
      <c r="C38" s="107">
        <v>3</v>
      </c>
      <c r="D38" s="107" t="s">
        <v>140</v>
      </c>
      <c r="E38" s="107" t="s">
        <v>141</v>
      </c>
      <c r="F38" s="161">
        <v>45354</v>
      </c>
      <c r="G38" s="107">
        <f t="shared" si="0"/>
        <v>6</v>
      </c>
    </row>
    <row r="39" spans="1:7">
      <c r="A39" s="107">
        <v>1</v>
      </c>
      <c r="B39" s="107">
        <v>5</v>
      </c>
      <c r="C39" s="107">
        <v>4</v>
      </c>
      <c r="D39" s="107" t="s">
        <v>140</v>
      </c>
      <c r="E39" s="107" t="s">
        <v>141</v>
      </c>
      <c r="F39" s="161">
        <v>45354</v>
      </c>
      <c r="G39" s="107">
        <f t="shared" si="0"/>
        <v>6</v>
      </c>
    </row>
    <row r="40" spans="1:7">
      <c r="A40" s="107">
        <v>1</v>
      </c>
      <c r="B40" s="107">
        <v>5</v>
      </c>
      <c r="C40" s="107">
        <v>5</v>
      </c>
      <c r="D40" s="107" t="s">
        <v>140</v>
      </c>
      <c r="E40" s="107" t="s">
        <v>141</v>
      </c>
      <c r="F40" s="161">
        <v>45354</v>
      </c>
      <c r="G40" s="107">
        <f t="shared" si="0"/>
        <v>6</v>
      </c>
    </row>
    <row r="41" spans="1:7">
      <c r="A41" s="107">
        <v>1</v>
      </c>
      <c r="B41" s="107">
        <v>5</v>
      </c>
      <c r="C41" s="107">
        <v>6</v>
      </c>
      <c r="D41" s="107" t="s">
        <v>140</v>
      </c>
      <c r="E41" s="107" t="s">
        <v>141</v>
      </c>
      <c r="F41" s="161">
        <v>45354</v>
      </c>
      <c r="G41" s="107">
        <f t="shared" si="0"/>
        <v>6</v>
      </c>
    </row>
    <row r="42" spans="1:7">
      <c r="A42" s="107">
        <v>1</v>
      </c>
      <c r="B42" s="107">
        <v>5</v>
      </c>
      <c r="C42" s="107">
        <v>7</v>
      </c>
      <c r="D42" s="107" t="s">
        <v>140</v>
      </c>
      <c r="E42" s="107" t="s">
        <v>141</v>
      </c>
      <c r="F42" s="161">
        <v>45355</v>
      </c>
      <c r="G42" s="107">
        <f t="shared" si="0"/>
        <v>7</v>
      </c>
    </row>
    <row r="43" spans="1:7">
      <c r="A43" s="107">
        <v>1</v>
      </c>
      <c r="B43" s="107">
        <v>5</v>
      </c>
      <c r="C43" s="107">
        <v>8</v>
      </c>
      <c r="D43" s="107" t="s">
        <v>140</v>
      </c>
      <c r="E43" s="107" t="s">
        <v>141</v>
      </c>
      <c r="F43" s="161">
        <v>45354</v>
      </c>
      <c r="G43" s="107">
        <f t="shared" si="0"/>
        <v>6</v>
      </c>
    </row>
    <row r="44" spans="1:7">
      <c r="A44" s="107">
        <v>1</v>
      </c>
      <c r="B44" s="107">
        <v>6</v>
      </c>
      <c r="C44" s="107">
        <v>1</v>
      </c>
      <c r="D44" s="107" t="s">
        <v>142</v>
      </c>
      <c r="E44" s="107" t="s">
        <v>143</v>
      </c>
      <c r="F44" s="161">
        <v>45355</v>
      </c>
      <c r="G44" s="107">
        <f t="shared" si="0"/>
        <v>7</v>
      </c>
    </row>
    <row r="45" spans="1:7">
      <c r="A45" s="107">
        <v>1</v>
      </c>
      <c r="B45" s="107">
        <v>6</v>
      </c>
      <c r="C45" s="107">
        <v>2</v>
      </c>
      <c r="D45" s="107" t="s">
        <v>142</v>
      </c>
      <c r="E45" s="107" t="s">
        <v>143</v>
      </c>
      <c r="F45" s="161">
        <v>45354</v>
      </c>
      <c r="G45" s="107">
        <f t="shared" si="0"/>
        <v>6</v>
      </c>
    </row>
    <row r="46" spans="1:7">
      <c r="A46" s="107">
        <v>1</v>
      </c>
      <c r="B46" s="107">
        <v>6</v>
      </c>
      <c r="C46" s="107">
        <v>3</v>
      </c>
      <c r="D46" s="107" t="s">
        <v>142</v>
      </c>
      <c r="E46" s="107" t="s">
        <v>143</v>
      </c>
      <c r="F46" s="161">
        <v>45354</v>
      </c>
      <c r="G46" s="107">
        <f t="shared" si="0"/>
        <v>6</v>
      </c>
    </row>
    <row r="47" spans="1:7">
      <c r="A47" s="107">
        <v>1</v>
      </c>
      <c r="B47" s="107">
        <v>6</v>
      </c>
      <c r="C47" s="107">
        <v>4</v>
      </c>
      <c r="D47" s="107" t="s">
        <v>142</v>
      </c>
      <c r="E47" s="107" t="s">
        <v>143</v>
      </c>
      <c r="F47" s="161">
        <v>45356</v>
      </c>
      <c r="G47" s="107">
        <f t="shared" si="0"/>
        <v>8</v>
      </c>
    </row>
    <row r="48" spans="1:7">
      <c r="A48" s="107">
        <v>1</v>
      </c>
      <c r="B48" s="107">
        <v>6</v>
      </c>
      <c r="C48" s="107">
        <v>5</v>
      </c>
      <c r="D48" s="107" t="s">
        <v>142</v>
      </c>
      <c r="E48" s="107" t="s">
        <v>143</v>
      </c>
      <c r="F48" s="161">
        <v>45354</v>
      </c>
      <c r="G48" s="107">
        <f t="shared" si="0"/>
        <v>6</v>
      </c>
    </row>
    <row r="49" spans="1:7">
      <c r="A49" s="107">
        <v>1</v>
      </c>
      <c r="B49" s="107">
        <v>6</v>
      </c>
      <c r="C49" s="107">
        <v>6</v>
      </c>
      <c r="D49" s="107" t="s">
        <v>142</v>
      </c>
      <c r="E49" s="107" t="s">
        <v>143</v>
      </c>
      <c r="F49" s="161">
        <v>45357</v>
      </c>
      <c r="G49" s="107">
        <f t="shared" si="0"/>
        <v>9</v>
      </c>
    </row>
    <row r="50" spans="1:7">
      <c r="A50" s="107">
        <v>1</v>
      </c>
      <c r="B50" s="107">
        <v>6</v>
      </c>
      <c r="C50" s="107">
        <v>7</v>
      </c>
      <c r="D50" s="107" t="s">
        <v>142</v>
      </c>
      <c r="E50" s="107" t="s">
        <v>143</v>
      </c>
      <c r="F50" s="161">
        <v>45355</v>
      </c>
      <c r="G50" s="107">
        <f t="shared" si="0"/>
        <v>7</v>
      </c>
    </row>
    <row r="51" spans="1:7">
      <c r="A51" s="107">
        <v>1</v>
      </c>
      <c r="B51" s="107">
        <v>6</v>
      </c>
      <c r="C51" s="107">
        <v>8</v>
      </c>
      <c r="D51" s="107" t="s">
        <v>142</v>
      </c>
      <c r="E51" s="107" t="s">
        <v>143</v>
      </c>
      <c r="F51" s="161">
        <v>45353</v>
      </c>
      <c r="G51" s="107">
        <f t="shared" si="0"/>
        <v>5</v>
      </c>
    </row>
    <row r="52" spans="1:7">
      <c r="D52" s="139"/>
      <c r="E52" s="139"/>
      <c r="F52" s="139"/>
      <c r="G52" s="139"/>
    </row>
    <row r="53" spans="1:7">
      <c r="A53" s="107">
        <v>2</v>
      </c>
      <c r="B53" s="107">
        <v>1</v>
      </c>
      <c r="C53" s="107">
        <v>1</v>
      </c>
      <c r="D53" s="107" t="s">
        <v>144</v>
      </c>
      <c r="E53" s="107" t="s">
        <v>145</v>
      </c>
      <c r="F53" s="161">
        <v>45358</v>
      </c>
      <c r="G53" s="107">
        <f t="shared" si="0"/>
        <v>10</v>
      </c>
    </row>
    <row r="54" spans="1:7">
      <c r="A54" s="107">
        <v>2</v>
      </c>
      <c r="B54" s="107">
        <v>1</v>
      </c>
      <c r="C54" s="107">
        <v>2</v>
      </c>
      <c r="D54" s="107" t="s">
        <v>144</v>
      </c>
      <c r="E54" s="107" t="s">
        <v>145</v>
      </c>
      <c r="F54" s="161">
        <v>45354</v>
      </c>
      <c r="G54" s="107">
        <f t="shared" si="0"/>
        <v>6</v>
      </c>
    </row>
    <row r="55" spans="1:7">
      <c r="A55" s="107">
        <v>2</v>
      </c>
      <c r="B55" s="107">
        <v>1</v>
      </c>
      <c r="C55" s="107">
        <v>3</v>
      </c>
      <c r="D55" s="107" t="s">
        <v>144</v>
      </c>
      <c r="E55" s="107" t="s">
        <v>145</v>
      </c>
      <c r="F55" s="161">
        <v>45361</v>
      </c>
      <c r="G55" s="107">
        <f t="shared" si="0"/>
        <v>13</v>
      </c>
    </row>
    <row r="56" spans="1:7">
      <c r="A56" s="107">
        <v>2</v>
      </c>
      <c r="B56" s="107">
        <v>1</v>
      </c>
      <c r="C56" s="107">
        <v>4</v>
      </c>
      <c r="D56" s="107" t="s">
        <v>144</v>
      </c>
      <c r="E56" s="107" t="s">
        <v>145</v>
      </c>
      <c r="F56" s="161">
        <v>45357</v>
      </c>
      <c r="G56" s="107">
        <f t="shared" si="0"/>
        <v>9</v>
      </c>
    </row>
    <row r="57" spans="1:7">
      <c r="A57" s="107">
        <v>2</v>
      </c>
      <c r="B57" s="107">
        <v>1</v>
      </c>
      <c r="C57" s="107">
        <v>5</v>
      </c>
      <c r="D57" s="107" t="s">
        <v>144</v>
      </c>
      <c r="E57" s="107" t="s">
        <v>145</v>
      </c>
      <c r="F57" s="161">
        <v>45354</v>
      </c>
      <c r="G57" s="107">
        <f t="shared" si="0"/>
        <v>6</v>
      </c>
    </row>
    <row r="58" spans="1:7">
      <c r="A58" s="107">
        <v>2</v>
      </c>
      <c r="B58" s="107">
        <v>1</v>
      </c>
      <c r="C58" s="107">
        <v>6</v>
      </c>
      <c r="D58" s="107" t="s">
        <v>144</v>
      </c>
      <c r="E58" s="107" t="s">
        <v>145</v>
      </c>
      <c r="F58" s="161">
        <v>45354</v>
      </c>
      <c r="G58" s="107">
        <f t="shared" si="0"/>
        <v>6</v>
      </c>
    </row>
    <row r="59" spans="1:7">
      <c r="A59" s="107">
        <v>2</v>
      </c>
      <c r="B59" s="107">
        <v>1</v>
      </c>
      <c r="C59" s="107">
        <v>7</v>
      </c>
      <c r="D59" s="107" t="s">
        <v>144</v>
      </c>
      <c r="E59" s="107" t="s">
        <v>145</v>
      </c>
      <c r="F59" s="161">
        <v>45354</v>
      </c>
      <c r="G59" s="107">
        <f t="shared" si="0"/>
        <v>6</v>
      </c>
    </row>
    <row r="60" spans="1:7">
      <c r="A60" s="107">
        <v>2</v>
      </c>
      <c r="B60" s="107">
        <v>1</v>
      </c>
      <c r="C60" s="107">
        <v>8</v>
      </c>
      <c r="D60" s="107" t="s">
        <v>144</v>
      </c>
      <c r="E60" s="107" t="s">
        <v>145</v>
      </c>
      <c r="F60" s="161">
        <v>45353</v>
      </c>
      <c r="G60" s="107">
        <f t="shared" si="0"/>
        <v>5</v>
      </c>
    </row>
    <row r="61" spans="1:7">
      <c r="A61" s="107">
        <v>2</v>
      </c>
      <c r="B61" s="107">
        <v>2</v>
      </c>
      <c r="C61" s="107">
        <v>1</v>
      </c>
      <c r="D61" s="107" t="s">
        <v>146</v>
      </c>
      <c r="E61" s="107" t="s">
        <v>147</v>
      </c>
      <c r="F61" s="161">
        <v>45359</v>
      </c>
      <c r="G61" s="107">
        <f t="shared" si="0"/>
        <v>11</v>
      </c>
    </row>
    <row r="62" spans="1:7">
      <c r="A62" s="107">
        <v>2</v>
      </c>
      <c r="B62" s="107">
        <v>2</v>
      </c>
      <c r="C62" s="107">
        <v>2</v>
      </c>
      <c r="D62" s="107" t="s">
        <v>146</v>
      </c>
      <c r="E62" s="107" t="s">
        <v>147</v>
      </c>
      <c r="F62" s="161">
        <v>45354</v>
      </c>
      <c r="G62" s="107">
        <f t="shared" si="0"/>
        <v>6</v>
      </c>
    </row>
    <row r="63" spans="1:7">
      <c r="A63" s="107">
        <v>2</v>
      </c>
      <c r="B63" s="107">
        <v>2</v>
      </c>
      <c r="C63" s="107">
        <v>3</v>
      </c>
      <c r="D63" s="107" t="s">
        <v>146</v>
      </c>
      <c r="E63" s="107" t="s">
        <v>147</v>
      </c>
      <c r="F63" s="161">
        <v>45354</v>
      </c>
      <c r="G63" s="107">
        <f t="shared" si="0"/>
        <v>6</v>
      </c>
    </row>
    <row r="64" spans="1:7">
      <c r="A64" s="107">
        <v>2</v>
      </c>
      <c r="B64" s="107">
        <v>2</v>
      </c>
      <c r="C64" s="107">
        <v>4</v>
      </c>
      <c r="D64" s="107" t="s">
        <v>146</v>
      </c>
      <c r="E64" s="107" t="s">
        <v>147</v>
      </c>
      <c r="F64" s="161">
        <v>45354</v>
      </c>
      <c r="G64" s="107">
        <f t="shared" si="0"/>
        <v>6</v>
      </c>
    </row>
    <row r="65" spans="1:7">
      <c r="A65" s="107">
        <v>2</v>
      </c>
      <c r="B65" s="107">
        <v>2</v>
      </c>
      <c r="C65" s="107">
        <v>5</v>
      </c>
      <c r="D65" s="107" t="s">
        <v>146</v>
      </c>
      <c r="E65" s="107" t="s">
        <v>147</v>
      </c>
      <c r="F65" s="161">
        <v>45355</v>
      </c>
      <c r="G65" s="107">
        <f t="shared" si="0"/>
        <v>7</v>
      </c>
    </row>
    <row r="66" spans="1:7">
      <c r="A66" s="107">
        <v>2</v>
      </c>
      <c r="B66" s="107">
        <v>2</v>
      </c>
      <c r="C66" s="107">
        <v>6</v>
      </c>
      <c r="D66" s="107" t="s">
        <v>146</v>
      </c>
      <c r="E66" s="107" t="s">
        <v>147</v>
      </c>
      <c r="F66" s="161">
        <v>45356</v>
      </c>
      <c r="G66" s="107">
        <f t="shared" si="0"/>
        <v>8</v>
      </c>
    </row>
    <row r="67" spans="1:7">
      <c r="A67" s="107">
        <v>2</v>
      </c>
      <c r="B67" s="107">
        <v>2</v>
      </c>
      <c r="C67" s="107">
        <v>7</v>
      </c>
      <c r="D67" s="107" t="s">
        <v>146</v>
      </c>
      <c r="E67" s="107" t="s">
        <v>147</v>
      </c>
      <c r="F67" s="161">
        <v>45356</v>
      </c>
      <c r="G67" s="107">
        <f t="shared" si="0"/>
        <v>8</v>
      </c>
    </row>
    <row r="68" spans="1:7">
      <c r="A68" s="107">
        <v>2</v>
      </c>
      <c r="B68" s="107">
        <v>2</v>
      </c>
      <c r="C68" s="107">
        <v>8</v>
      </c>
      <c r="D68" s="107" t="s">
        <v>146</v>
      </c>
      <c r="E68" s="107" t="s">
        <v>147</v>
      </c>
      <c r="F68" s="161">
        <v>45355</v>
      </c>
      <c r="G68" s="107">
        <f t="shared" si="0"/>
        <v>7</v>
      </c>
    </row>
    <row r="69" spans="1:7">
      <c r="A69" s="107">
        <v>2</v>
      </c>
      <c r="B69" s="107">
        <v>3</v>
      </c>
      <c r="C69" s="107">
        <v>1</v>
      </c>
      <c r="D69" s="107" t="s">
        <v>148</v>
      </c>
      <c r="E69" s="107" t="s">
        <v>149</v>
      </c>
      <c r="F69" s="161">
        <v>45354</v>
      </c>
      <c r="G69" s="107">
        <f t="shared" ref="G69:G110" si="1">DATEDIF(G$2,F69,"d")</f>
        <v>6</v>
      </c>
    </row>
    <row r="70" spans="1:7">
      <c r="A70" s="107">
        <v>2</v>
      </c>
      <c r="B70" s="107">
        <v>3</v>
      </c>
      <c r="C70" s="107">
        <v>2</v>
      </c>
      <c r="D70" s="107" t="s">
        <v>148</v>
      </c>
      <c r="E70" s="107" t="s">
        <v>149</v>
      </c>
      <c r="F70" s="161">
        <v>45354</v>
      </c>
      <c r="G70" s="107">
        <f t="shared" si="1"/>
        <v>6</v>
      </c>
    </row>
    <row r="71" spans="1:7">
      <c r="A71" s="107">
        <v>2</v>
      </c>
      <c r="B71" s="107">
        <v>3</v>
      </c>
      <c r="C71" s="107">
        <v>3</v>
      </c>
      <c r="D71" s="107" t="s">
        <v>148</v>
      </c>
      <c r="E71" s="107" t="s">
        <v>149</v>
      </c>
      <c r="F71" s="161">
        <v>45354</v>
      </c>
      <c r="G71" s="107">
        <f t="shared" si="1"/>
        <v>6</v>
      </c>
    </row>
    <row r="72" spans="1:7">
      <c r="A72" s="107">
        <v>2</v>
      </c>
      <c r="B72" s="107">
        <v>3</v>
      </c>
      <c r="C72" s="107">
        <v>4</v>
      </c>
      <c r="D72" s="107" t="s">
        <v>148</v>
      </c>
      <c r="E72" s="107" t="s">
        <v>149</v>
      </c>
      <c r="F72" s="161">
        <v>45353</v>
      </c>
      <c r="G72" s="107">
        <f t="shared" si="1"/>
        <v>5</v>
      </c>
    </row>
    <row r="73" spans="1:7">
      <c r="A73" s="107">
        <v>2</v>
      </c>
      <c r="B73" s="107">
        <v>3</v>
      </c>
      <c r="C73" s="107">
        <v>5</v>
      </c>
      <c r="D73" s="107" t="s">
        <v>148</v>
      </c>
      <c r="E73" s="107" t="s">
        <v>149</v>
      </c>
      <c r="F73" s="161">
        <v>45354</v>
      </c>
      <c r="G73" s="107">
        <f t="shared" si="1"/>
        <v>6</v>
      </c>
    </row>
    <row r="74" spans="1:7">
      <c r="A74" s="107">
        <v>2</v>
      </c>
      <c r="B74" s="107">
        <v>3</v>
      </c>
      <c r="C74" s="107">
        <v>6</v>
      </c>
      <c r="D74" s="107" t="s">
        <v>148</v>
      </c>
      <c r="E74" s="107" t="s">
        <v>149</v>
      </c>
      <c r="F74" s="161">
        <v>45353</v>
      </c>
      <c r="G74" s="107">
        <f t="shared" si="1"/>
        <v>5</v>
      </c>
    </row>
    <row r="75" spans="1:7">
      <c r="A75" s="107">
        <v>2</v>
      </c>
      <c r="B75" s="107">
        <v>3</v>
      </c>
      <c r="C75" s="107">
        <v>7</v>
      </c>
      <c r="D75" s="107" t="s">
        <v>148</v>
      </c>
      <c r="E75" s="107" t="s">
        <v>149</v>
      </c>
      <c r="F75" s="161">
        <v>45353</v>
      </c>
      <c r="G75" s="107">
        <f t="shared" si="1"/>
        <v>5</v>
      </c>
    </row>
    <row r="76" spans="1:7">
      <c r="A76" s="107">
        <v>2</v>
      </c>
      <c r="B76" s="107">
        <v>3</v>
      </c>
      <c r="C76" s="107">
        <v>8</v>
      </c>
      <c r="D76" s="107" t="s">
        <v>148</v>
      </c>
      <c r="E76" s="107" t="s">
        <v>149</v>
      </c>
      <c r="F76" s="161">
        <v>45353</v>
      </c>
      <c r="G76" s="107">
        <f t="shared" si="1"/>
        <v>5</v>
      </c>
    </row>
    <row r="77" spans="1:7">
      <c r="A77" s="107">
        <v>2</v>
      </c>
      <c r="B77" s="107">
        <v>4</v>
      </c>
      <c r="C77" s="107">
        <v>1</v>
      </c>
      <c r="D77" s="107" t="s">
        <v>150</v>
      </c>
      <c r="E77" s="107" t="s">
        <v>151</v>
      </c>
      <c r="F77" s="161">
        <v>45353</v>
      </c>
      <c r="G77" s="107">
        <f t="shared" si="1"/>
        <v>5</v>
      </c>
    </row>
    <row r="78" spans="1:7">
      <c r="A78" s="107">
        <v>2</v>
      </c>
      <c r="B78" s="107">
        <v>4</v>
      </c>
      <c r="C78" s="107">
        <v>2</v>
      </c>
      <c r="D78" s="107" t="s">
        <v>150</v>
      </c>
      <c r="E78" s="107" t="s">
        <v>151</v>
      </c>
      <c r="F78" s="161">
        <v>45353</v>
      </c>
      <c r="G78" s="107">
        <f t="shared" si="1"/>
        <v>5</v>
      </c>
    </row>
    <row r="79" spans="1:7">
      <c r="A79" s="107">
        <v>2</v>
      </c>
      <c r="B79" s="107">
        <v>4</v>
      </c>
      <c r="C79" s="107">
        <v>3</v>
      </c>
      <c r="D79" s="107" t="s">
        <v>150</v>
      </c>
      <c r="E79" s="107" t="s">
        <v>151</v>
      </c>
      <c r="F79" s="161">
        <v>45359</v>
      </c>
      <c r="G79" s="107">
        <f t="shared" si="1"/>
        <v>11</v>
      </c>
    </row>
    <row r="80" spans="1:7">
      <c r="A80" s="107">
        <v>2</v>
      </c>
      <c r="B80" s="107">
        <v>4</v>
      </c>
      <c r="C80" s="107">
        <v>4</v>
      </c>
      <c r="D80" s="107" t="s">
        <v>150</v>
      </c>
      <c r="E80" s="107" t="s">
        <v>151</v>
      </c>
      <c r="F80" s="161">
        <v>45353</v>
      </c>
      <c r="G80" s="107">
        <f t="shared" si="1"/>
        <v>5</v>
      </c>
    </row>
    <row r="81" spans="1:7">
      <c r="A81" s="107">
        <v>2</v>
      </c>
      <c r="B81" s="107">
        <v>4</v>
      </c>
      <c r="C81" s="107">
        <v>5</v>
      </c>
      <c r="D81" s="107" t="s">
        <v>150</v>
      </c>
      <c r="E81" s="107" t="s">
        <v>151</v>
      </c>
      <c r="F81" s="107"/>
      <c r="G81" s="107"/>
    </row>
    <row r="82" spans="1:7">
      <c r="A82" s="107">
        <v>2</v>
      </c>
      <c r="B82" s="107">
        <v>4</v>
      </c>
      <c r="C82" s="107">
        <v>6</v>
      </c>
      <c r="D82" s="107" t="s">
        <v>150</v>
      </c>
      <c r="E82" s="107" t="s">
        <v>151</v>
      </c>
      <c r="F82" s="161">
        <v>45354</v>
      </c>
      <c r="G82" s="107">
        <f t="shared" si="1"/>
        <v>6</v>
      </c>
    </row>
    <row r="83" spans="1:7">
      <c r="A83" s="107">
        <v>2</v>
      </c>
      <c r="B83" s="107">
        <v>4</v>
      </c>
      <c r="C83" s="107">
        <v>7</v>
      </c>
      <c r="D83" s="107" t="s">
        <v>150</v>
      </c>
      <c r="E83" s="107" t="s">
        <v>151</v>
      </c>
      <c r="F83" s="161">
        <v>45354</v>
      </c>
      <c r="G83" s="107">
        <f t="shared" si="1"/>
        <v>6</v>
      </c>
    </row>
    <row r="84" spans="1:7">
      <c r="A84" s="107">
        <v>2</v>
      </c>
      <c r="B84" s="107">
        <v>4</v>
      </c>
      <c r="C84" s="107">
        <v>8</v>
      </c>
      <c r="D84" s="107" t="s">
        <v>150</v>
      </c>
      <c r="E84" s="107" t="s">
        <v>151</v>
      </c>
      <c r="F84" s="161">
        <v>45353</v>
      </c>
      <c r="G84" s="107">
        <f t="shared" si="1"/>
        <v>5</v>
      </c>
    </row>
    <row r="85" spans="1:7">
      <c r="A85" s="107">
        <v>2</v>
      </c>
      <c r="B85" s="107">
        <v>5</v>
      </c>
      <c r="C85" s="107">
        <v>1</v>
      </c>
      <c r="D85" s="107" t="s">
        <v>152</v>
      </c>
      <c r="E85" s="107" t="s">
        <v>153</v>
      </c>
      <c r="F85" s="161">
        <v>45353</v>
      </c>
      <c r="G85" s="107">
        <f t="shared" si="1"/>
        <v>5</v>
      </c>
    </row>
    <row r="86" spans="1:7">
      <c r="A86" s="107">
        <v>2</v>
      </c>
      <c r="B86" s="107">
        <v>5</v>
      </c>
      <c r="C86" s="107">
        <v>2</v>
      </c>
      <c r="D86" s="107" t="s">
        <v>152</v>
      </c>
      <c r="E86" s="107" t="s">
        <v>153</v>
      </c>
      <c r="F86" s="161">
        <v>45353</v>
      </c>
      <c r="G86" s="107">
        <f t="shared" si="1"/>
        <v>5</v>
      </c>
    </row>
    <row r="87" spans="1:7">
      <c r="A87" s="107">
        <v>2</v>
      </c>
      <c r="B87" s="107">
        <v>5</v>
      </c>
      <c r="C87" s="107">
        <v>3</v>
      </c>
      <c r="D87" s="107" t="s">
        <v>152</v>
      </c>
      <c r="E87" s="107" t="s">
        <v>153</v>
      </c>
      <c r="F87" s="161">
        <v>45354</v>
      </c>
      <c r="G87" s="107">
        <f t="shared" si="1"/>
        <v>6</v>
      </c>
    </row>
    <row r="88" spans="1:7">
      <c r="A88" s="107">
        <v>2</v>
      </c>
      <c r="B88" s="107">
        <v>5</v>
      </c>
      <c r="C88" s="107">
        <v>4</v>
      </c>
      <c r="D88" s="107" t="s">
        <v>152</v>
      </c>
      <c r="E88" s="107" t="s">
        <v>153</v>
      </c>
      <c r="F88" s="161">
        <v>45353</v>
      </c>
      <c r="G88" s="107">
        <f t="shared" si="1"/>
        <v>5</v>
      </c>
    </row>
    <row r="89" spans="1:7">
      <c r="A89" s="107">
        <v>2</v>
      </c>
      <c r="B89" s="107">
        <v>5</v>
      </c>
      <c r="C89" s="107">
        <v>5</v>
      </c>
      <c r="D89" s="107" t="s">
        <v>152</v>
      </c>
      <c r="E89" s="107" t="s">
        <v>153</v>
      </c>
      <c r="F89" s="161">
        <v>45353</v>
      </c>
      <c r="G89" s="107">
        <f t="shared" si="1"/>
        <v>5</v>
      </c>
    </row>
    <row r="90" spans="1:7">
      <c r="A90" s="107">
        <v>2</v>
      </c>
      <c r="B90" s="107">
        <v>5</v>
      </c>
      <c r="C90" s="107">
        <v>6</v>
      </c>
      <c r="D90" s="107" t="s">
        <v>152</v>
      </c>
      <c r="E90" s="107" t="s">
        <v>153</v>
      </c>
      <c r="F90" s="161">
        <v>45353</v>
      </c>
      <c r="G90" s="107">
        <f t="shared" si="1"/>
        <v>5</v>
      </c>
    </row>
    <row r="91" spans="1:7">
      <c r="A91" s="107">
        <v>2</v>
      </c>
      <c r="B91" s="107">
        <v>5</v>
      </c>
      <c r="C91" s="107">
        <v>7</v>
      </c>
      <c r="D91" s="107" t="s">
        <v>152</v>
      </c>
      <c r="E91" s="107" t="s">
        <v>153</v>
      </c>
      <c r="F91" s="161">
        <v>45355</v>
      </c>
      <c r="G91" s="107">
        <f t="shared" si="1"/>
        <v>7</v>
      </c>
    </row>
    <row r="92" spans="1:7">
      <c r="A92" s="107">
        <v>2</v>
      </c>
      <c r="B92" s="107">
        <v>5</v>
      </c>
      <c r="C92" s="107">
        <v>8</v>
      </c>
      <c r="D92" s="107" t="s">
        <v>152</v>
      </c>
      <c r="E92" s="107" t="s">
        <v>153</v>
      </c>
      <c r="F92" s="161">
        <v>45353</v>
      </c>
      <c r="G92" s="107">
        <f t="shared" si="1"/>
        <v>5</v>
      </c>
    </row>
    <row r="93" spans="1:7">
      <c r="A93" s="107">
        <v>2</v>
      </c>
      <c r="B93" s="107">
        <v>6</v>
      </c>
      <c r="C93" s="107">
        <v>1</v>
      </c>
      <c r="D93" s="107" t="s">
        <v>154</v>
      </c>
      <c r="E93" s="107" t="s">
        <v>155</v>
      </c>
      <c r="F93" s="161">
        <v>45354</v>
      </c>
      <c r="G93" s="107">
        <f t="shared" si="1"/>
        <v>6</v>
      </c>
    </row>
    <row r="94" spans="1:7">
      <c r="A94" s="107">
        <v>2</v>
      </c>
      <c r="B94" s="107">
        <v>6</v>
      </c>
      <c r="C94" s="107">
        <v>2</v>
      </c>
      <c r="D94" s="107" t="s">
        <v>154</v>
      </c>
      <c r="E94" s="107" t="s">
        <v>155</v>
      </c>
      <c r="F94" s="161">
        <v>45353</v>
      </c>
      <c r="G94" s="107">
        <f t="shared" si="1"/>
        <v>5</v>
      </c>
    </row>
    <row r="95" spans="1:7">
      <c r="A95" s="107">
        <v>2</v>
      </c>
      <c r="B95" s="107">
        <v>6</v>
      </c>
      <c r="C95" s="107">
        <v>3</v>
      </c>
      <c r="D95" s="107" t="s">
        <v>154</v>
      </c>
      <c r="E95" s="107" t="s">
        <v>155</v>
      </c>
      <c r="F95" s="161">
        <v>45354</v>
      </c>
      <c r="G95" s="107">
        <f t="shared" si="1"/>
        <v>6</v>
      </c>
    </row>
    <row r="96" spans="1:7">
      <c r="A96" s="107">
        <v>2</v>
      </c>
      <c r="B96" s="107">
        <v>6</v>
      </c>
      <c r="C96" s="107">
        <v>4</v>
      </c>
      <c r="D96" s="107" t="s">
        <v>154</v>
      </c>
      <c r="E96" s="107" t="s">
        <v>155</v>
      </c>
      <c r="F96" s="161">
        <v>45355</v>
      </c>
      <c r="G96" s="107">
        <f t="shared" si="1"/>
        <v>7</v>
      </c>
    </row>
    <row r="97" spans="1:7">
      <c r="A97" s="107">
        <v>2</v>
      </c>
      <c r="B97" s="107">
        <v>6</v>
      </c>
      <c r="C97" s="107">
        <v>5</v>
      </c>
      <c r="D97" s="107" t="s">
        <v>154</v>
      </c>
      <c r="E97" s="107" t="s">
        <v>155</v>
      </c>
      <c r="F97" s="161">
        <v>45355</v>
      </c>
      <c r="G97" s="107">
        <f t="shared" si="1"/>
        <v>7</v>
      </c>
    </row>
    <row r="98" spans="1:7">
      <c r="A98" s="107">
        <v>2</v>
      </c>
      <c r="B98" s="107">
        <v>6</v>
      </c>
      <c r="C98" s="107">
        <v>6</v>
      </c>
      <c r="D98" s="107" t="s">
        <v>154</v>
      </c>
      <c r="E98" s="107" t="s">
        <v>155</v>
      </c>
      <c r="F98" s="161">
        <v>45355</v>
      </c>
      <c r="G98" s="107">
        <f t="shared" si="1"/>
        <v>7</v>
      </c>
    </row>
    <row r="99" spans="1:7">
      <c r="A99" s="107">
        <v>2</v>
      </c>
      <c r="B99" s="107">
        <v>6</v>
      </c>
      <c r="C99" s="107">
        <v>7</v>
      </c>
      <c r="D99" s="107" t="s">
        <v>154</v>
      </c>
      <c r="E99" s="107" t="s">
        <v>155</v>
      </c>
      <c r="F99" s="161">
        <v>45354</v>
      </c>
      <c r="G99" s="107">
        <f t="shared" si="1"/>
        <v>6</v>
      </c>
    </row>
    <row r="100" spans="1:7">
      <c r="A100" s="107">
        <v>2</v>
      </c>
      <c r="B100" s="107">
        <v>6</v>
      </c>
      <c r="C100" s="107">
        <v>8</v>
      </c>
      <c r="D100" s="107" t="s">
        <v>154</v>
      </c>
      <c r="E100" s="107" t="s">
        <v>155</v>
      </c>
      <c r="F100" s="161">
        <v>45354</v>
      </c>
      <c r="G100" s="107">
        <f t="shared" si="1"/>
        <v>6</v>
      </c>
    </row>
    <row r="101" spans="1:7">
      <c r="D101" s="139"/>
      <c r="E101" s="139"/>
      <c r="F101" s="139"/>
      <c r="G101" s="139"/>
    </row>
    <row r="102" spans="1:7">
      <c r="A102" s="107">
        <v>3</v>
      </c>
      <c r="B102" s="107">
        <v>1</v>
      </c>
      <c r="C102" s="107">
        <v>1</v>
      </c>
      <c r="D102" s="107" t="s">
        <v>156</v>
      </c>
      <c r="E102" s="107" t="s">
        <v>157</v>
      </c>
      <c r="F102" s="161">
        <v>45353</v>
      </c>
      <c r="G102" s="107">
        <f t="shared" si="1"/>
        <v>5</v>
      </c>
    </row>
    <row r="103" spans="1:7">
      <c r="A103" s="107">
        <v>3</v>
      </c>
      <c r="B103" s="107">
        <v>1</v>
      </c>
      <c r="C103" s="107">
        <v>2</v>
      </c>
      <c r="D103" s="107" t="s">
        <v>156</v>
      </c>
      <c r="E103" s="107" t="s">
        <v>157</v>
      </c>
      <c r="F103" s="161">
        <v>45353</v>
      </c>
      <c r="G103" s="107">
        <f t="shared" si="1"/>
        <v>5</v>
      </c>
    </row>
    <row r="104" spans="1:7">
      <c r="A104" s="107">
        <v>3</v>
      </c>
      <c r="B104" s="107">
        <v>1</v>
      </c>
      <c r="C104" s="107">
        <v>3</v>
      </c>
      <c r="D104" s="107" t="s">
        <v>156</v>
      </c>
      <c r="E104" s="107" t="s">
        <v>157</v>
      </c>
      <c r="F104" s="107"/>
      <c r="G104" s="107"/>
    </row>
    <row r="105" spans="1:7">
      <c r="A105" s="107">
        <v>3</v>
      </c>
      <c r="B105" s="107">
        <v>1</v>
      </c>
      <c r="C105" s="107">
        <v>4</v>
      </c>
      <c r="D105" s="107" t="s">
        <v>156</v>
      </c>
      <c r="E105" s="107" t="s">
        <v>157</v>
      </c>
      <c r="F105" s="161">
        <v>45353</v>
      </c>
      <c r="G105" s="107">
        <f t="shared" si="1"/>
        <v>5</v>
      </c>
    </row>
    <row r="106" spans="1:7">
      <c r="A106" s="107">
        <v>3</v>
      </c>
      <c r="B106" s="107">
        <v>1</v>
      </c>
      <c r="C106" s="107">
        <v>5</v>
      </c>
      <c r="D106" s="107" t="s">
        <v>156</v>
      </c>
      <c r="E106" s="107" t="s">
        <v>157</v>
      </c>
      <c r="F106" s="161">
        <v>45353</v>
      </c>
      <c r="G106" s="107">
        <f t="shared" si="1"/>
        <v>5</v>
      </c>
    </row>
    <row r="107" spans="1:7">
      <c r="A107" s="107">
        <v>3</v>
      </c>
      <c r="B107" s="107">
        <v>1</v>
      </c>
      <c r="C107" s="107">
        <v>6</v>
      </c>
      <c r="D107" s="107" t="s">
        <v>156</v>
      </c>
      <c r="E107" s="107" t="s">
        <v>157</v>
      </c>
      <c r="F107" s="161">
        <v>45356</v>
      </c>
      <c r="G107" s="107">
        <f t="shared" si="1"/>
        <v>8</v>
      </c>
    </row>
    <row r="108" spans="1:7">
      <c r="A108" s="107">
        <v>3</v>
      </c>
      <c r="B108" s="107">
        <v>1</v>
      </c>
      <c r="C108" s="107">
        <v>7</v>
      </c>
      <c r="D108" s="107" t="s">
        <v>156</v>
      </c>
      <c r="E108" s="107" t="s">
        <v>157</v>
      </c>
      <c r="F108" s="161">
        <v>45353</v>
      </c>
      <c r="G108" s="107">
        <f t="shared" si="1"/>
        <v>5</v>
      </c>
    </row>
    <row r="109" spans="1:7">
      <c r="A109" s="107">
        <v>3</v>
      </c>
      <c r="B109" s="107">
        <v>1</v>
      </c>
      <c r="C109" s="107">
        <v>8</v>
      </c>
      <c r="D109" s="107" t="s">
        <v>156</v>
      </c>
      <c r="E109" s="107" t="s">
        <v>157</v>
      </c>
      <c r="F109" s="161">
        <v>45353</v>
      </c>
      <c r="G109" s="107">
        <f t="shared" si="1"/>
        <v>5</v>
      </c>
    </row>
    <row r="110" spans="1:7">
      <c r="A110" s="107">
        <v>3</v>
      </c>
      <c r="B110" s="107">
        <v>2</v>
      </c>
      <c r="C110" s="107">
        <v>1</v>
      </c>
      <c r="D110" s="107" t="s">
        <v>158</v>
      </c>
      <c r="E110" s="107" t="s">
        <v>159</v>
      </c>
      <c r="F110" s="161">
        <v>45354</v>
      </c>
      <c r="G110" s="107">
        <f t="shared" si="1"/>
        <v>6</v>
      </c>
    </row>
    <row r="111" spans="1:7">
      <c r="A111" s="107">
        <v>3</v>
      </c>
      <c r="B111" s="107">
        <v>2</v>
      </c>
      <c r="C111" s="107">
        <v>2</v>
      </c>
      <c r="D111" s="107" t="s">
        <v>158</v>
      </c>
      <c r="E111" s="107" t="s">
        <v>159</v>
      </c>
      <c r="F111" s="161">
        <v>45354</v>
      </c>
      <c r="G111" s="107">
        <f t="shared" ref="G111:G125" si="2">DATEDIF(G$2,F111,"d")</f>
        <v>6</v>
      </c>
    </row>
    <row r="112" spans="1:7">
      <c r="A112" s="107">
        <v>3</v>
      </c>
      <c r="B112" s="107">
        <v>2</v>
      </c>
      <c r="C112" s="107">
        <v>3</v>
      </c>
      <c r="D112" s="107" t="s">
        <v>158</v>
      </c>
      <c r="E112" s="107" t="s">
        <v>159</v>
      </c>
      <c r="F112" s="161">
        <v>45354</v>
      </c>
      <c r="G112" s="107">
        <f t="shared" si="2"/>
        <v>6</v>
      </c>
    </row>
    <row r="113" spans="1:7">
      <c r="A113" s="107">
        <v>3</v>
      </c>
      <c r="B113" s="107">
        <v>2</v>
      </c>
      <c r="C113" s="107">
        <v>4</v>
      </c>
      <c r="D113" s="107" t="s">
        <v>158</v>
      </c>
      <c r="E113" s="107" t="s">
        <v>159</v>
      </c>
      <c r="F113" s="161">
        <v>45353</v>
      </c>
      <c r="G113" s="107">
        <f t="shared" si="2"/>
        <v>5</v>
      </c>
    </row>
    <row r="114" spans="1:7">
      <c r="A114" s="107">
        <v>3</v>
      </c>
      <c r="B114" s="107">
        <v>2</v>
      </c>
      <c r="C114" s="107">
        <v>5</v>
      </c>
      <c r="D114" s="107" t="s">
        <v>158</v>
      </c>
      <c r="E114" s="107" t="s">
        <v>159</v>
      </c>
      <c r="F114" s="161">
        <v>45355</v>
      </c>
      <c r="G114" s="107">
        <f t="shared" si="2"/>
        <v>7</v>
      </c>
    </row>
    <row r="115" spans="1:7">
      <c r="A115" s="107">
        <v>3</v>
      </c>
      <c r="B115" s="107">
        <v>2</v>
      </c>
      <c r="C115" s="107">
        <v>6</v>
      </c>
      <c r="D115" s="107" t="s">
        <v>158</v>
      </c>
      <c r="E115" s="107" t="s">
        <v>159</v>
      </c>
      <c r="F115" s="161">
        <v>45353</v>
      </c>
      <c r="G115" s="107">
        <f t="shared" si="2"/>
        <v>5</v>
      </c>
    </row>
    <row r="116" spans="1:7">
      <c r="A116" s="107">
        <v>3</v>
      </c>
      <c r="B116" s="107">
        <v>2</v>
      </c>
      <c r="C116" s="107">
        <v>7</v>
      </c>
      <c r="D116" s="107" t="s">
        <v>158</v>
      </c>
      <c r="E116" s="107" t="s">
        <v>159</v>
      </c>
      <c r="F116" s="161">
        <v>45355</v>
      </c>
      <c r="G116" s="107">
        <f t="shared" si="2"/>
        <v>7</v>
      </c>
    </row>
    <row r="117" spans="1:7">
      <c r="A117" s="107">
        <v>3</v>
      </c>
      <c r="B117" s="107">
        <v>2</v>
      </c>
      <c r="C117" s="107">
        <v>8</v>
      </c>
      <c r="D117" s="107" t="s">
        <v>158</v>
      </c>
      <c r="E117" s="107" t="s">
        <v>159</v>
      </c>
      <c r="F117" s="161">
        <v>45353</v>
      </c>
      <c r="G117" s="107">
        <f t="shared" si="2"/>
        <v>5</v>
      </c>
    </row>
    <row r="118" spans="1:7">
      <c r="A118" s="107">
        <v>3</v>
      </c>
      <c r="B118" s="107">
        <v>3</v>
      </c>
      <c r="C118" s="107">
        <v>1</v>
      </c>
      <c r="D118" s="107" t="s">
        <v>160</v>
      </c>
      <c r="E118" s="107" t="s">
        <v>161</v>
      </c>
      <c r="F118" s="161">
        <v>45353</v>
      </c>
      <c r="G118" s="107">
        <f t="shared" si="2"/>
        <v>5</v>
      </c>
    </row>
    <row r="119" spans="1:7">
      <c r="A119" s="107">
        <v>3</v>
      </c>
      <c r="B119" s="107">
        <v>3</v>
      </c>
      <c r="C119" s="107">
        <v>2</v>
      </c>
      <c r="D119" s="107" t="s">
        <v>160</v>
      </c>
      <c r="E119" s="107" t="s">
        <v>161</v>
      </c>
      <c r="F119" s="161">
        <v>45353</v>
      </c>
      <c r="G119" s="107">
        <f t="shared" si="2"/>
        <v>5</v>
      </c>
    </row>
    <row r="120" spans="1:7">
      <c r="A120" s="107">
        <v>3</v>
      </c>
      <c r="B120" s="107">
        <v>3</v>
      </c>
      <c r="C120" s="107">
        <v>3</v>
      </c>
      <c r="D120" s="107" t="s">
        <v>160</v>
      </c>
      <c r="E120" s="107" t="s">
        <v>161</v>
      </c>
      <c r="F120" s="161">
        <v>45353</v>
      </c>
      <c r="G120" s="107">
        <f t="shared" si="2"/>
        <v>5</v>
      </c>
    </row>
    <row r="121" spans="1:7">
      <c r="A121" s="107">
        <v>3</v>
      </c>
      <c r="B121" s="107">
        <v>3</v>
      </c>
      <c r="C121" s="107">
        <v>4</v>
      </c>
      <c r="D121" s="107" t="s">
        <v>160</v>
      </c>
      <c r="E121" s="107" t="s">
        <v>161</v>
      </c>
      <c r="F121" s="161">
        <v>45353</v>
      </c>
      <c r="G121" s="107">
        <f t="shared" si="2"/>
        <v>5</v>
      </c>
    </row>
    <row r="122" spans="1:7">
      <c r="A122" s="107">
        <v>3</v>
      </c>
      <c r="B122" s="107">
        <v>3</v>
      </c>
      <c r="C122" s="107">
        <v>5</v>
      </c>
      <c r="D122" s="107" t="s">
        <v>160</v>
      </c>
      <c r="E122" s="107" t="s">
        <v>161</v>
      </c>
      <c r="F122" s="161">
        <v>45353</v>
      </c>
      <c r="G122" s="107">
        <f t="shared" si="2"/>
        <v>5</v>
      </c>
    </row>
    <row r="123" spans="1:7">
      <c r="A123" s="107">
        <v>3</v>
      </c>
      <c r="B123" s="107">
        <v>3</v>
      </c>
      <c r="C123" s="107">
        <v>6</v>
      </c>
      <c r="D123" s="107" t="s">
        <v>160</v>
      </c>
      <c r="E123" s="107" t="s">
        <v>161</v>
      </c>
      <c r="F123" s="161">
        <v>45353</v>
      </c>
      <c r="G123" s="107">
        <f t="shared" si="2"/>
        <v>5</v>
      </c>
    </row>
    <row r="124" spans="1:7">
      <c r="A124" s="107">
        <v>3</v>
      </c>
      <c r="B124" s="107">
        <v>3</v>
      </c>
      <c r="C124" s="107">
        <v>7</v>
      </c>
      <c r="D124" s="107" t="s">
        <v>160</v>
      </c>
      <c r="E124" s="107" t="s">
        <v>161</v>
      </c>
      <c r="F124" s="161">
        <v>45353</v>
      </c>
      <c r="G124" s="107">
        <f t="shared" si="2"/>
        <v>5</v>
      </c>
    </row>
    <row r="125" spans="1:7">
      <c r="A125" s="107">
        <v>3</v>
      </c>
      <c r="B125" s="107">
        <v>3</v>
      </c>
      <c r="C125" s="107">
        <v>8</v>
      </c>
      <c r="D125" s="107" t="s">
        <v>160</v>
      </c>
      <c r="E125" s="107" t="s">
        <v>161</v>
      </c>
      <c r="F125" s="161">
        <v>45353</v>
      </c>
      <c r="G125" s="107">
        <f t="shared" si="2"/>
        <v>5</v>
      </c>
    </row>
    <row r="126" spans="1:7">
      <c r="A126" s="107">
        <v>3</v>
      </c>
      <c r="B126" s="107">
        <v>4</v>
      </c>
      <c r="C126" s="107">
        <v>1</v>
      </c>
      <c r="D126" s="107" t="s">
        <v>162</v>
      </c>
      <c r="E126" s="107" t="s">
        <v>163</v>
      </c>
      <c r="F126" s="107"/>
      <c r="G126" s="107"/>
    </row>
    <row r="127" spans="1:7">
      <c r="A127" s="107">
        <v>3</v>
      </c>
      <c r="B127" s="107">
        <v>4</v>
      </c>
      <c r="C127" s="107">
        <v>2</v>
      </c>
      <c r="D127" s="107" t="s">
        <v>162</v>
      </c>
      <c r="E127" s="107" t="s">
        <v>163</v>
      </c>
      <c r="F127" s="161">
        <v>45353</v>
      </c>
      <c r="G127" s="107">
        <f t="shared" ref="G127:G141" si="3">DATEDIF(G$2,F127,"d")</f>
        <v>5</v>
      </c>
    </row>
    <row r="128" spans="1:7">
      <c r="A128" s="107">
        <v>3</v>
      </c>
      <c r="B128" s="107">
        <v>4</v>
      </c>
      <c r="C128" s="107">
        <v>3</v>
      </c>
      <c r="D128" s="107" t="s">
        <v>162</v>
      </c>
      <c r="E128" s="107" t="s">
        <v>163</v>
      </c>
      <c r="F128" s="161">
        <v>45353</v>
      </c>
      <c r="G128" s="107">
        <f t="shared" si="3"/>
        <v>5</v>
      </c>
    </row>
    <row r="129" spans="1:7">
      <c r="A129" s="107">
        <v>3</v>
      </c>
      <c r="B129" s="107">
        <v>4</v>
      </c>
      <c r="C129" s="107">
        <v>4</v>
      </c>
      <c r="D129" s="107" t="s">
        <v>162</v>
      </c>
      <c r="E129" s="107" t="s">
        <v>163</v>
      </c>
      <c r="F129" s="161">
        <v>45353</v>
      </c>
      <c r="G129" s="107">
        <f t="shared" si="3"/>
        <v>5</v>
      </c>
    </row>
    <row r="130" spans="1:7">
      <c r="A130" s="107">
        <v>3</v>
      </c>
      <c r="B130" s="107">
        <v>4</v>
      </c>
      <c r="C130" s="107">
        <v>5</v>
      </c>
      <c r="D130" s="107" t="s">
        <v>162</v>
      </c>
      <c r="E130" s="107" t="s">
        <v>163</v>
      </c>
      <c r="F130" s="161">
        <v>45362</v>
      </c>
      <c r="G130" s="107">
        <f t="shared" si="3"/>
        <v>14</v>
      </c>
    </row>
    <row r="131" spans="1:7">
      <c r="A131" s="107">
        <v>3</v>
      </c>
      <c r="B131" s="107">
        <v>4</v>
      </c>
      <c r="C131" s="107">
        <v>6</v>
      </c>
      <c r="D131" s="107" t="s">
        <v>162</v>
      </c>
      <c r="E131" s="107" t="s">
        <v>163</v>
      </c>
      <c r="F131" s="161">
        <v>45354</v>
      </c>
      <c r="G131" s="107">
        <f t="shared" si="3"/>
        <v>6</v>
      </c>
    </row>
    <row r="132" spans="1:7">
      <c r="A132" s="107">
        <v>3</v>
      </c>
      <c r="B132" s="107">
        <v>4</v>
      </c>
      <c r="C132" s="107">
        <v>7</v>
      </c>
      <c r="D132" s="107" t="s">
        <v>162</v>
      </c>
      <c r="E132" s="107" t="s">
        <v>163</v>
      </c>
      <c r="F132" s="161">
        <v>45353</v>
      </c>
      <c r="G132" s="107">
        <f t="shared" si="3"/>
        <v>5</v>
      </c>
    </row>
    <row r="133" spans="1:7">
      <c r="A133" s="107">
        <v>3</v>
      </c>
      <c r="B133" s="107">
        <v>4</v>
      </c>
      <c r="C133" s="107">
        <v>8</v>
      </c>
      <c r="D133" s="107" t="s">
        <v>162</v>
      </c>
      <c r="E133" s="107" t="s">
        <v>163</v>
      </c>
      <c r="F133" s="161">
        <v>45353</v>
      </c>
      <c r="G133" s="107">
        <f t="shared" si="3"/>
        <v>5</v>
      </c>
    </row>
    <row r="134" spans="1:7">
      <c r="A134" s="107">
        <v>3</v>
      </c>
      <c r="B134" s="107">
        <v>5</v>
      </c>
      <c r="C134" s="107">
        <v>1</v>
      </c>
      <c r="D134" s="107" t="s">
        <v>164</v>
      </c>
      <c r="E134" s="107" t="s">
        <v>165</v>
      </c>
      <c r="F134" s="161">
        <v>45353</v>
      </c>
      <c r="G134" s="107">
        <f t="shared" si="3"/>
        <v>5</v>
      </c>
    </row>
    <row r="135" spans="1:7">
      <c r="A135" s="107">
        <v>3</v>
      </c>
      <c r="B135" s="107">
        <v>5</v>
      </c>
      <c r="C135" s="107">
        <v>2</v>
      </c>
      <c r="D135" s="107" t="s">
        <v>164</v>
      </c>
      <c r="E135" s="107" t="s">
        <v>165</v>
      </c>
      <c r="F135" s="161">
        <v>45352</v>
      </c>
      <c r="G135" s="107">
        <f t="shared" si="3"/>
        <v>4</v>
      </c>
    </row>
    <row r="136" spans="1:7">
      <c r="A136" s="107">
        <v>3</v>
      </c>
      <c r="B136" s="107">
        <v>5</v>
      </c>
      <c r="C136" s="107">
        <v>3</v>
      </c>
      <c r="D136" s="107" t="s">
        <v>164</v>
      </c>
      <c r="E136" s="107" t="s">
        <v>165</v>
      </c>
      <c r="F136" s="161">
        <v>45353</v>
      </c>
      <c r="G136" s="107">
        <f t="shared" si="3"/>
        <v>5</v>
      </c>
    </row>
    <row r="137" spans="1:7">
      <c r="A137" s="107">
        <v>3</v>
      </c>
      <c r="B137" s="107">
        <v>5</v>
      </c>
      <c r="C137" s="107">
        <v>4</v>
      </c>
      <c r="D137" s="107" t="s">
        <v>164</v>
      </c>
      <c r="E137" s="107" t="s">
        <v>165</v>
      </c>
      <c r="F137" s="161">
        <v>45353</v>
      </c>
      <c r="G137" s="107">
        <f t="shared" si="3"/>
        <v>5</v>
      </c>
    </row>
    <row r="138" spans="1:7">
      <c r="A138" s="107">
        <v>3</v>
      </c>
      <c r="B138" s="107">
        <v>5</v>
      </c>
      <c r="C138" s="107">
        <v>5</v>
      </c>
      <c r="D138" s="107" t="s">
        <v>164</v>
      </c>
      <c r="E138" s="107" t="s">
        <v>165</v>
      </c>
      <c r="F138" s="161">
        <v>45353</v>
      </c>
      <c r="G138" s="107">
        <f t="shared" si="3"/>
        <v>5</v>
      </c>
    </row>
    <row r="139" spans="1:7">
      <c r="A139" s="107">
        <v>3</v>
      </c>
      <c r="B139" s="107">
        <v>5</v>
      </c>
      <c r="C139" s="107">
        <v>6</v>
      </c>
      <c r="D139" s="107" t="s">
        <v>164</v>
      </c>
      <c r="E139" s="107" t="s">
        <v>165</v>
      </c>
      <c r="F139" s="161">
        <v>45353</v>
      </c>
      <c r="G139" s="107">
        <f t="shared" si="3"/>
        <v>5</v>
      </c>
    </row>
    <row r="140" spans="1:7">
      <c r="A140" s="107">
        <v>3</v>
      </c>
      <c r="B140" s="107">
        <v>5</v>
      </c>
      <c r="C140" s="107">
        <v>7</v>
      </c>
      <c r="D140" s="107" t="s">
        <v>164</v>
      </c>
      <c r="E140" s="107" t="s">
        <v>165</v>
      </c>
      <c r="F140" s="161">
        <v>45353</v>
      </c>
      <c r="G140" s="107">
        <f t="shared" si="3"/>
        <v>5</v>
      </c>
    </row>
    <row r="141" spans="1:7">
      <c r="A141" s="107">
        <v>3</v>
      </c>
      <c r="B141" s="107">
        <v>5</v>
      </c>
      <c r="C141" s="107">
        <v>8</v>
      </c>
      <c r="D141" s="107" t="s">
        <v>164</v>
      </c>
      <c r="E141" s="107" t="s">
        <v>165</v>
      </c>
      <c r="F141" s="161">
        <v>45353</v>
      </c>
      <c r="G141" s="107">
        <f t="shared" si="3"/>
        <v>5</v>
      </c>
    </row>
    <row r="142" spans="1:7">
      <c r="A142" s="107">
        <v>3</v>
      </c>
      <c r="B142" s="107">
        <v>6</v>
      </c>
      <c r="C142" s="107">
        <v>1</v>
      </c>
      <c r="D142" s="107" t="s">
        <v>166</v>
      </c>
      <c r="E142" s="107" t="s">
        <v>167</v>
      </c>
      <c r="F142" s="161"/>
      <c r="G142" s="107"/>
    </row>
    <row r="143" spans="1:7">
      <c r="A143" s="107">
        <v>3</v>
      </c>
      <c r="B143" s="107">
        <v>6</v>
      </c>
      <c r="C143" s="107">
        <v>2</v>
      </c>
      <c r="D143" s="107" t="s">
        <v>166</v>
      </c>
      <c r="E143" s="107" t="s">
        <v>167</v>
      </c>
      <c r="F143" s="161">
        <v>45355</v>
      </c>
      <c r="G143" s="107">
        <f>DATEDIF(G$2,F143,"d")</f>
        <v>7</v>
      </c>
    </row>
    <row r="144" spans="1:7">
      <c r="A144" s="107">
        <v>3</v>
      </c>
      <c r="B144" s="107">
        <v>6</v>
      </c>
      <c r="C144" s="107">
        <v>3</v>
      </c>
      <c r="D144" s="107" t="s">
        <v>166</v>
      </c>
      <c r="E144" s="107" t="s">
        <v>167</v>
      </c>
      <c r="F144" s="161">
        <v>45354</v>
      </c>
      <c r="G144" s="107">
        <f>DATEDIF(G$2,F144,"d")</f>
        <v>6</v>
      </c>
    </row>
    <row r="145" spans="1:7">
      <c r="A145" s="107">
        <v>3</v>
      </c>
      <c r="B145" s="107">
        <v>6</v>
      </c>
      <c r="C145" s="107">
        <v>4</v>
      </c>
      <c r="D145" s="107" t="s">
        <v>166</v>
      </c>
      <c r="E145" s="107" t="s">
        <v>167</v>
      </c>
      <c r="F145" s="161">
        <v>45354</v>
      </c>
      <c r="G145" s="107">
        <f>DATEDIF(G$2,F145,"d")</f>
        <v>6</v>
      </c>
    </row>
    <row r="146" spans="1:7">
      <c r="A146" s="107">
        <v>3</v>
      </c>
      <c r="B146" s="107">
        <v>6</v>
      </c>
      <c r="C146" s="107">
        <v>5</v>
      </c>
      <c r="D146" s="107" t="s">
        <v>166</v>
      </c>
      <c r="E146" s="107" t="s">
        <v>167</v>
      </c>
      <c r="F146" s="161">
        <v>45355</v>
      </c>
      <c r="G146" s="107">
        <f>DATEDIF(G$2,F146,"d")</f>
        <v>7</v>
      </c>
    </row>
    <row r="147" spans="1:7">
      <c r="A147" s="107">
        <v>3</v>
      </c>
      <c r="B147" s="107">
        <v>6</v>
      </c>
      <c r="C147" s="107">
        <v>6</v>
      </c>
      <c r="D147" s="107" t="s">
        <v>166</v>
      </c>
      <c r="E147" s="107" t="s">
        <v>167</v>
      </c>
      <c r="F147" s="107"/>
      <c r="G147" s="107"/>
    </row>
    <row r="148" spans="1:7">
      <c r="A148" s="107">
        <v>3</v>
      </c>
      <c r="B148" s="107">
        <v>6</v>
      </c>
      <c r="C148" s="107">
        <v>7</v>
      </c>
      <c r="D148" s="107" t="s">
        <v>166</v>
      </c>
      <c r="E148" s="107" t="s">
        <v>167</v>
      </c>
      <c r="F148" s="107"/>
      <c r="G148" s="107"/>
    </row>
    <row r="149" spans="1:7">
      <c r="A149" s="107">
        <v>3</v>
      </c>
      <c r="B149" s="107">
        <v>6</v>
      </c>
      <c r="C149" s="107">
        <v>8</v>
      </c>
      <c r="D149" s="107" t="s">
        <v>166</v>
      </c>
      <c r="E149" s="107" t="s">
        <v>167</v>
      </c>
      <c r="F149" s="161">
        <v>45354</v>
      </c>
      <c r="G149" s="107">
        <f>DATEDIF(G$2,F149,"d")</f>
        <v>6</v>
      </c>
    </row>
    <row r="150" spans="1:7">
      <c r="D150" s="139"/>
      <c r="E150" s="139"/>
      <c r="F150" s="139"/>
      <c r="G150" s="139"/>
    </row>
    <row r="151" spans="1:7">
      <c r="A151" s="107">
        <v>4</v>
      </c>
      <c r="B151" s="107">
        <v>1</v>
      </c>
      <c r="C151" s="107">
        <v>1</v>
      </c>
      <c r="D151" s="107" t="s">
        <v>168</v>
      </c>
      <c r="E151" s="107" t="s">
        <v>169</v>
      </c>
      <c r="F151" s="161">
        <v>45353</v>
      </c>
      <c r="G151" s="107">
        <f>DATEDIF(G$2,F151,"d")</f>
        <v>5</v>
      </c>
    </row>
    <row r="152" spans="1:7">
      <c r="A152" s="107">
        <v>4</v>
      </c>
      <c r="B152" s="107">
        <v>1</v>
      </c>
      <c r="C152" s="107">
        <v>2</v>
      </c>
      <c r="D152" s="107" t="s">
        <v>168</v>
      </c>
      <c r="E152" s="107" t="s">
        <v>169</v>
      </c>
      <c r="F152" s="161">
        <v>45355</v>
      </c>
      <c r="G152" s="107">
        <f>DATEDIF(G$2,F152,"d")</f>
        <v>7</v>
      </c>
    </row>
    <row r="153" spans="1:7">
      <c r="A153" s="107">
        <v>4</v>
      </c>
      <c r="B153" s="107">
        <v>1</v>
      </c>
      <c r="C153" s="107">
        <v>3</v>
      </c>
      <c r="D153" s="107" t="s">
        <v>168</v>
      </c>
      <c r="E153" s="107" t="s">
        <v>169</v>
      </c>
      <c r="F153" s="161">
        <v>45353</v>
      </c>
      <c r="G153" s="107">
        <f>DATEDIF(G$2,F153,"d")</f>
        <v>5</v>
      </c>
    </row>
    <row r="154" spans="1:7">
      <c r="A154" s="107">
        <v>4</v>
      </c>
      <c r="B154" s="107">
        <v>1</v>
      </c>
      <c r="C154" s="107">
        <v>4</v>
      </c>
      <c r="D154" s="107" t="s">
        <v>168</v>
      </c>
      <c r="E154" s="107" t="s">
        <v>169</v>
      </c>
      <c r="F154" s="161"/>
      <c r="G154" s="107"/>
    </row>
    <row r="155" spans="1:7">
      <c r="A155" s="107">
        <v>4</v>
      </c>
      <c r="B155" s="107">
        <v>1</v>
      </c>
      <c r="C155" s="107">
        <v>5</v>
      </c>
      <c r="D155" s="107" t="s">
        <v>168</v>
      </c>
      <c r="E155" s="107" t="s">
        <v>169</v>
      </c>
      <c r="F155" s="161">
        <v>45353</v>
      </c>
      <c r="G155" s="107">
        <f t="shared" ref="G155:G198" si="4">DATEDIF(G$2,F155,"d")</f>
        <v>5</v>
      </c>
    </row>
    <row r="156" spans="1:7">
      <c r="A156" s="107">
        <v>4</v>
      </c>
      <c r="B156" s="107">
        <v>1</v>
      </c>
      <c r="C156" s="107">
        <v>6</v>
      </c>
      <c r="D156" s="107" t="s">
        <v>168</v>
      </c>
      <c r="E156" s="107" t="s">
        <v>169</v>
      </c>
      <c r="F156" s="161">
        <v>45353</v>
      </c>
      <c r="G156" s="107">
        <f t="shared" si="4"/>
        <v>5</v>
      </c>
    </row>
    <row r="157" spans="1:7">
      <c r="A157" s="107">
        <v>4</v>
      </c>
      <c r="B157" s="107">
        <v>1</v>
      </c>
      <c r="C157" s="107">
        <v>7</v>
      </c>
      <c r="D157" s="107" t="s">
        <v>168</v>
      </c>
      <c r="E157" s="107" t="s">
        <v>169</v>
      </c>
      <c r="F157" s="161">
        <v>45352</v>
      </c>
      <c r="G157" s="107">
        <f t="shared" si="4"/>
        <v>4</v>
      </c>
    </row>
    <row r="158" spans="1:7">
      <c r="A158" s="107">
        <v>4</v>
      </c>
      <c r="B158" s="107">
        <v>1</v>
      </c>
      <c r="C158" s="107">
        <v>8</v>
      </c>
      <c r="D158" s="107" t="s">
        <v>168</v>
      </c>
      <c r="E158" s="107" t="s">
        <v>169</v>
      </c>
      <c r="F158" s="161">
        <v>45353</v>
      </c>
      <c r="G158" s="107">
        <f t="shared" si="4"/>
        <v>5</v>
      </c>
    </row>
    <row r="159" spans="1:7">
      <c r="A159" s="107">
        <v>4</v>
      </c>
      <c r="B159" s="107">
        <v>2</v>
      </c>
      <c r="C159" s="107">
        <v>1</v>
      </c>
      <c r="D159" s="107" t="s">
        <v>170</v>
      </c>
      <c r="E159" s="107" t="s">
        <v>171</v>
      </c>
      <c r="F159" s="161">
        <v>45353</v>
      </c>
      <c r="G159" s="107">
        <f t="shared" si="4"/>
        <v>5</v>
      </c>
    </row>
    <row r="160" spans="1:7">
      <c r="A160" s="107">
        <v>4</v>
      </c>
      <c r="B160" s="107">
        <v>2</v>
      </c>
      <c r="C160" s="107">
        <v>2</v>
      </c>
      <c r="D160" s="107" t="s">
        <v>170</v>
      </c>
      <c r="E160" s="107" t="s">
        <v>171</v>
      </c>
      <c r="F160" s="161">
        <v>45353</v>
      </c>
      <c r="G160" s="107">
        <f t="shared" si="4"/>
        <v>5</v>
      </c>
    </row>
    <row r="161" spans="1:7">
      <c r="A161" s="107">
        <v>4</v>
      </c>
      <c r="B161" s="107">
        <v>2</v>
      </c>
      <c r="C161" s="107">
        <v>3</v>
      </c>
      <c r="D161" s="107" t="s">
        <v>170</v>
      </c>
      <c r="E161" s="107" t="s">
        <v>171</v>
      </c>
      <c r="F161" s="161">
        <v>45353</v>
      </c>
      <c r="G161" s="107">
        <f t="shared" si="4"/>
        <v>5</v>
      </c>
    </row>
    <row r="162" spans="1:7">
      <c r="A162" s="107">
        <v>4</v>
      </c>
      <c r="B162" s="107">
        <v>2</v>
      </c>
      <c r="C162" s="107">
        <v>4</v>
      </c>
      <c r="D162" s="107" t="s">
        <v>170</v>
      </c>
      <c r="E162" s="107" t="s">
        <v>171</v>
      </c>
      <c r="F162" s="161">
        <v>45353</v>
      </c>
      <c r="G162" s="107">
        <f t="shared" si="4"/>
        <v>5</v>
      </c>
    </row>
    <row r="163" spans="1:7">
      <c r="A163" s="107">
        <v>4</v>
      </c>
      <c r="B163" s="107">
        <v>2</v>
      </c>
      <c r="C163" s="107">
        <v>5</v>
      </c>
      <c r="D163" s="107" t="s">
        <v>170</v>
      </c>
      <c r="E163" s="107" t="s">
        <v>171</v>
      </c>
      <c r="F163" s="161">
        <v>45353</v>
      </c>
      <c r="G163" s="107">
        <f t="shared" si="4"/>
        <v>5</v>
      </c>
    </row>
    <row r="164" spans="1:7">
      <c r="A164" s="107">
        <v>4</v>
      </c>
      <c r="B164" s="107">
        <v>2</v>
      </c>
      <c r="C164" s="107">
        <v>6</v>
      </c>
      <c r="D164" s="107" t="s">
        <v>170</v>
      </c>
      <c r="E164" s="107" t="s">
        <v>171</v>
      </c>
      <c r="F164" s="161">
        <v>45353</v>
      </c>
      <c r="G164" s="107">
        <f t="shared" si="4"/>
        <v>5</v>
      </c>
    </row>
    <row r="165" spans="1:7">
      <c r="A165" s="107">
        <v>4</v>
      </c>
      <c r="B165" s="107">
        <v>2</v>
      </c>
      <c r="C165" s="107">
        <v>7</v>
      </c>
      <c r="D165" s="107" t="s">
        <v>170</v>
      </c>
      <c r="E165" s="107" t="s">
        <v>171</v>
      </c>
      <c r="F165" s="161">
        <v>45353</v>
      </c>
      <c r="G165" s="107">
        <f t="shared" si="4"/>
        <v>5</v>
      </c>
    </row>
    <row r="166" spans="1:7">
      <c r="A166" s="107">
        <v>4</v>
      </c>
      <c r="B166" s="107">
        <v>2</v>
      </c>
      <c r="C166" s="107">
        <v>8</v>
      </c>
      <c r="D166" s="107" t="s">
        <v>170</v>
      </c>
      <c r="E166" s="107" t="s">
        <v>171</v>
      </c>
      <c r="F166" s="161">
        <v>45354</v>
      </c>
      <c r="G166" s="107">
        <f t="shared" si="4"/>
        <v>6</v>
      </c>
    </row>
    <row r="167" spans="1:7">
      <c r="A167" s="107">
        <v>4</v>
      </c>
      <c r="B167" s="107">
        <v>3</v>
      </c>
      <c r="C167" s="107">
        <v>1</v>
      </c>
      <c r="D167" s="107" t="s">
        <v>172</v>
      </c>
      <c r="E167" s="107" t="s">
        <v>173</v>
      </c>
      <c r="F167" s="161">
        <v>45353</v>
      </c>
      <c r="G167" s="107">
        <f t="shared" si="4"/>
        <v>5</v>
      </c>
    </row>
    <row r="168" spans="1:7">
      <c r="A168" s="107">
        <v>4</v>
      </c>
      <c r="B168" s="107">
        <v>3</v>
      </c>
      <c r="C168" s="107">
        <v>2</v>
      </c>
      <c r="D168" s="107" t="s">
        <v>172</v>
      </c>
      <c r="E168" s="107" t="s">
        <v>173</v>
      </c>
      <c r="F168" s="161">
        <v>45356</v>
      </c>
      <c r="G168" s="107">
        <f t="shared" si="4"/>
        <v>8</v>
      </c>
    </row>
    <row r="169" spans="1:7">
      <c r="A169" s="107">
        <v>4</v>
      </c>
      <c r="B169" s="107">
        <v>3</v>
      </c>
      <c r="C169" s="107">
        <v>3</v>
      </c>
      <c r="D169" s="107" t="s">
        <v>172</v>
      </c>
      <c r="E169" s="107" t="s">
        <v>173</v>
      </c>
      <c r="F169" s="161">
        <v>45353</v>
      </c>
      <c r="G169" s="107">
        <f t="shared" si="4"/>
        <v>5</v>
      </c>
    </row>
    <row r="170" spans="1:7">
      <c r="A170" s="107">
        <v>4</v>
      </c>
      <c r="B170" s="107">
        <v>3</v>
      </c>
      <c r="C170" s="107">
        <v>4</v>
      </c>
      <c r="D170" s="107" t="s">
        <v>172</v>
      </c>
      <c r="E170" s="107" t="s">
        <v>173</v>
      </c>
      <c r="F170" s="161">
        <v>45353</v>
      </c>
      <c r="G170" s="107">
        <f t="shared" si="4"/>
        <v>5</v>
      </c>
    </row>
    <row r="171" spans="1:7">
      <c r="A171" s="107">
        <v>4</v>
      </c>
      <c r="B171" s="107">
        <v>3</v>
      </c>
      <c r="C171" s="107">
        <v>5</v>
      </c>
      <c r="D171" s="107" t="s">
        <v>172</v>
      </c>
      <c r="E171" s="107" t="s">
        <v>173</v>
      </c>
      <c r="F171" s="161">
        <v>45353</v>
      </c>
      <c r="G171" s="107">
        <f t="shared" si="4"/>
        <v>5</v>
      </c>
    </row>
    <row r="172" spans="1:7">
      <c r="A172" s="107">
        <v>4</v>
      </c>
      <c r="B172" s="107">
        <v>3</v>
      </c>
      <c r="C172" s="107">
        <v>6</v>
      </c>
      <c r="D172" s="107" t="s">
        <v>172</v>
      </c>
      <c r="E172" s="107" t="s">
        <v>173</v>
      </c>
      <c r="F172" s="161">
        <v>45353</v>
      </c>
      <c r="G172" s="107">
        <f t="shared" si="4"/>
        <v>5</v>
      </c>
    </row>
    <row r="173" spans="1:7">
      <c r="A173" s="107">
        <v>4</v>
      </c>
      <c r="B173" s="107">
        <v>3</v>
      </c>
      <c r="C173" s="107">
        <v>7</v>
      </c>
      <c r="D173" s="107" t="s">
        <v>172</v>
      </c>
      <c r="E173" s="107" t="s">
        <v>173</v>
      </c>
      <c r="F173" s="161">
        <v>45354</v>
      </c>
      <c r="G173" s="107">
        <f t="shared" si="4"/>
        <v>6</v>
      </c>
    </row>
    <row r="174" spans="1:7">
      <c r="A174" s="107">
        <v>4</v>
      </c>
      <c r="B174" s="107">
        <v>3</v>
      </c>
      <c r="C174" s="107">
        <v>8</v>
      </c>
      <c r="D174" s="107" t="s">
        <v>172</v>
      </c>
      <c r="E174" s="107" t="s">
        <v>173</v>
      </c>
      <c r="F174" s="161">
        <v>45353</v>
      </c>
      <c r="G174" s="107">
        <f t="shared" si="4"/>
        <v>5</v>
      </c>
    </row>
    <row r="175" spans="1:7">
      <c r="A175" s="107">
        <v>4</v>
      </c>
      <c r="B175" s="107">
        <v>4</v>
      </c>
      <c r="C175" s="107">
        <v>1</v>
      </c>
      <c r="D175" s="107" t="s">
        <v>174</v>
      </c>
      <c r="E175" s="107" t="s">
        <v>175</v>
      </c>
      <c r="F175" s="161">
        <v>45354</v>
      </c>
      <c r="G175" s="107">
        <f t="shared" si="4"/>
        <v>6</v>
      </c>
    </row>
    <row r="176" spans="1:7">
      <c r="A176" s="107">
        <v>4</v>
      </c>
      <c r="B176" s="107">
        <v>4</v>
      </c>
      <c r="C176" s="107">
        <v>2</v>
      </c>
      <c r="D176" s="107" t="s">
        <v>174</v>
      </c>
      <c r="E176" s="107" t="s">
        <v>175</v>
      </c>
      <c r="F176" s="161">
        <v>45354</v>
      </c>
      <c r="G176" s="107">
        <f t="shared" si="4"/>
        <v>6</v>
      </c>
    </row>
    <row r="177" spans="1:7">
      <c r="A177" s="107">
        <v>4</v>
      </c>
      <c r="B177" s="107">
        <v>4</v>
      </c>
      <c r="C177" s="107">
        <v>3</v>
      </c>
      <c r="D177" s="107" t="s">
        <v>174</v>
      </c>
      <c r="E177" s="107" t="s">
        <v>175</v>
      </c>
      <c r="F177" s="161">
        <v>45354</v>
      </c>
      <c r="G177" s="107">
        <f t="shared" si="4"/>
        <v>6</v>
      </c>
    </row>
    <row r="178" spans="1:7">
      <c r="A178" s="107">
        <v>4</v>
      </c>
      <c r="B178" s="107">
        <v>4</v>
      </c>
      <c r="C178" s="107">
        <v>4</v>
      </c>
      <c r="D178" s="107" t="s">
        <v>174</v>
      </c>
      <c r="E178" s="107" t="s">
        <v>175</v>
      </c>
      <c r="F178" s="161">
        <v>45354</v>
      </c>
      <c r="G178" s="107">
        <f t="shared" si="4"/>
        <v>6</v>
      </c>
    </row>
    <row r="179" spans="1:7">
      <c r="A179" s="107">
        <v>4</v>
      </c>
      <c r="B179" s="107">
        <v>4</v>
      </c>
      <c r="C179" s="107">
        <v>5</v>
      </c>
      <c r="D179" s="107" t="s">
        <v>174</v>
      </c>
      <c r="E179" s="107" t="s">
        <v>175</v>
      </c>
      <c r="F179" s="161">
        <v>45354</v>
      </c>
      <c r="G179" s="107">
        <f t="shared" si="4"/>
        <v>6</v>
      </c>
    </row>
    <row r="180" spans="1:7">
      <c r="A180" s="107">
        <v>4</v>
      </c>
      <c r="B180" s="107">
        <v>4</v>
      </c>
      <c r="C180" s="107">
        <v>6</v>
      </c>
      <c r="D180" s="107" t="s">
        <v>174</v>
      </c>
      <c r="E180" s="107" t="s">
        <v>175</v>
      </c>
      <c r="F180" s="161">
        <v>45354</v>
      </c>
      <c r="G180" s="107">
        <f t="shared" si="4"/>
        <v>6</v>
      </c>
    </row>
    <row r="181" spans="1:7">
      <c r="A181" s="107">
        <v>4</v>
      </c>
      <c r="B181" s="107">
        <v>4</v>
      </c>
      <c r="C181" s="107">
        <v>7</v>
      </c>
      <c r="D181" s="107" t="s">
        <v>174</v>
      </c>
      <c r="E181" s="107" t="s">
        <v>175</v>
      </c>
      <c r="F181" s="161">
        <v>45354</v>
      </c>
      <c r="G181" s="107">
        <f t="shared" si="4"/>
        <v>6</v>
      </c>
    </row>
    <row r="182" spans="1:7">
      <c r="A182" s="107">
        <v>4</v>
      </c>
      <c r="B182" s="107">
        <v>4</v>
      </c>
      <c r="C182" s="107">
        <v>8</v>
      </c>
      <c r="D182" s="107" t="s">
        <v>174</v>
      </c>
      <c r="E182" s="107" t="s">
        <v>175</v>
      </c>
      <c r="F182" s="161">
        <v>45354</v>
      </c>
      <c r="G182" s="107">
        <f t="shared" si="4"/>
        <v>6</v>
      </c>
    </row>
    <row r="183" spans="1:7">
      <c r="A183" s="107">
        <v>4</v>
      </c>
      <c r="B183" s="107">
        <v>5</v>
      </c>
      <c r="C183" s="107">
        <v>1</v>
      </c>
      <c r="D183" s="107" t="s">
        <v>176</v>
      </c>
      <c r="E183" s="107" t="s">
        <v>177</v>
      </c>
      <c r="F183" s="161">
        <v>45354</v>
      </c>
      <c r="G183" s="107">
        <f t="shared" si="4"/>
        <v>6</v>
      </c>
    </row>
    <row r="184" spans="1:7">
      <c r="A184" s="107">
        <v>4</v>
      </c>
      <c r="B184" s="107">
        <v>5</v>
      </c>
      <c r="C184" s="107">
        <v>2</v>
      </c>
      <c r="D184" s="107" t="s">
        <v>176</v>
      </c>
      <c r="E184" s="107" t="s">
        <v>177</v>
      </c>
      <c r="F184" s="161">
        <v>45354</v>
      </c>
      <c r="G184" s="107">
        <f t="shared" si="4"/>
        <v>6</v>
      </c>
    </row>
    <row r="185" spans="1:7">
      <c r="A185" s="107">
        <v>4</v>
      </c>
      <c r="B185" s="107">
        <v>5</v>
      </c>
      <c r="C185" s="107">
        <v>3</v>
      </c>
      <c r="D185" s="107" t="s">
        <v>176</v>
      </c>
      <c r="E185" s="107" t="s">
        <v>177</v>
      </c>
      <c r="F185" s="161">
        <v>45355</v>
      </c>
      <c r="G185" s="107">
        <f t="shared" si="4"/>
        <v>7</v>
      </c>
    </row>
    <row r="186" spans="1:7">
      <c r="A186" s="107">
        <v>4</v>
      </c>
      <c r="B186" s="107">
        <v>5</v>
      </c>
      <c r="C186" s="107">
        <v>4</v>
      </c>
      <c r="D186" s="107" t="s">
        <v>176</v>
      </c>
      <c r="E186" s="107" t="s">
        <v>177</v>
      </c>
      <c r="F186" s="161">
        <v>45354</v>
      </c>
      <c r="G186" s="107">
        <f t="shared" si="4"/>
        <v>6</v>
      </c>
    </row>
    <row r="187" spans="1:7">
      <c r="A187" s="107">
        <v>4</v>
      </c>
      <c r="B187" s="107">
        <v>5</v>
      </c>
      <c r="C187" s="107">
        <v>5</v>
      </c>
      <c r="D187" s="107" t="s">
        <v>176</v>
      </c>
      <c r="E187" s="107" t="s">
        <v>177</v>
      </c>
      <c r="F187" s="161">
        <v>45354</v>
      </c>
      <c r="G187" s="107">
        <f t="shared" si="4"/>
        <v>6</v>
      </c>
    </row>
    <row r="188" spans="1:7">
      <c r="A188" s="107">
        <v>4</v>
      </c>
      <c r="B188" s="107">
        <v>5</v>
      </c>
      <c r="C188" s="107">
        <v>6</v>
      </c>
      <c r="D188" s="107" t="s">
        <v>176</v>
      </c>
      <c r="E188" s="107" t="s">
        <v>177</v>
      </c>
      <c r="F188" s="161">
        <v>45354</v>
      </c>
      <c r="G188" s="107">
        <f t="shared" si="4"/>
        <v>6</v>
      </c>
    </row>
    <row r="189" spans="1:7">
      <c r="A189" s="107">
        <v>4</v>
      </c>
      <c r="B189" s="107">
        <v>5</v>
      </c>
      <c r="C189" s="107">
        <v>7</v>
      </c>
      <c r="D189" s="107" t="s">
        <v>176</v>
      </c>
      <c r="E189" s="107" t="s">
        <v>177</v>
      </c>
      <c r="F189" s="161">
        <v>45356</v>
      </c>
      <c r="G189" s="107">
        <f t="shared" si="4"/>
        <v>8</v>
      </c>
    </row>
    <row r="190" spans="1:7">
      <c r="A190" s="107">
        <v>4</v>
      </c>
      <c r="B190" s="107">
        <v>5</v>
      </c>
      <c r="C190" s="107">
        <v>8</v>
      </c>
      <c r="D190" s="107" t="s">
        <v>176</v>
      </c>
      <c r="E190" s="107" t="s">
        <v>177</v>
      </c>
      <c r="F190" s="161">
        <v>45354</v>
      </c>
      <c r="G190" s="107">
        <f t="shared" si="4"/>
        <v>6</v>
      </c>
    </row>
    <row r="191" spans="1:7">
      <c r="A191" s="107">
        <v>4</v>
      </c>
      <c r="B191" s="107">
        <v>6</v>
      </c>
      <c r="C191" s="107">
        <v>1</v>
      </c>
      <c r="D191" s="107" t="s">
        <v>178</v>
      </c>
      <c r="E191" s="107" t="s">
        <v>179</v>
      </c>
      <c r="F191" s="161">
        <v>45354</v>
      </c>
      <c r="G191" s="107">
        <f t="shared" si="4"/>
        <v>6</v>
      </c>
    </row>
    <row r="192" spans="1:7">
      <c r="A192" s="107">
        <v>4</v>
      </c>
      <c r="B192" s="107">
        <v>6</v>
      </c>
      <c r="C192" s="107">
        <v>2</v>
      </c>
      <c r="D192" s="107" t="s">
        <v>178</v>
      </c>
      <c r="E192" s="107" t="s">
        <v>179</v>
      </c>
      <c r="F192" s="161">
        <v>45353</v>
      </c>
      <c r="G192" s="107">
        <f t="shared" si="4"/>
        <v>5</v>
      </c>
    </row>
    <row r="193" spans="1:7">
      <c r="A193" s="107">
        <v>4</v>
      </c>
      <c r="B193" s="107">
        <v>6</v>
      </c>
      <c r="C193" s="107">
        <v>3</v>
      </c>
      <c r="D193" s="107" t="s">
        <v>178</v>
      </c>
      <c r="E193" s="107" t="s">
        <v>179</v>
      </c>
      <c r="F193" s="161">
        <v>45353</v>
      </c>
      <c r="G193" s="107">
        <f t="shared" si="4"/>
        <v>5</v>
      </c>
    </row>
    <row r="194" spans="1:7">
      <c r="A194" s="107">
        <v>4</v>
      </c>
      <c r="B194" s="107">
        <v>6</v>
      </c>
      <c r="C194" s="107">
        <v>4</v>
      </c>
      <c r="D194" s="107" t="s">
        <v>178</v>
      </c>
      <c r="E194" s="107" t="s">
        <v>179</v>
      </c>
      <c r="F194" s="161">
        <v>45353</v>
      </c>
      <c r="G194" s="107">
        <f t="shared" si="4"/>
        <v>5</v>
      </c>
    </row>
    <row r="195" spans="1:7">
      <c r="A195" s="107">
        <v>4</v>
      </c>
      <c r="B195" s="107">
        <v>6</v>
      </c>
      <c r="C195" s="107">
        <v>5</v>
      </c>
      <c r="D195" s="107" t="s">
        <v>178</v>
      </c>
      <c r="E195" s="107" t="s">
        <v>179</v>
      </c>
      <c r="F195" s="161">
        <v>45354</v>
      </c>
      <c r="G195" s="107">
        <f t="shared" si="4"/>
        <v>6</v>
      </c>
    </row>
    <row r="196" spans="1:7">
      <c r="A196" s="107">
        <v>4</v>
      </c>
      <c r="B196" s="107">
        <v>6</v>
      </c>
      <c r="C196" s="107">
        <v>6</v>
      </c>
      <c r="D196" s="107" t="s">
        <v>178</v>
      </c>
      <c r="E196" s="107" t="s">
        <v>179</v>
      </c>
      <c r="F196" s="161">
        <v>45353</v>
      </c>
      <c r="G196" s="107">
        <f t="shared" si="4"/>
        <v>5</v>
      </c>
    </row>
    <row r="197" spans="1:7">
      <c r="A197" s="107">
        <v>4</v>
      </c>
      <c r="B197" s="107">
        <v>6</v>
      </c>
      <c r="C197" s="107">
        <v>7</v>
      </c>
      <c r="D197" s="107" t="s">
        <v>178</v>
      </c>
      <c r="E197" s="107" t="s">
        <v>179</v>
      </c>
      <c r="F197" s="161">
        <v>45353</v>
      </c>
      <c r="G197" s="107">
        <f t="shared" si="4"/>
        <v>5</v>
      </c>
    </row>
    <row r="198" spans="1:7">
      <c r="A198" s="107">
        <v>4</v>
      </c>
      <c r="B198" s="107">
        <v>6</v>
      </c>
      <c r="C198" s="107">
        <v>8</v>
      </c>
      <c r="D198" s="107" t="s">
        <v>178</v>
      </c>
      <c r="E198" s="107" t="s">
        <v>179</v>
      </c>
      <c r="F198" s="161">
        <v>45353</v>
      </c>
      <c r="G198" s="107">
        <f t="shared" si="4"/>
        <v>5</v>
      </c>
    </row>
    <row r="199" spans="1:7">
      <c r="D199" s="139"/>
      <c r="E199" s="139"/>
      <c r="F199" s="139"/>
      <c r="G199" s="139"/>
    </row>
    <row r="200" spans="1:7">
      <c r="A200" s="107">
        <v>5</v>
      </c>
      <c r="B200" s="107">
        <v>1</v>
      </c>
      <c r="C200" s="107">
        <v>1</v>
      </c>
      <c r="D200" s="170" t="s">
        <v>180</v>
      </c>
      <c r="E200" s="170" t="s">
        <v>181</v>
      </c>
      <c r="F200" s="100">
        <v>45353</v>
      </c>
      <c r="G200" s="170">
        <f t="shared" ref="G200:G235" si="5">DATEDIF(G$2,F200,"d")</f>
        <v>5</v>
      </c>
    </row>
    <row r="201" spans="1:7">
      <c r="A201" s="107">
        <v>5</v>
      </c>
      <c r="B201" s="107">
        <v>1</v>
      </c>
      <c r="C201" s="107">
        <v>2</v>
      </c>
      <c r="D201" s="107" t="s">
        <v>180</v>
      </c>
      <c r="E201" s="107" t="s">
        <v>181</v>
      </c>
      <c r="F201" s="161">
        <v>45353</v>
      </c>
      <c r="G201" s="107">
        <f t="shared" si="5"/>
        <v>5</v>
      </c>
    </row>
    <row r="202" spans="1:7">
      <c r="A202" s="107">
        <v>5</v>
      </c>
      <c r="B202" s="107">
        <v>1</v>
      </c>
      <c r="C202" s="107">
        <v>3</v>
      </c>
      <c r="D202" s="107" t="s">
        <v>180</v>
      </c>
      <c r="E202" s="107" t="s">
        <v>181</v>
      </c>
      <c r="F202" s="161">
        <v>45354</v>
      </c>
      <c r="G202" s="107">
        <f t="shared" si="5"/>
        <v>6</v>
      </c>
    </row>
    <row r="203" spans="1:7">
      <c r="A203" s="107">
        <v>5</v>
      </c>
      <c r="B203" s="107">
        <v>1</v>
      </c>
      <c r="C203" s="107">
        <v>4</v>
      </c>
      <c r="D203" s="107" t="s">
        <v>180</v>
      </c>
      <c r="E203" s="107" t="s">
        <v>181</v>
      </c>
      <c r="F203" s="161">
        <v>45353</v>
      </c>
      <c r="G203" s="107">
        <f t="shared" si="5"/>
        <v>5</v>
      </c>
    </row>
    <row r="204" spans="1:7">
      <c r="A204" s="107">
        <v>5</v>
      </c>
      <c r="B204" s="107">
        <v>1</v>
      </c>
      <c r="C204" s="107">
        <v>5</v>
      </c>
      <c r="D204" s="107" t="s">
        <v>180</v>
      </c>
      <c r="E204" s="107" t="s">
        <v>181</v>
      </c>
      <c r="F204" s="161">
        <v>45354</v>
      </c>
      <c r="G204" s="107">
        <f t="shared" si="5"/>
        <v>6</v>
      </c>
    </row>
    <row r="205" spans="1:7">
      <c r="A205" s="107">
        <v>5</v>
      </c>
      <c r="B205" s="107">
        <v>1</v>
      </c>
      <c r="C205" s="107">
        <v>6</v>
      </c>
      <c r="D205" s="107" t="s">
        <v>180</v>
      </c>
      <c r="E205" s="107" t="s">
        <v>181</v>
      </c>
      <c r="F205" s="161">
        <v>45353</v>
      </c>
      <c r="G205" s="107">
        <f t="shared" si="5"/>
        <v>5</v>
      </c>
    </row>
    <row r="206" spans="1:7">
      <c r="A206" s="107">
        <v>5</v>
      </c>
      <c r="B206" s="107">
        <v>1</v>
      </c>
      <c r="C206" s="107">
        <v>7</v>
      </c>
      <c r="D206" s="107" t="s">
        <v>180</v>
      </c>
      <c r="E206" s="107" t="s">
        <v>181</v>
      </c>
      <c r="F206" s="161">
        <v>45353</v>
      </c>
      <c r="G206" s="107">
        <f t="shared" si="5"/>
        <v>5</v>
      </c>
    </row>
    <row r="207" spans="1:7">
      <c r="A207" s="107">
        <v>5</v>
      </c>
      <c r="B207" s="107">
        <v>1</v>
      </c>
      <c r="C207" s="107">
        <v>8</v>
      </c>
      <c r="D207" s="107" t="s">
        <v>180</v>
      </c>
      <c r="E207" s="107" t="s">
        <v>181</v>
      </c>
      <c r="F207" s="161">
        <v>45353</v>
      </c>
      <c r="G207" s="107">
        <f t="shared" si="5"/>
        <v>5</v>
      </c>
    </row>
    <row r="208" spans="1:7">
      <c r="A208" s="107">
        <v>5</v>
      </c>
      <c r="B208" s="107">
        <v>2</v>
      </c>
      <c r="C208" s="107">
        <v>1</v>
      </c>
      <c r="D208" s="107" t="s">
        <v>182</v>
      </c>
      <c r="E208" s="107" t="s">
        <v>183</v>
      </c>
      <c r="F208" s="161">
        <v>45353</v>
      </c>
      <c r="G208" s="107">
        <f t="shared" si="5"/>
        <v>5</v>
      </c>
    </row>
    <row r="209" spans="1:7">
      <c r="A209" s="107">
        <v>5</v>
      </c>
      <c r="B209" s="107">
        <v>2</v>
      </c>
      <c r="C209" s="107">
        <v>2</v>
      </c>
      <c r="D209" s="107" t="s">
        <v>182</v>
      </c>
      <c r="E209" s="107" t="s">
        <v>183</v>
      </c>
      <c r="F209" s="161">
        <v>45353</v>
      </c>
      <c r="G209" s="107">
        <f t="shared" si="5"/>
        <v>5</v>
      </c>
    </row>
    <row r="210" spans="1:7">
      <c r="A210" s="107">
        <v>5</v>
      </c>
      <c r="B210" s="107">
        <v>2</v>
      </c>
      <c r="C210" s="107">
        <v>3</v>
      </c>
      <c r="D210" s="107" t="s">
        <v>182</v>
      </c>
      <c r="E210" s="107" t="s">
        <v>183</v>
      </c>
      <c r="F210" s="161">
        <v>45353</v>
      </c>
      <c r="G210" s="107">
        <f t="shared" si="5"/>
        <v>5</v>
      </c>
    </row>
    <row r="211" spans="1:7">
      <c r="A211" s="107">
        <v>5</v>
      </c>
      <c r="B211" s="107">
        <v>2</v>
      </c>
      <c r="C211" s="107">
        <v>4</v>
      </c>
      <c r="D211" s="107" t="s">
        <v>182</v>
      </c>
      <c r="E211" s="107" t="s">
        <v>183</v>
      </c>
      <c r="F211" s="161">
        <v>45353</v>
      </c>
      <c r="G211" s="107">
        <f t="shared" si="5"/>
        <v>5</v>
      </c>
    </row>
    <row r="212" spans="1:7">
      <c r="A212" s="107">
        <v>5</v>
      </c>
      <c r="B212" s="107">
        <v>2</v>
      </c>
      <c r="C212" s="107">
        <v>5</v>
      </c>
      <c r="D212" s="107" t="s">
        <v>182</v>
      </c>
      <c r="E212" s="107" t="s">
        <v>183</v>
      </c>
      <c r="F212" s="161">
        <v>45352</v>
      </c>
      <c r="G212" s="107">
        <f t="shared" si="5"/>
        <v>4</v>
      </c>
    </row>
    <row r="213" spans="1:7">
      <c r="A213" s="107">
        <v>5</v>
      </c>
      <c r="B213" s="107">
        <v>2</v>
      </c>
      <c r="C213" s="107">
        <v>6</v>
      </c>
      <c r="D213" s="107" t="s">
        <v>182</v>
      </c>
      <c r="E213" s="107" t="s">
        <v>183</v>
      </c>
      <c r="F213" s="161">
        <v>45353</v>
      </c>
      <c r="G213" s="107">
        <f t="shared" si="5"/>
        <v>5</v>
      </c>
    </row>
    <row r="214" spans="1:7">
      <c r="A214" s="107">
        <v>5</v>
      </c>
      <c r="B214" s="107">
        <v>2</v>
      </c>
      <c r="C214" s="107">
        <v>7</v>
      </c>
      <c r="D214" s="107" t="s">
        <v>182</v>
      </c>
      <c r="E214" s="107" t="s">
        <v>183</v>
      </c>
      <c r="F214" s="161">
        <v>45353</v>
      </c>
      <c r="G214" s="107">
        <f t="shared" si="5"/>
        <v>5</v>
      </c>
    </row>
    <row r="215" spans="1:7">
      <c r="A215" s="107">
        <v>5</v>
      </c>
      <c r="B215" s="107">
        <v>2</v>
      </c>
      <c r="C215" s="107">
        <v>8</v>
      </c>
      <c r="D215" s="107" t="s">
        <v>182</v>
      </c>
      <c r="E215" s="107" t="s">
        <v>183</v>
      </c>
      <c r="F215" s="161">
        <v>45352</v>
      </c>
      <c r="G215" s="107">
        <f t="shared" si="5"/>
        <v>4</v>
      </c>
    </row>
    <row r="216" spans="1:7">
      <c r="A216" s="107">
        <v>5</v>
      </c>
      <c r="B216" s="107">
        <v>3</v>
      </c>
      <c r="C216" s="107">
        <v>1</v>
      </c>
      <c r="D216" s="107" t="s">
        <v>184</v>
      </c>
      <c r="E216" s="107" t="s">
        <v>185</v>
      </c>
      <c r="F216" s="161">
        <v>45353</v>
      </c>
      <c r="G216" s="107">
        <f t="shared" si="5"/>
        <v>5</v>
      </c>
    </row>
    <row r="217" spans="1:7">
      <c r="A217" s="107">
        <v>5</v>
      </c>
      <c r="B217" s="107">
        <v>3</v>
      </c>
      <c r="C217" s="107">
        <v>2</v>
      </c>
      <c r="D217" s="107" t="s">
        <v>184</v>
      </c>
      <c r="E217" s="107" t="s">
        <v>185</v>
      </c>
      <c r="F217" s="161">
        <v>45353</v>
      </c>
      <c r="G217" s="107">
        <f t="shared" si="5"/>
        <v>5</v>
      </c>
    </row>
    <row r="218" spans="1:7">
      <c r="A218" s="107">
        <v>5</v>
      </c>
      <c r="B218" s="107">
        <v>3</v>
      </c>
      <c r="C218" s="107">
        <v>3</v>
      </c>
      <c r="D218" s="107" t="s">
        <v>184</v>
      </c>
      <c r="E218" s="107" t="s">
        <v>185</v>
      </c>
      <c r="F218" s="161">
        <v>45353</v>
      </c>
      <c r="G218" s="107">
        <f t="shared" si="5"/>
        <v>5</v>
      </c>
    </row>
    <row r="219" spans="1:7">
      <c r="A219" s="107">
        <v>5</v>
      </c>
      <c r="B219" s="107">
        <v>3</v>
      </c>
      <c r="C219" s="107">
        <v>4</v>
      </c>
      <c r="D219" s="107" t="s">
        <v>184</v>
      </c>
      <c r="E219" s="107" t="s">
        <v>185</v>
      </c>
      <c r="F219" s="161">
        <v>45353</v>
      </c>
      <c r="G219" s="107">
        <f t="shared" si="5"/>
        <v>5</v>
      </c>
    </row>
    <row r="220" spans="1:7">
      <c r="A220" s="107">
        <v>5</v>
      </c>
      <c r="B220" s="107">
        <v>3</v>
      </c>
      <c r="C220" s="107">
        <v>5</v>
      </c>
      <c r="D220" s="107" t="s">
        <v>184</v>
      </c>
      <c r="E220" s="107" t="s">
        <v>185</v>
      </c>
      <c r="F220" s="161">
        <v>45352</v>
      </c>
      <c r="G220" s="107">
        <f t="shared" si="5"/>
        <v>4</v>
      </c>
    </row>
    <row r="221" spans="1:7">
      <c r="A221" s="107">
        <v>5</v>
      </c>
      <c r="B221" s="107">
        <v>3</v>
      </c>
      <c r="C221" s="107">
        <v>6</v>
      </c>
      <c r="D221" s="107" t="s">
        <v>184</v>
      </c>
      <c r="E221" s="107" t="s">
        <v>185</v>
      </c>
      <c r="F221" s="161">
        <v>45353</v>
      </c>
      <c r="G221" s="107">
        <f t="shared" si="5"/>
        <v>5</v>
      </c>
    </row>
    <row r="222" spans="1:7">
      <c r="A222" s="107">
        <v>5</v>
      </c>
      <c r="B222" s="107">
        <v>3</v>
      </c>
      <c r="C222" s="107">
        <v>7</v>
      </c>
      <c r="D222" s="107" t="s">
        <v>184</v>
      </c>
      <c r="E222" s="107" t="s">
        <v>185</v>
      </c>
      <c r="F222" s="161">
        <v>45352</v>
      </c>
      <c r="G222" s="107">
        <f t="shared" si="5"/>
        <v>4</v>
      </c>
    </row>
    <row r="223" spans="1:7">
      <c r="A223" s="107">
        <v>5</v>
      </c>
      <c r="B223" s="107">
        <v>3</v>
      </c>
      <c r="C223" s="107">
        <v>8</v>
      </c>
      <c r="D223" s="107" t="s">
        <v>184</v>
      </c>
      <c r="E223" s="107" t="s">
        <v>185</v>
      </c>
      <c r="F223" s="161">
        <v>45353</v>
      </c>
      <c r="G223" s="107">
        <f t="shared" si="5"/>
        <v>5</v>
      </c>
    </row>
    <row r="224" spans="1:7">
      <c r="A224" s="107">
        <v>5</v>
      </c>
      <c r="B224" s="107">
        <v>4</v>
      </c>
      <c r="C224" s="107">
        <v>1</v>
      </c>
      <c r="D224" s="107" t="s">
        <v>186</v>
      </c>
      <c r="E224" s="107" t="s">
        <v>187</v>
      </c>
      <c r="F224" s="161">
        <v>45353</v>
      </c>
      <c r="G224" s="107">
        <f t="shared" si="5"/>
        <v>5</v>
      </c>
    </row>
    <row r="225" spans="1:7">
      <c r="A225" s="107">
        <v>5</v>
      </c>
      <c r="B225" s="107">
        <v>4</v>
      </c>
      <c r="C225" s="107">
        <v>2</v>
      </c>
      <c r="D225" s="107" t="s">
        <v>186</v>
      </c>
      <c r="E225" s="107" t="s">
        <v>187</v>
      </c>
      <c r="F225" s="161">
        <v>45353</v>
      </c>
      <c r="G225" s="107">
        <f t="shared" si="5"/>
        <v>5</v>
      </c>
    </row>
    <row r="226" spans="1:7">
      <c r="A226" s="107">
        <v>5</v>
      </c>
      <c r="B226" s="107">
        <v>4</v>
      </c>
      <c r="C226" s="107">
        <v>3</v>
      </c>
      <c r="D226" s="107" t="s">
        <v>186</v>
      </c>
      <c r="E226" s="107" t="s">
        <v>187</v>
      </c>
      <c r="F226" s="161">
        <v>45354</v>
      </c>
      <c r="G226" s="107">
        <f t="shared" si="5"/>
        <v>6</v>
      </c>
    </row>
    <row r="227" spans="1:7">
      <c r="A227" s="107">
        <v>5</v>
      </c>
      <c r="B227" s="107">
        <v>4</v>
      </c>
      <c r="C227" s="107">
        <v>4</v>
      </c>
      <c r="D227" s="107" t="s">
        <v>186</v>
      </c>
      <c r="E227" s="107" t="s">
        <v>187</v>
      </c>
      <c r="F227" s="161">
        <v>45353</v>
      </c>
      <c r="G227" s="107">
        <f t="shared" si="5"/>
        <v>5</v>
      </c>
    </row>
    <row r="228" spans="1:7">
      <c r="A228" s="107">
        <v>5</v>
      </c>
      <c r="B228" s="107">
        <v>4</v>
      </c>
      <c r="C228" s="107">
        <v>5</v>
      </c>
      <c r="D228" s="107" t="s">
        <v>186</v>
      </c>
      <c r="E228" s="107" t="s">
        <v>187</v>
      </c>
      <c r="F228" s="161">
        <v>45353</v>
      </c>
      <c r="G228" s="107">
        <f t="shared" si="5"/>
        <v>5</v>
      </c>
    </row>
    <row r="229" spans="1:7">
      <c r="A229" s="107">
        <v>5</v>
      </c>
      <c r="B229" s="107">
        <v>4</v>
      </c>
      <c r="C229" s="107">
        <v>6</v>
      </c>
      <c r="D229" s="107" t="s">
        <v>186</v>
      </c>
      <c r="E229" s="107" t="s">
        <v>187</v>
      </c>
      <c r="F229" s="161">
        <v>45355</v>
      </c>
      <c r="G229" s="107">
        <f t="shared" si="5"/>
        <v>7</v>
      </c>
    </row>
    <row r="230" spans="1:7">
      <c r="A230" s="107">
        <v>5</v>
      </c>
      <c r="B230" s="107">
        <v>4</v>
      </c>
      <c r="C230" s="107">
        <v>7</v>
      </c>
      <c r="D230" s="107" t="s">
        <v>186</v>
      </c>
      <c r="E230" s="107" t="s">
        <v>187</v>
      </c>
      <c r="F230" s="161">
        <v>45353</v>
      </c>
      <c r="G230" s="107">
        <f t="shared" si="5"/>
        <v>5</v>
      </c>
    </row>
    <row r="231" spans="1:7">
      <c r="A231" s="107">
        <v>5</v>
      </c>
      <c r="B231" s="107">
        <v>4</v>
      </c>
      <c r="C231" s="107">
        <v>8</v>
      </c>
      <c r="D231" s="107" t="s">
        <v>186</v>
      </c>
      <c r="E231" s="107" t="s">
        <v>187</v>
      </c>
      <c r="F231" s="161">
        <v>45353</v>
      </c>
      <c r="G231" s="107">
        <f t="shared" si="5"/>
        <v>5</v>
      </c>
    </row>
    <row r="232" spans="1:7">
      <c r="A232" s="107">
        <v>5</v>
      </c>
      <c r="B232" s="107">
        <v>5</v>
      </c>
      <c r="C232" s="107">
        <v>1</v>
      </c>
      <c r="D232" s="107" t="s">
        <v>188</v>
      </c>
      <c r="E232" s="107" t="s">
        <v>189</v>
      </c>
      <c r="F232" s="161">
        <v>45353</v>
      </c>
      <c r="G232" s="107">
        <f t="shared" si="5"/>
        <v>5</v>
      </c>
    </row>
    <row r="233" spans="1:7">
      <c r="A233" s="107">
        <v>5</v>
      </c>
      <c r="B233" s="107">
        <v>5</v>
      </c>
      <c r="C233" s="107">
        <v>2</v>
      </c>
      <c r="D233" s="107" t="s">
        <v>188</v>
      </c>
      <c r="E233" s="107" t="s">
        <v>189</v>
      </c>
      <c r="F233" s="161">
        <v>45353</v>
      </c>
      <c r="G233" s="107">
        <f t="shared" si="5"/>
        <v>5</v>
      </c>
    </row>
    <row r="234" spans="1:7">
      <c r="A234" s="107">
        <v>5</v>
      </c>
      <c r="B234" s="107">
        <v>5</v>
      </c>
      <c r="C234" s="107">
        <v>3</v>
      </c>
      <c r="D234" s="107" t="s">
        <v>188</v>
      </c>
      <c r="E234" s="107" t="s">
        <v>189</v>
      </c>
      <c r="F234" s="161">
        <v>45352</v>
      </c>
      <c r="G234" s="107">
        <f t="shared" si="5"/>
        <v>4</v>
      </c>
    </row>
    <row r="235" spans="1:7">
      <c r="A235" s="107">
        <v>5</v>
      </c>
      <c r="B235" s="107">
        <v>5</v>
      </c>
      <c r="C235" s="107">
        <v>4</v>
      </c>
      <c r="D235" s="107" t="s">
        <v>188</v>
      </c>
      <c r="E235" s="107" t="s">
        <v>189</v>
      </c>
      <c r="F235" s="161">
        <v>45353</v>
      </c>
      <c r="G235" s="107">
        <f t="shared" si="5"/>
        <v>5</v>
      </c>
    </row>
    <row r="236" spans="1:7">
      <c r="A236" s="107">
        <v>5</v>
      </c>
      <c r="B236" s="107">
        <v>5</v>
      </c>
      <c r="C236" s="107">
        <v>5</v>
      </c>
      <c r="D236" s="107" t="s">
        <v>188</v>
      </c>
      <c r="E236" s="107" t="s">
        <v>189</v>
      </c>
      <c r="F236" s="107"/>
      <c r="G236" s="107"/>
    </row>
    <row r="237" spans="1:7">
      <c r="A237" s="107">
        <v>5</v>
      </c>
      <c r="B237" s="107">
        <v>5</v>
      </c>
      <c r="C237" s="107">
        <v>6</v>
      </c>
      <c r="D237" s="107" t="s">
        <v>188</v>
      </c>
      <c r="E237" s="107" t="s">
        <v>189</v>
      </c>
      <c r="F237" s="161">
        <v>45352</v>
      </c>
      <c r="G237" s="107">
        <f t="shared" ref="G237:G247" si="6">DATEDIF(G$2,F237,"d")</f>
        <v>4</v>
      </c>
    </row>
    <row r="238" spans="1:7">
      <c r="A238" s="107">
        <v>5</v>
      </c>
      <c r="B238" s="107">
        <v>5</v>
      </c>
      <c r="C238" s="107">
        <v>7</v>
      </c>
      <c r="D238" s="107" t="s">
        <v>188</v>
      </c>
      <c r="E238" s="107" t="s">
        <v>189</v>
      </c>
      <c r="F238" s="161">
        <v>45353</v>
      </c>
      <c r="G238" s="107">
        <f t="shared" si="6"/>
        <v>5</v>
      </c>
    </row>
    <row r="239" spans="1:7">
      <c r="A239" s="107">
        <v>5</v>
      </c>
      <c r="B239" s="107">
        <v>5</v>
      </c>
      <c r="C239" s="107">
        <v>8</v>
      </c>
      <c r="D239" s="107" t="s">
        <v>188</v>
      </c>
      <c r="E239" s="107" t="s">
        <v>189</v>
      </c>
      <c r="F239" s="161">
        <v>45353</v>
      </c>
      <c r="G239" s="107">
        <f t="shared" si="6"/>
        <v>5</v>
      </c>
    </row>
    <row r="240" spans="1:7">
      <c r="A240" s="107">
        <v>5</v>
      </c>
      <c r="B240" s="107">
        <v>6</v>
      </c>
      <c r="C240" s="107">
        <v>1</v>
      </c>
      <c r="D240" s="107" t="s">
        <v>190</v>
      </c>
      <c r="E240" s="107" t="s">
        <v>191</v>
      </c>
      <c r="F240" s="161">
        <v>45353</v>
      </c>
      <c r="G240" s="107">
        <f t="shared" si="6"/>
        <v>5</v>
      </c>
    </row>
    <row r="241" spans="1:7">
      <c r="A241" s="107">
        <v>5</v>
      </c>
      <c r="B241" s="107">
        <v>6</v>
      </c>
      <c r="C241" s="107">
        <v>2</v>
      </c>
      <c r="D241" s="107" t="s">
        <v>190</v>
      </c>
      <c r="E241" s="107" t="s">
        <v>191</v>
      </c>
      <c r="F241" s="161">
        <v>45352</v>
      </c>
      <c r="G241" s="107">
        <f t="shared" si="6"/>
        <v>4</v>
      </c>
    </row>
    <row r="242" spans="1:7">
      <c r="A242" s="107">
        <v>5</v>
      </c>
      <c r="B242" s="107">
        <v>6</v>
      </c>
      <c r="C242" s="107">
        <v>3</v>
      </c>
      <c r="D242" s="107" t="s">
        <v>190</v>
      </c>
      <c r="E242" s="107" t="s">
        <v>191</v>
      </c>
      <c r="F242" s="161">
        <v>45353</v>
      </c>
      <c r="G242" s="107">
        <f t="shared" si="6"/>
        <v>5</v>
      </c>
    </row>
    <row r="243" spans="1:7">
      <c r="A243" s="107">
        <v>5</v>
      </c>
      <c r="B243" s="107">
        <v>6</v>
      </c>
      <c r="C243" s="107">
        <v>4</v>
      </c>
      <c r="D243" s="107" t="s">
        <v>190</v>
      </c>
      <c r="E243" s="107" t="s">
        <v>191</v>
      </c>
      <c r="F243" s="161">
        <v>45353</v>
      </c>
      <c r="G243" s="107">
        <f t="shared" si="6"/>
        <v>5</v>
      </c>
    </row>
    <row r="244" spans="1:7">
      <c r="A244" s="107">
        <v>5</v>
      </c>
      <c r="B244" s="107">
        <v>6</v>
      </c>
      <c r="C244" s="107">
        <v>5</v>
      </c>
      <c r="D244" s="107" t="s">
        <v>190</v>
      </c>
      <c r="E244" s="107" t="s">
        <v>191</v>
      </c>
      <c r="F244" s="161">
        <v>45353</v>
      </c>
      <c r="G244" s="107">
        <f t="shared" si="6"/>
        <v>5</v>
      </c>
    </row>
    <row r="245" spans="1:7">
      <c r="A245" s="107">
        <v>5</v>
      </c>
      <c r="B245" s="107">
        <v>6</v>
      </c>
      <c r="C245" s="107">
        <v>6</v>
      </c>
      <c r="D245" s="107" t="s">
        <v>190</v>
      </c>
      <c r="E245" s="107" t="s">
        <v>191</v>
      </c>
      <c r="F245" s="161">
        <v>45353</v>
      </c>
      <c r="G245" s="107">
        <f t="shared" si="6"/>
        <v>5</v>
      </c>
    </row>
    <row r="246" spans="1:7">
      <c r="A246" s="107">
        <v>5</v>
      </c>
      <c r="B246" s="107">
        <v>6</v>
      </c>
      <c r="C246" s="107">
        <v>7</v>
      </c>
      <c r="D246" s="107" t="s">
        <v>190</v>
      </c>
      <c r="E246" s="107" t="s">
        <v>191</v>
      </c>
      <c r="F246" s="161">
        <v>45353</v>
      </c>
      <c r="G246" s="107">
        <f t="shared" si="6"/>
        <v>5</v>
      </c>
    </row>
    <row r="247" spans="1:7">
      <c r="A247" s="107">
        <v>5</v>
      </c>
      <c r="B247" s="107">
        <v>6</v>
      </c>
      <c r="C247" s="107">
        <v>8</v>
      </c>
      <c r="D247" s="107" t="s">
        <v>190</v>
      </c>
      <c r="E247" s="107" t="s">
        <v>191</v>
      </c>
      <c r="F247" s="161">
        <v>45353</v>
      </c>
      <c r="G247" s="107">
        <f t="shared" si="6"/>
        <v>5</v>
      </c>
    </row>
    <row r="248" spans="1:7">
      <c r="D248" s="139"/>
      <c r="E248" s="139"/>
      <c r="F248" s="139"/>
      <c r="G248" s="139"/>
    </row>
    <row r="249" spans="1:7">
      <c r="A249" s="107">
        <v>6</v>
      </c>
      <c r="B249" s="107">
        <v>1</v>
      </c>
      <c r="C249" s="107">
        <v>1</v>
      </c>
      <c r="D249" s="170" t="s">
        <v>192</v>
      </c>
      <c r="E249" s="170" t="s">
        <v>193</v>
      </c>
      <c r="F249" s="100">
        <v>45354</v>
      </c>
      <c r="G249" s="170">
        <f t="shared" ref="G249:G266" si="7">DATEDIF(G$2,F249,"d")</f>
        <v>6</v>
      </c>
    </row>
    <row r="250" spans="1:7">
      <c r="A250" s="107">
        <v>6</v>
      </c>
      <c r="B250" s="107">
        <v>1</v>
      </c>
      <c r="C250" s="107">
        <v>2</v>
      </c>
      <c r="D250" s="107" t="s">
        <v>192</v>
      </c>
      <c r="E250" s="107" t="s">
        <v>193</v>
      </c>
      <c r="F250" s="161">
        <v>45353</v>
      </c>
      <c r="G250" s="107">
        <f t="shared" si="7"/>
        <v>5</v>
      </c>
    </row>
    <row r="251" spans="1:7">
      <c r="A251" s="107">
        <v>6</v>
      </c>
      <c r="B251" s="107">
        <v>1</v>
      </c>
      <c r="C251" s="107">
        <v>3</v>
      </c>
      <c r="D251" s="107" t="s">
        <v>192</v>
      </c>
      <c r="E251" s="107" t="s">
        <v>193</v>
      </c>
      <c r="F251" s="161">
        <v>45353</v>
      </c>
      <c r="G251" s="107">
        <f t="shared" si="7"/>
        <v>5</v>
      </c>
    </row>
    <row r="252" spans="1:7">
      <c r="A252" s="107">
        <v>6</v>
      </c>
      <c r="B252" s="107">
        <v>1</v>
      </c>
      <c r="C252" s="107">
        <v>4</v>
      </c>
      <c r="D252" s="107" t="s">
        <v>192</v>
      </c>
      <c r="E252" s="107" t="s">
        <v>193</v>
      </c>
      <c r="F252" s="161">
        <v>45353</v>
      </c>
      <c r="G252" s="107">
        <f t="shared" si="7"/>
        <v>5</v>
      </c>
    </row>
    <row r="253" spans="1:7">
      <c r="A253" s="107">
        <v>6</v>
      </c>
      <c r="B253" s="107">
        <v>1</v>
      </c>
      <c r="C253" s="107">
        <v>5</v>
      </c>
      <c r="D253" s="107" t="s">
        <v>192</v>
      </c>
      <c r="E253" s="107" t="s">
        <v>193</v>
      </c>
      <c r="F253" s="161">
        <v>45354</v>
      </c>
      <c r="G253" s="107">
        <f t="shared" si="7"/>
        <v>6</v>
      </c>
    </row>
    <row r="254" spans="1:7">
      <c r="A254" s="107">
        <v>6</v>
      </c>
      <c r="B254" s="107">
        <v>1</v>
      </c>
      <c r="C254" s="107">
        <v>6</v>
      </c>
      <c r="D254" s="107" t="s">
        <v>192</v>
      </c>
      <c r="E254" s="107" t="s">
        <v>193</v>
      </c>
      <c r="F254" s="161">
        <v>45354</v>
      </c>
      <c r="G254" s="107">
        <f t="shared" si="7"/>
        <v>6</v>
      </c>
    </row>
    <row r="255" spans="1:7">
      <c r="A255" s="107">
        <v>6</v>
      </c>
      <c r="B255" s="107">
        <v>1</v>
      </c>
      <c r="C255" s="107">
        <v>7</v>
      </c>
      <c r="D255" s="107" t="s">
        <v>192</v>
      </c>
      <c r="E255" s="107" t="s">
        <v>193</v>
      </c>
      <c r="F255" s="161">
        <v>45353</v>
      </c>
      <c r="G255" s="107">
        <f t="shared" si="7"/>
        <v>5</v>
      </c>
    </row>
    <row r="256" spans="1:7">
      <c r="A256" s="107">
        <v>6</v>
      </c>
      <c r="B256" s="107">
        <v>1</v>
      </c>
      <c r="C256" s="107">
        <v>8</v>
      </c>
      <c r="D256" s="107" t="s">
        <v>192</v>
      </c>
      <c r="E256" s="107" t="s">
        <v>193</v>
      </c>
      <c r="F256" s="161">
        <v>45353</v>
      </c>
      <c r="G256" s="107">
        <f t="shared" si="7"/>
        <v>5</v>
      </c>
    </row>
    <row r="257" spans="1:7">
      <c r="A257" s="107">
        <v>6</v>
      </c>
      <c r="B257" s="107">
        <v>2</v>
      </c>
      <c r="C257" s="107">
        <v>1</v>
      </c>
      <c r="D257" s="107" t="s">
        <v>194</v>
      </c>
      <c r="E257" s="107" t="s">
        <v>195</v>
      </c>
      <c r="F257" s="161">
        <v>45356</v>
      </c>
      <c r="G257" s="107">
        <f t="shared" si="7"/>
        <v>8</v>
      </c>
    </row>
    <row r="258" spans="1:7">
      <c r="A258" s="107">
        <v>6</v>
      </c>
      <c r="B258" s="107">
        <v>2</v>
      </c>
      <c r="C258" s="107">
        <v>2</v>
      </c>
      <c r="D258" s="107" t="s">
        <v>194</v>
      </c>
      <c r="E258" s="107" t="s">
        <v>195</v>
      </c>
      <c r="F258" s="161">
        <v>45356</v>
      </c>
      <c r="G258" s="107">
        <f t="shared" si="7"/>
        <v>8</v>
      </c>
    </row>
    <row r="259" spans="1:7">
      <c r="A259" s="107">
        <v>6</v>
      </c>
      <c r="B259" s="107">
        <v>2</v>
      </c>
      <c r="C259" s="107">
        <v>3</v>
      </c>
      <c r="D259" s="107" t="s">
        <v>194</v>
      </c>
      <c r="E259" s="107" t="s">
        <v>195</v>
      </c>
      <c r="F259" s="161">
        <v>45356</v>
      </c>
      <c r="G259" s="107">
        <f t="shared" si="7"/>
        <v>8</v>
      </c>
    </row>
    <row r="260" spans="1:7">
      <c r="A260" s="107">
        <v>6</v>
      </c>
      <c r="B260" s="107">
        <v>2</v>
      </c>
      <c r="C260" s="107">
        <v>4</v>
      </c>
      <c r="D260" s="107" t="s">
        <v>194</v>
      </c>
      <c r="E260" s="107" t="s">
        <v>195</v>
      </c>
      <c r="F260" s="161">
        <v>45355</v>
      </c>
      <c r="G260" s="107">
        <f t="shared" si="7"/>
        <v>7</v>
      </c>
    </row>
    <row r="261" spans="1:7">
      <c r="A261" s="107">
        <v>6</v>
      </c>
      <c r="B261" s="107">
        <v>2</v>
      </c>
      <c r="C261" s="107">
        <v>5</v>
      </c>
      <c r="D261" s="107" t="s">
        <v>194</v>
      </c>
      <c r="E261" s="107" t="s">
        <v>195</v>
      </c>
      <c r="F261" s="161">
        <v>45355</v>
      </c>
      <c r="G261" s="107">
        <f t="shared" si="7"/>
        <v>7</v>
      </c>
    </row>
    <row r="262" spans="1:7">
      <c r="A262" s="107">
        <v>6</v>
      </c>
      <c r="B262" s="107">
        <v>2</v>
      </c>
      <c r="C262" s="107">
        <v>6</v>
      </c>
      <c r="D262" s="107" t="s">
        <v>194</v>
      </c>
      <c r="E262" s="107" t="s">
        <v>195</v>
      </c>
      <c r="F262" s="161">
        <v>45356</v>
      </c>
      <c r="G262" s="107">
        <f t="shared" si="7"/>
        <v>8</v>
      </c>
    </row>
    <row r="263" spans="1:7">
      <c r="A263" s="107">
        <v>6</v>
      </c>
      <c r="B263" s="107">
        <v>2</v>
      </c>
      <c r="C263" s="107">
        <v>7</v>
      </c>
      <c r="D263" s="107" t="s">
        <v>194</v>
      </c>
      <c r="E263" s="107" t="s">
        <v>195</v>
      </c>
      <c r="F263" s="161">
        <v>45354</v>
      </c>
      <c r="G263" s="107">
        <f t="shared" si="7"/>
        <v>6</v>
      </c>
    </row>
    <row r="264" spans="1:7">
      <c r="A264" s="107">
        <v>6</v>
      </c>
      <c r="B264" s="107">
        <v>2</v>
      </c>
      <c r="C264" s="107">
        <v>8</v>
      </c>
      <c r="D264" s="107" t="s">
        <v>194</v>
      </c>
      <c r="E264" s="107" t="s">
        <v>195</v>
      </c>
      <c r="F264" s="161">
        <v>45358</v>
      </c>
      <c r="G264" s="107">
        <f t="shared" si="7"/>
        <v>10</v>
      </c>
    </row>
    <row r="265" spans="1:7">
      <c r="A265" s="107">
        <v>6</v>
      </c>
      <c r="B265" s="107">
        <v>3</v>
      </c>
      <c r="C265" s="107">
        <v>1</v>
      </c>
      <c r="D265" s="107" t="s">
        <v>196</v>
      </c>
      <c r="E265" s="107" t="s">
        <v>197</v>
      </c>
      <c r="F265" s="161">
        <v>45355</v>
      </c>
      <c r="G265" s="107">
        <f t="shared" si="7"/>
        <v>7</v>
      </c>
    </row>
    <row r="266" spans="1:7">
      <c r="A266" s="107">
        <v>6</v>
      </c>
      <c r="B266" s="107">
        <v>3</v>
      </c>
      <c r="C266" s="107">
        <v>2</v>
      </c>
      <c r="D266" s="107" t="s">
        <v>196</v>
      </c>
      <c r="E266" s="107" t="s">
        <v>197</v>
      </c>
      <c r="F266" s="161">
        <v>45353</v>
      </c>
      <c r="G266" s="107">
        <f t="shared" si="7"/>
        <v>5</v>
      </c>
    </row>
    <row r="267" spans="1:7">
      <c r="A267" s="107">
        <v>6</v>
      </c>
      <c r="B267" s="107">
        <v>3</v>
      </c>
      <c r="C267" s="107">
        <v>3</v>
      </c>
      <c r="D267" s="107" t="s">
        <v>196</v>
      </c>
      <c r="E267" s="107" t="s">
        <v>197</v>
      </c>
      <c r="F267" s="107"/>
      <c r="G267" s="107"/>
    </row>
    <row r="268" spans="1:7">
      <c r="A268" s="107">
        <v>6</v>
      </c>
      <c r="B268" s="107">
        <v>3</v>
      </c>
      <c r="C268" s="107">
        <v>4</v>
      </c>
      <c r="D268" s="107" t="s">
        <v>196</v>
      </c>
      <c r="E268" s="107" t="s">
        <v>197</v>
      </c>
      <c r="F268" s="107"/>
      <c r="G268" s="107"/>
    </row>
    <row r="269" spans="1:7">
      <c r="A269" s="107">
        <v>6</v>
      </c>
      <c r="B269" s="107">
        <v>3</v>
      </c>
      <c r="C269" s="107">
        <v>5</v>
      </c>
      <c r="D269" s="107" t="s">
        <v>196</v>
      </c>
      <c r="E269" s="107" t="s">
        <v>197</v>
      </c>
      <c r="F269" s="161">
        <v>45353</v>
      </c>
      <c r="G269" s="107">
        <f t="shared" ref="G269:G276" si="8">DATEDIF(G$2,F269,"d")</f>
        <v>5</v>
      </c>
    </row>
    <row r="270" spans="1:7">
      <c r="A270" s="107">
        <v>6</v>
      </c>
      <c r="B270" s="107">
        <v>3</v>
      </c>
      <c r="C270" s="107">
        <v>6</v>
      </c>
      <c r="D270" s="107" t="s">
        <v>196</v>
      </c>
      <c r="E270" s="107" t="s">
        <v>197</v>
      </c>
      <c r="F270" s="161">
        <v>45354</v>
      </c>
      <c r="G270" s="107">
        <f t="shared" si="8"/>
        <v>6</v>
      </c>
    </row>
    <row r="271" spans="1:7">
      <c r="A271" s="107">
        <v>6</v>
      </c>
      <c r="B271" s="107">
        <v>3</v>
      </c>
      <c r="C271" s="107">
        <v>7</v>
      </c>
      <c r="D271" s="107" t="s">
        <v>196</v>
      </c>
      <c r="E271" s="107" t="s">
        <v>197</v>
      </c>
      <c r="F271" s="161">
        <v>45355</v>
      </c>
      <c r="G271" s="107">
        <f t="shared" si="8"/>
        <v>7</v>
      </c>
    </row>
    <row r="272" spans="1:7">
      <c r="A272" s="107">
        <v>6</v>
      </c>
      <c r="B272" s="107">
        <v>3</v>
      </c>
      <c r="C272" s="107">
        <v>8</v>
      </c>
      <c r="D272" s="107" t="s">
        <v>196</v>
      </c>
      <c r="E272" s="107" t="s">
        <v>197</v>
      </c>
      <c r="F272" s="161">
        <v>45354</v>
      </c>
      <c r="G272" s="107">
        <f t="shared" si="8"/>
        <v>6</v>
      </c>
    </row>
    <row r="273" spans="1:7">
      <c r="A273" s="107">
        <v>6</v>
      </c>
      <c r="B273" s="107">
        <v>4</v>
      </c>
      <c r="C273" s="107">
        <v>1</v>
      </c>
      <c r="D273" s="107" t="s">
        <v>198</v>
      </c>
      <c r="E273" s="107" t="s">
        <v>199</v>
      </c>
      <c r="F273" s="161">
        <v>45354</v>
      </c>
      <c r="G273" s="107">
        <f t="shared" si="8"/>
        <v>6</v>
      </c>
    </row>
    <row r="274" spans="1:7">
      <c r="A274" s="107">
        <v>6</v>
      </c>
      <c r="B274" s="107">
        <v>4</v>
      </c>
      <c r="C274" s="107">
        <v>2</v>
      </c>
      <c r="D274" s="107" t="s">
        <v>198</v>
      </c>
      <c r="E274" s="107" t="s">
        <v>199</v>
      </c>
      <c r="F274" s="161">
        <v>45353</v>
      </c>
      <c r="G274" s="107">
        <f t="shared" si="8"/>
        <v>5</v>
      </c>
    </row>
    <row r="275" spans="1:7">
      <c r="A275" s="107">
        <v>6</v>
      </c>
      <c r="B275" s="107">
        <v>4</v>
      </c>
      <c r="C275" s="107">
        <v>3</v>
      </c>
      <c r="D275" s="107" t="s">
        <v>198</v>
      </c>
      <c r="E275" s="107" t="s">
        <v>199</v>
      </c>
      <c r="F275" s="161">
        <v>45353</v>
      </c>
      <c r="G275" s="107">
        <f t="shared" si="8"/>
        <v>5</v>
      </c>
    </row>
    <row r="276" spans="1:7">
      <c r="A276" s="107">
        <v>6</v>
      </c>
      <c r="B276" s="107">
        <v>4</v>
      </c>
      <c r="C276" s="107">
        <v>4</v>
      </c>
      <c r="D276" s="107" t="s">
        <v>198</v>
      </c>
      <c r="E276" s="107" t="s">
        <v>199</v>
      </c>
      <c r="F276" s="161">
        <v>45354</v>
      </c>
      <c r="G276" s="107">
        <f t="shared" si="8"/>
        <v>6</v>
      </c>
    </row>
    <row r="277" spans="1:7">
      <c r="A277" s="107">
        <v>6</v>
      </c>
      <c r="B277" s="107">
        <v>4</v>
      </c>
      <c r="C277" s="107">
        <v>5</v>
      </c>
      <c r="D277" s="107" t="s">
        <v>198</v>
      </c>
      <c r="E277" s="107" t="s">
        <v>199</v>
      </c>
      <c r="F277" s="107"/>
      <c r="G277" s="107"/>
    </row>
    <row r="278" spans="1:7">
      <c r="A278" s="107">
        <v>6</v>
      </c>
      <c r="B278" s="107">
        <v>4</v>
      </c>
      <c r="C278" s="107">
        <v>6</v>
      </c>
      <c r="D278" s="107" t="s">
        <v>198</v>
      </c>
      <c r="E278" s="107" t="s">
        <v>199</v>
      </c>
      <c r="F278" s="161">
        <v>45356</v>
      </c>
      <c r="G278" s="107">
        <f>DATEDIF(G$2,F278,"d")</f>
        <v>8</v>
      </c>
    </row>
    <row r="279" spans="1:7">
      <c r="A279" s="107">
        <v>6</v>
      </c>
      <c r="B279" s="107">
        <v>4</v>
      </c>
      <c r="C279" s="107">
        <v>7</v>
      </c>
      <c r="D279" s="107" t="s">
        <v>198</v>
      </c>
      <c r="E279" s="107" t="s">
        <v>199</v>
      </c>
      <c r="F279" s="161">
        <v>45353</v>
      </c>
      <c r="G279" s="107">
        <f>DATEDIF(G$2,F279,"d")</f>
        <v>5</v>
      </c>
    </row>
    <row r="280" spans="1:7">
      <c r="A280" s="107">
        <v>6</v>
      </c>
      <c r="B280" s="107">
        <v>4</v>
      </c>
      <c r="C280" s="107">
        <v>8</v>
      </c>
      <c r="D280" s="107" t="s">
        <v>198</v>
      </c>
      <c r="E280" s="107" t="s">
        <v>199</v>
      </c>
      <c r="F280" s="161">
        <v>45355</v>
      </c>
      <c r="G280" s="107">
        <f>DATEDIF(G$2,F280,"d")</f>
        <v>7</v>
      </c>
    </row>
    <row r="281" spans="1:7">
      <c r="A281" s="107">
        <v>6</v>
      </c>
      <c r="B281" s="107">
        <v>5</v>
      </c>
      <c r="C281" s="107">
        <v>1</v>
      </c>
      <c r="D281" s="107" t="s">
        <v>200</v>
      </c>
      <c r="E281" s="107" t="s">
        <v>201</v>
      </c>
      <c r="F281" s="107"/>
      <c r="G281" s="107"/>
    </row>
    <row r="282" spans="1:7">
      <c r="A282" s="107">
        <v>6</v>
      </c>
      <c r="B282" s="107">
        <v>5</v>
      </c>
      <c r="C282" s="107">
        <v>2</v>
      </c>
      <c r="D282" s="107" t="s">
        <v>200</v>
      </c>
      <c r="E282" s="107" t="s">
        <v>201</v>
      </c>
      <c r="F282" s="107"/>
      <c r="G282" s="107"/>
    </row>
    <row r="283" spans="1:7">
      <c r="A283" s="107">
        <v>6</v>
      </c>
      <c r="B283" s="107">
        <v>5</v>
      </c>
      <c r="C283" s="107">
        <v>3</v>
      </c>
      <c r="D283" s="107" t="s">
        <v>200</v>
      </c>
      <c r="E283" s="107" t="s">
        <v>201</v>
      </c>
      <c r="F283" s="107"/>
      <c r="G283" s="107"/>
    </row>
    <row r="284" spans="1:7">
      <c r="A284" s="107">
        <v>6</v>
      </c>
      <c r="B284" s="107">
        <v>5</v>
      </c>
      <c r="C284" s="107">
        <v>4</v>
      </c>
      <c r="D284" s="107" t="s">
        <v>200</v>
      </c>
      <c r="E284" s="107" t="s">
        <v>201</v>
      </c>
      <c r="F284" s="161">
        <v>45354</v>
      </c>
      <c r="G284" s="107">
        <f>DATEDIF(G$2,F284,"d")</f>
        <v>6</v>
      </c>
    </row>
    <row r="285" spans="1:7">
      <c r="A285" s="107">
        <v>6</v>
      </c>
      <c r="B285" s="107">
        <v>5</v>
      </c>
      <c r="C285" s="107">
        <v>5</v>
      </c>
      <c r="D285" s="107" t="s">
        <v>200</v>
      </c>
      <c r="E285" s="107" t="s">
        <v>201</v>
      </c>
      <c r="F285" s="107"/>
      <c r="G285" s="107"/>
    </row>
    <row r="286" spans="1:7">
      <c r="A286" s="107">
        <v>6</v>
      </c>
      <c r="B286" s="107">
        <v>5</v>
      </c>
      <c r="C286" s="107">
        <v>6</v>
      </c>
      <c r="D286" s="107" t="s">
        <v>200</v>
      </c>
      <c r="E286" s="107" t="s">
        <v>201</v>
      </c>
      <c r="F286" s="107"/>
      <c r="G286" s="107"/>
    </row>
    <row r="287" spans="1:7">
      <c r="A287" s="107">
        <v>6</v>
      </c>
      <c r="B287" s="107">
        <v>5</v>
      </c>
      <c r="C287" s="107">
        <v>7</v>
      </c>
      <c r="D287" s="107" t="s">
        <v>200</v>
      </c>
      <c r="E287" s="107" t="s">
        <v>201</v>
      </c>
      <c r="F287" s="161">
        <v>45355</v>
      </c>
      <c r="G287" s="107">
        <f>DATEDIF(G$2,F287,"d")</f>
        <v>7</v>
      </c>
    </row>
    <row r="288" spans="1:7">
      <c r="A288" s="107">
        <v>6</v>
      </c>
      <c r="B288" s="107">
        <v>5</v>
      </c>
      <c r="C288" s="107">
        <v>8</v>
      </c>
      <c r="D288" s="107" t="s">
        <v>200</v>
      </c>
      <c r="E288" s="107" t="s">
        <v>201</v>
      </c>
      <c r="F288" s="161">
        <v>45353</v>
      </c>
      <c r="G288" s="107">
        <f>DATEDIF(G$2,F288,"d")</f>
        <v>5</v>
      </c>
    </row>
    <row r="289" spans="1:7">
      <c r="A289" s="107">
        <v>6</v>
      </c>
      <c r="B289" s="107">
        <v>6</v>
      </c>
      <c r="C289" s="107">
        <v>1</v>
      </c>
      <c r="D289" s="107" t="s">
        <v>202</v>
      </c>
      <c r="E289" s="107" t="s">
        <v>203</v>
      </c>
      <c r="F289" s="161">
        <v>45361</v>
      </c>
      <c r="G289" s="107">
        <f>DATEDIF(G$2,F289,"d")</f>
        <v>13</v>
      </c>
    </row>
    <row r="290" spans="1:7">
      <c r="A290" s="107">
        <v>6</v>
      </c>
      <c r="B290" s="107">
        <v>6</v>
      </c>
      <c r="C290" s="107">
        <v>2</v>
      </c>
      <c r="D290" s="107" t="s">
        <v>202</v>
      </c>
      <c r="E290" s="107" t="s">
        <v>203</v>
      </c>
      <c r="F290" s="107"/>
      <c r="G290" s="107"/>
    </row>
    <row r="291" spans="1:7">
      <c r="A291" s="107">
        <v>6</v>
      </c>
      <c r="B291" s="107">
        <v>6</v>
      </c>
      <c r="C291" s="107">
        <v>3</v>
      </c>
      <c r="D291" s="107" t="s">
        <v>202</v>
      </c>
      <c r="E291" s="107" t="s">
        <v>203</v>
      </c>
      <c r="F291" s="107"/>
      <c r="G291" s="107"/>
    </row>
    <row r="292" spans="1:7">
      <c r="A292" s="107">
        <v>6</v>
      </c>
      <c r="B292" s="107">
        <v>6</v>
      </c>
      <c r="C292" s="107">
        <v>4</v>
      </c>
      <c r="D292" s="107" t="s">
        <v>202</v>
      </c>
      <c r="E292" s="107" t="s">
        <v>203</v>
      </c>
      <c r="F292" s="107"/>
      <c r="G292" s="107"/>
    </row>
    <row r="293" spans="1:7">
      <c r="A293" s="107">
        <v>6</v>
      </c>
      <c r="B293" s="107">
        <v>6</v>
      </c>
      <c r="C293" s="107">
        <v>5</v>
      </c>
      <c r="D293" s="107" t="s">
        <v>202</v>
      </c>
      <c r="E293" s="107" t="s">
        <v>203</v>
      </c>
      <c r="F293" s="161">
        <v>45359</v>
      </c>
      <c r="G293" s="107">
        <f>DATEDIF(G$2,F293,"d")</f>
        <v>11</v>
      </c>
    </row>
    <row r="294" spans="1:7">
      <c r="A294" s="107">
        <v>6</v>
      </c>
      <c r="B294" s="107">
        <v>6</v>
      </c>
      <c r="C294" s="107">
        <v>6</v>
      </c>
      <c r="D294" s="107" t="s">
        <v>202</v>
      </c>
      <c r="E294" s="107" t="s">
        <v>203</v>
      </c>
      <c r="F294" s="107"/>
      <c r="G294" s="107"/>
    </row>
    <row r="295" spans="1:7">
      <c r="A295" s="107">
        <v>6</v>
      </c>
      <c r="B295" s="107">
        <v>6</v>
      </c>
      <c r="C295" s="107">
        <v>7</v>
      </c>
      <c r="D295" s="107" t="s">
        <v>202</v>
      </c>
      <c r="E295" s="107" t="s">
        <v>203</v>
      </c>
      <c r="F295" s="161">
        <v>45360</v>
      </c>
      <c r="G295" s="107">
        <f t="shared" ref="G295:G296" si="9">DATEDIF(G$2,F295,"d")</f>
        <v>12</v>
      </c>
    </row>
    <row r="296" spans="1:7">
      <c r="A296" s="107">
        <v>6</v>
      </c>
      <c r="B296" s="107">
        <v>6</v>
      </c>
      <c r="C296" s="107">
        <v>8</v>
      </c>
      <c r="D296" s="107" t="s">
        <v>202</v>
      </c>
      <c r="E296" s="107" t="s">
        <v>203</v>
      </c>
      <c r="F296" s="161">
        <v>45361</v>
      </c>
      <c r="G296" s="107">
        <f t="shared" si="9"/>
        <v>13</v>
      </c>
    </row>
    <row r="297" spans="1:7">
      <c r="D297" s="139"/>
      <c r="E297" s="139"/>
      <c r="F297" s="139"/>
      <c r="G297" s="139"/>
    </row>
    <row r="298" spans="1:7">
      <c r="A298" s="107">
        <v>7</v>
      </c>
      <c r="B298" s="107">
        <v>1</v>
      </c>
      <c r="C298" s="107">
        <v>1</v>
      </c>
      <c r="D298" s="170" t="s">
        <v>204</v>
      </c>
      <c r="E298" s="170" t="s">
        <v>205</v>
      </c>
      <c r="F298" s="100">
        <v>45361</v>
      </c>
      <c r="G298" s="170">
        <f t="shared" ref="G298:G313" si="10">DATEDIF(G$2,F298,"d")</f>
        <v>13</v>
      </c>
    </row>
    <row r="299" spans="1:7">
      <c r="A299" s="107">
        <v>7</v>
      </c>
      <c r="B299" s="107">
        <v>1</v>
      </c>
      <c r="C299" s="107">
        <v>2</v>
      </c>
      <c r="D299" s="107" t="s">
        <v>204</v>
      </c>
      <c r="E299" s="107" t="s">
        <v>205</v>
      </c>
      <c r="F299" s="161">
        <v>45353</v>
      </c>
      <c r="G299" s="107">
        <f t="shared" si="10"/>
        <v>5</v>
      </c>
    </row>
    <row r="300" spans="1:7">
      <c r="A300" s="107">
        <v>7</v>
      </c>
      <c r="B300" s="107">
        <v>1</v>
      </c>
      <c r="C300" s="107">
        <v>3</v>
      </c>
      <c r="D300" s="107" t="s">
        <v>204</v>
      </c>
      <c r="E300" s="107" t="s">
        <v>205</v>
      </c>
      <c r="F300" s="161">
        <v>45353</v>
      </c>
      <c r="G300" s="107">
        <f t="shared" si="10"/>
        <v>5</v>
      </c>
    </row>
    <row r="301" spans="1:7">
      <c r="A301" s="107">
        <v>7</v>
      </c>
      <c r="B301" s="107">
        <v>1</v>
      </c>
      <c r="C301" s="107">
        <v>4</v>
      </c>
      <c r="D301" s="107" t="s">
        <v>204</v>
      </c>
      <c r="E301" s="107" t="s">
        <v>205</v>
      </c>
      <c r="F301" s="161">
        <v>45353</v>
      </c>
      <c r="G301" s="107">
        <f t="shared" si="10"/>
        <v>5</v>
      </c>
    </row>
    <row r="302" spans="1:7">
      <c r="A302" s="107">
        <v>7</v>
      </c>
      <c r="B302" s="107">
        <v>1</v>
      </c>
      <c r="C302" s="107">
        <v>5</v>
      </c>
      <c r="D302" s="107" t="s">
        <v>204</v>
      </c>
      <c r="E302" s="107" t="s">
        <v>205</v>
      </c>
      <c r="F302" s="161">
        <v>45353</v>
      </c>
      <c r="G302" s="107">
        <f t="shared" si="10"/>
        <v>5</v>
      </c>
    </row>
    <row r="303" spans="1:7">
      <c r="A303" s="107">
        <v>7</v>
      </c>
      <c r="B303" s="107">
        <v>1</v>
      </c>
      <c r="C303" s="107">
        <v>6</v>
      </c>
      <c r="D303" s="107" t="s">
        <v>204</v>
      </c>
      <c r="E303" s="107" t="s">
        <v>205</v>
      </c>
      <c r="F303" s="161">
        <v>45353</v>
      </c>
      <c r="G303" s="107">
        <f t="shared" si="10"/>
        <v>5</v>
      </c>
    </row>
    <row r="304" spans="1:7">
      <c r="A304" s="107">
        <v>7</v>
      </c>
      <c r="B304" s="107">
        <v>1</v>
      </c>
      <c r="C304" s="107">
        <v>7</v>
      </c>
      <c r="D304" s="107" t="s">
        <v>204</v>
      </c>
      <c r="E304" s="107" t="s">
        <v>205</v>
      </c>
      <c r="F304" s="161">
        <v>45353</v>
      </c>
      <c r="G304" s="107">
        <f t="shared" si="10"/>
        <v>5</v>
      </c>
    </row>
    <row r="305" spans="1:7">
      <c r="A305" s="107">
        <v>7</v>
      </c>
      <c r="B305" s="107">
        <v>1</v>
      </c>
      <c r="C305" s="107">
        <v>8</v>
      </c>
      <c r="D305" s="107" t="s">
        <v>204</v>
      </c>
      <c r="E305" s="107" t="s">
        <v>205</v>
      </c>
      <c r="F305" s="161">
        <v>45353</v>
      </c>
      <c r="G305" s="107">
        <f t="shared" si="10"/>
        <v>5</v>
      </c>
    </row>
    <row r="306" spans="1:7">
      <c r="A306" s="107">
        <v>7</v>
      </c>
      <c r="B306" s="107">
        <v>2</v>
      </c>
      <c r="C306" s="107">
        <v>1</v>
      </c>
      <c r="D306" s="107" t="s">
        <v>206</v>
      </c>
      <c r="E306" s="107" t="s">
        <v>207</v>
      </c>
      <c r="F306" s="161">
        <v>45353</v>
      </c>
      <c r="G306" s="107">
        <f t="shared" si="10"/>
        <v>5</v>
      </c>
    </row>
    <row r="307" spans="1:7">
      <c r="A307" s="107">
        <v>7</v>
      </c>
      <c r="B307" s="107">
        <v>2</v>
      </c>
      <c r="C307" s="107">
        <v>2</v>
      </c>
      <c r="D307" s="107" t="s">
        <v>206</v>
      </c>
      <c r="E307" s="107" t="s">
        <v>207</v>
      </c>
      <c r="F307" s="161">
        <v>45353</v>
      </c>
      <c r="G307" s="107">
        <f t="shared" si="10"/>
        <v>5</v>
      </c>
    </row>
    <row r="308" spans="1:7">
      <c r="A308" s="107">
        <v>7</v>
      </c>
      <c r="B308" s="107">
        <v>2</v>
      </c>
      <c r="C308" s="107">
        <v>3</v>
      </c>
      <c r="D308" s="107" t="s">
        <v>206</v>
      </c>
      <c r="E308" s="107" t="s">
        <v>207</v>
      </c>
      <c r="F308" s="161">
        <v>45354</v>
      </c>
      <c r="G308" s="107">
        <f t="shared" si="10"/>
        <v>6</v>
      </c>
    </row>
    <row r="309" spans="1:7">
      <c r="A309" s="107">
        <v>7</v>
      </c>
      <c r="B309" s="107">
        <v>2</v>
      </c>
      <c r="C309" s="107">
        <v>4</v>
      </c>
      <c r="D309" s="107" t="s">
        <v>206</v>
      </c>
      <c r="E309" s="107" t="s">
        <v>207</v>
      </c>
      <c r="F309" s="161">
        <v>45354</v>
      </c>
      <c r="G309" s="107">
        <f t="shared" si="10"/>
        <v>6</v>
      </c>
    </row>
    <row r="310" spans="1:7">
      <c r="A310" s="107">
        <v>7</v>
      </c>
      <c r="B310" s="107">
        <v>2</v>
      </c>
      <c r="C310" s="107">
        <v>5</v>
      </c>
      <c r="D310" s="107" t="s">
        <v>206</v>
      </c>
      <c r="E310" s="107" t="s">
        <v>207</v>
      </c>
      <c r="F310" s="161">
        <v>45357</v>
      </c>
      <c r="G310" s="107">
        <f t="shared" si="10"/>
        <v>9</v>
      </c>
    </row>
    <row r="311" spans="1:7">
      <c r="A311" s="107">
        <v>7</v>
      </c>
      <c r="B311" s="107">
        <v>2</v>
      </c>
      <c r="C311" s="107">
        <v>6</v>
      </c>
      <c r="D311" s="107" t="s">
        <v>206</v>
      </c>
      <c r="E311" s="107" t="s">
        <v>207</v>
      </c>
      <c r="F311" s="161">
        <v>45356</v>
      </c>
      <c r="G311" s="107">
        <f t="shared" si="10"/>
        <v>8</v>
      </c>
    </row>
    <row r="312" spans="1:7">
      <c r="A312" s="107">
        <v>7</v>
      </c>
      <c r="B312" s="107">
        <v>2</v>
      </c>
      <c r="C312" s="107">
        <v>7</v>
      </c>
      <c r="D312" s="107" t="s">
        <v>206</v>
      </c>
      <c r="E312" s="107" t="s">
        <v>207</v>
      </c>
      <c r="F312" s="161">
        <v>45355</v>
      </c>
      <c r="G312" s="107">
        <f t="shared" si="10"/>
        <v>7</v>
      </c>
    </row>
    <row r="313" spans="1:7">
      <c r="A313" s="107">
        <v>7</v>
      </c>
      <c r="B313" s="107">
        <v>2</v>
      </c>
      <c r="C313" s="107">
        <v>8</v>
      </c>
      <c r="D313" s="107" t="s">
        <v>206</v>
      </c>
      <c r="E313" s="107" t="s">
        <v>207</v>
      </c>
      <c r="F313" s="161">
        <v>45354</v>
      </c>
      <c r="G313" s="107">
        <f t="shared" si="10"/>
        <v>6</v>
      </c>
    </row>
    <row r="314" spans="1:7">
      <c r="A314" s="107">
        <v>7</v>
      </c>
      <c r="B314" s="107">
        <v>3</v>
      </c>
      <c r="C314" s="107">
        <v>1</v>
      </c>
      <c r="D314" s="107" t="s">
        <v>208</v>
      </c>
      <c r="E314" s="107" t="s">
        <v>209</v>
      </c>
      <c r="F314" s="107"/>
      <c r="G314" s="107"/>
    </row>
    <row r="315" spans="1:7">
      <c r="A315" s="107">
        <v>7</v>
      </c>
      <c r="B315" s="107">
        <v>3</v>
      </c>
      <c r="C315" s="107">
        <v>2</v>
      </c>
      <c r="D315" s="107" t="s">
        <v>208</v>
      </c>
      <c r="E315" s="107" t="s">
        <v>209</v>
      </c>
      <c r="F315" s="107"/>
      <c r="G315" s="107"/>
    </row>
    <row r="316" spans="1:7">
      <c r="A316" s="107">
        <v>7</v>
      </c>
      <c r="B316" s="107">
        <v>3</v>
      </c>
      <c r="C316" s="107">
        <v>3</v>
      </c>
      <c r="D316" s="107" t="s">
        <v>208</v>
      </c>
      <c r="E316" s="107" t="s">
        <v>209</v>
      </c>
      <c r="F316" s="107"/>
      <c r="G316" s="107"/>
    </row>
    <row r="317" spans="1:7">
      <c r="A317" s="107">
        <v>7</v>
      </c>
      <c r="B317" s="107">
        <v>3</v>
      </c>
      <c r="C317" s="107">
        <v>4</v>
      </c>
      <c r="D317" s="107" t="s">
        <v>208</v>
      </c>
      <c r="E317" s="107" t="s">
        <v>209</v>
      </c>
      <c r="F317" s="161">
        <v>45353</v>
      </c>
      <c r="G317" s="107">
        <f>DATEDIF(G$2,F317,"d")</f>
        <v>5</v>
      </c>
    </row>
    <row r="318" spans="1:7">
      <c r="A318" s="107">
        <v>7</v>
      </c>
      <c r="B318" s="107">
        <v>3</v>
      </c>
      <c r="C318" s="107">
        <v>5</v>
      </c>
      <c r="D318" s="107" t="s">
        <v>208</v>
      </c>
      <c r="E318" s="107" t="s">
        <v>209</v>
      </c>
      <c r="F318" s="107"/>
      <c r="G318" s="107"/>
    </row>
    <row r="319" spans="1:7">
      <c r="A319" s="107">
        <v>7</v>
      </c>
      <c r="B319" s="107">
        <v>3</v>
      </c>
      <c r="C319" s="107">
        <v>6</v>
      </c>
      <c r="D319" s="107" t="s">
        <v>208</v>
      </c>
      <c r="E319" s="107" t="s">
        <v>209</v>
      </c>
      <c r="F319" s="161">
        <v>45354</v>
      </c>
      <c r="G319" s="107">
        <f>DATEDIF(G$2,F319,"d")</f>
        <v>6</v>
      </c>
    </row>
    <row r="320" spans="1:7">
      <c r="A320" s="107">
        <v>7</v>
      </c>
      <c r="B320" s="107">
        <v>3</v>
      </c>
      <c r="C320" s="107">
        <v>7</v>
      </c>
      <c r="D320" s="107" t="s">
        <v>208</v>
      </c>
      <c r="E320" s="107" t="s">
        <v>209</v>
      </c>
      <c r="F320" s="161">
        <v>45356</v>
      </c>
      <c r="G320" s="107">
        <f>DATEDIF(G$2,F320,"d")</f>
        <v>8</v>
      </c>
    </row>
    <row r="321" spans="1:7">
      <c r="A321" s="107">
        <v>7</v>
      </c>
      <c r="B321" s="107">
        <v>3</v>
      </c>
      <c r="C321" s="107">
        <v>8</v>
      </c>
      <c r="D321" s="107" t="s">
        <v>208</v>
      </c>
      <c r="E321" s="107" t="s">
        <v>209</v>
      </c>
      <c r="F321" s="107"/>
      <c r="G321" s="107"/>
    </row>
    <row r="322" spans="1:7">
      <c r="A322" s="107">
        <v>7</v>
      </c>
      <c r="B322" s="107">
        <v>4</v>
      </c>
      <c r="C322" s="107">
        <v>1</v>
      </c>
      <c r="D322" s="107" t="s">
        <v>210</v>
      </c>
      <c r="E322" s="107" t="s">
        <v>211</v>
      </c>
      <c r="F322" s="161">
        <v>45355</v>
      </c>
      <c r="G322" s="107">
        <f t="shared" ref="G322:G330" si="11">DATEDIF(G$2,F322,"d")</f>
        <v>7</v>
      </c>
    </row>
    <row r="323" spans="1:7">
      <c r="A323" s="107">
        <v>7</v>
      </c>
      <c r="B323" s="107">
        <v>4</v>
      </c>
      <c r="C323" s="107">
        <v>2</v>
      </c>
      <c r="D323" s="107" t="s">
        <v>210</v>
      </c>
      <c r="E323" s="107" t="s">
        <v>211</v>
      </c>
      <c r="F323" s="161">
        <v>45354</v>
      </c>
      <c r="G323" s="107">
        <f t="shared" si="11"/>
        <v>6</v>
      </c>
    </row>
    <row r="324" spans="1:7">
      <c r="A324" s="107">
        <v>7</v>
      </c>
      <c r="B324" s="107">
        <v>4</v>
      </c>
      <c r="C324" s="107">
        <v>3</v>
      </c>
      <c r="D324" s="107" t="s">
        <v>210</v>
      </c>
      <c r="E324" s="107" t="s">
        <v>211</v>
      </c>
      <c r="F324" s="161">
        <v>45354</v>
      </c>
      <c r="G324" s="107">
        <f t="shared" si="11"/>
        <v>6</v>
      </c>
    </row>
    <row r="325" spans="1:7">
      <c r="A325" s="107">
        <v>7</v>
      </c>
      <c r="B325" s="107">
        <v>4</v>
      </c>
      <c r="C325" s="107">
        <v>4</v>
      </c>
      <c r="D325" s="107" t="s">
        <v>210</v>
      </c>
      <c r="E325" s="107" t="s">
        <v>211</v>
      </c>
      <c r="F325" s="161">
        <v>45353</v>
      </c>
      <c r="G325" s="107">
        <f t="shared" si="11"/>
        <v>5</v>
      </c>
    </row>
    <row r="326" spans="1:7">
      <c r="A326" s="107">
        <v>7</v>
      </c>
      <c r="B326" s="107">
        <v>4</v>
      </c>
      <c r="C326" s="107">
        <v>5</v>
      </c>
      <c r="D326" s="107" t="s">
        <v>210</v>
      </c>
      <c r="E326" s="107" t="s">
        <v>211</v>
      </c>
      <c r="F326" s="161">
        <v>45353</v>
      </c>
      <c r="G326" s="107">
        <f t="shared" si="11"/>
        <v>5</v>
      </c>
    </row>
    <row r="327" spans="1:7">
      <c r="A327" s="107">
        <v>7</v>
      </c>
      <c r="B327" s="107">
        <v>4</v>
      </c>
      <c r="C327" s="107">
        <v>6</v>
      </c>
      <c r="D327" s="107" t="s">
        <v>210</v>
      </c>
      <c r="E327" s="107" t="s">
        <v>211</v>
      </c>
      <c r="F327" s="161">
        <v>45356</v>
      </c>
      <c r="G327" s="107">
        <f t="shared" si="11"/>
        <v>8</v>
      </c>
    </row>
    <row r="328" spans="1:7">
      <c r="A328" s="107">
        <v>7</v>
      </c>
      <c r="B328" s="107">
        <v>4</v>
      </c>
      <c r="C328" s="107">
        <v>7</v>
      </c>
      <c r="D328" s="107" t="s">
        <v>210</v>
      </c>
      <c r="E328" s="107" t="s">
        <v>211</v>
      </c>
      <c r="F328" s="161">
        <v>45354</v>
      </c>
      <c r="G328" s="107">
        <f t="shared" si="11"/>
        <v>6</v>
      </c>
    </row>
    <row r="329" spans="1:7">
      <c r="A329" s="107">
        <v>7</v>
      </c>
      <c r="B329" s="107">
        <v>4</v>
      </c>
      <c r="C329" s="107">
        <v>8</v>
      </c>
      <c r="D329" s="107" t="s">
        <v>210</v>
      </c>
      <c r="E329" s="107" t="s">
        <v>211</v>
      </c>
      <c r="F329" s="161">
        <v>45360</v>
      </c>
      <c r="G329" s="107">
        <f t="shared" si="11"/>
        <v>12</v>
      </c>
    </row>
    <row r="330" spans="1:7">
      <c r="A330" s="107">
        <v>7</v>
      </c>
      <c r="B330" s="107">
        <v>5</v>
      </c>
      <c r="C330" s="107">
        <v>1</v>
      </c>
      <c r="D330" s="107" t="s">
        <v>212</v>
      </c>
      <c r="E330" s="107" t="s">
        <v>213</v>
      </c>
      <c r="F330" s="161">
        <v>45354</v>
      </c>
      <c r="G330" s="107">
        <f t="shared" si="11"/>
        <v>6</v>
      </c>
    </row>
    <row r="331" spans="1:7">
      <c r="A331" s="107">
        <v>7</v>
      </c>
      <c r="B331" s="107">
        <v>5</v>
      </c>
      <c r="C331" s="107">
        <v>2</v>
      </c>
      <c r="D331" s="107" t="s">
        <v>212</v>
      </c>
      <c r="E331" s="107" t="s">
        <v>213</v>
      </c>
      <c r="F331" s="107"/>
      <c r="G331" s="107"/>
    </row>
    <row r="332" spans="1:7">
      <c r="A332" s="107">
        <v>7</v>
      </c>
      <c r="B332" s="107">
        <v>5</v>
      </c>
      <c r="C332" s="107">
        <v>3</v>
      </c>
      <c r="D332" s="107" t="s">
        <v>212</v>
      </c>
      <c r="E332" s="107" t="s">
        <v>213</v>
      </c>
      <c r="F332" s="107"/>
      <c r="G332" s="107"/>
    </row>
    <row r="333" spans="1:7">
      <c r="A333" s="107">
        <v>7</v>
      </c>
      <c r="B333" s="107">
        <v>5</v>
      </c>
      <c r="C333" s="107">
        <v>4</v>
      </c>
      <c r="D333" s="107" t="s">
        <v>212</v>
      </c>
      <c r="E333" s="107" t="s">
        <v>213</v>
      </c>
      <c r="F333" s="161">
        <v>45354</v>
      </c>
      <c r="G333" s="107">
        <f>DATEDIF(G$2,F333,"d")</f>
        <v>6</v>
      </c>
    </row>
    <row r="334" spans="1:7">
      <c r="A334" s="107">
        <v>7</v>
      </c>
      <c r="B334" s="107">
        <v>5</v>
      </c>
      <c r="C334" s="107">
        <v>5</v>
      </c>
      <c r="D334" s="107" t="s">
        <v>212</v>
      </c>
      <c r="E334" s="107" t="s">
        <v>213</v>
      </c>
      <c r="F334" s="107"/>
      <c r="G334" s="107"/>
    </row>
    <row r="335" spans="1:7">
      <c r="A335" s="107">
        <v>7</v>
      </c>
      <c r="B335" s="107">
        <v>5</v>
      </c>
      <c r="C335" s="107">
        <v>6</v>
      </c>
      <c r="D335" s="107" t="s">
        <v>212</v>
      </c>
      <c r="E335" s="107" t="s">
        <v>213</v>
      </c>
      <c r="F335" s="161">
        <v>45355</v>
      </c>
      <c r="G335" s="107">
        <f>DATEDIF(G$2,F335,"d")</f>
        <v>7</v>
      </c>
    </row>
    <row r="336" spans="1:7">
      <c r="A336" s="107">
        <v>7</v>
      </c>
      <c r="B336" s="107">
        <v>5</v>
      </c>
      <c r="C336" s="107">
        <v>7</v>
      </c>
      <c r="D336" s="107" t="s">
        <v>212</v>
      </c>
      <c r="E336" s="107" t="s">
        <v>213</v>
      </c>
      <c r="F336" s="107"/>
      <c r="G336" s="107"/>
    </row>
    <row r="337" spans="1:7">
      <c r="A337" s="107">
        <v>7</v>
      </c>
      <c r="B337" s="107">
        <v>5</v>
      </c>
      <c r="C337" s="107">
        <v>8</v>
      </c>
      <c r="D337" s="107" t="s">
        <v>212</v>
      </c>
      <c r="E337" s="107" t="s">
        <v>213</v>
      </c>
      <c r="F337" s="161">
        <v>45353</v>
      </c>
      <c r="G337" s="107">
        <f t="shared" ref="G337:G344" si="12">DATEDIF(G$2,F337,"d")</f>
        <v>5</v>
      </c>
    </row>
    <row r="338" spans="1:7">
      <c r="A338" s="107">
        <v>7</v>
      </c>
      <c r="B338" s="107">
        <v>6</v>
      </c>
      <c r="C338" s="107">
        <v>1</v>
      </c>
      <c r="D338" s="107" t="s">
        <v>214</v>
      </c>
      <c r="E338" s="107" t="s">
        <v>215</v>
      </c>
      <c r="F338" s="161">
        <v>45354</v>
      </c>
      <c r="G338" s="107">
        <f t="shared" si="12"/>
        <v>6</v>
      </c>
    </row>
    <row r="339" spans="1:7">
      <c r="A339" s="107">
        <v>7</v>
      </c>
      <c r="B339" s="107">
        <v>6</v>
      </c>
      <c r="C339" s="107">
        <v>2</v>
      </c>
      <c r="D339" s="107" t="s">
        <v>214</v>
      </c>
      <c r="E339" s="107" t="s">
        <v>215</v>
      </c>
      <c r="F339" s="161">
        <v>45354</v>
      </c>
      <c r="G339" s="107">
        <f t="shared" si="12"/>
        <v>6</v>
      </c>
    </row>
    <row r="340" spans="1:7">
      <c r="A340" s="107">
        <v>7</v>
      </c>
      <c r="B340" s="107">
        <v>6</v>
      </c>
      <c r="C340" s="107">
        <v>3</v>
      </c>
      <c r="D340" s="107" t="s">
        <v>214</v>
      </c>
      <c r="E340" s="107" t="s">
        <v>215</v>
      </c>
      <c r="F340" s="161">
        <v>45354</v>
      </c>
      <c r="G340" s="107">
        <f t="shared" si="12"/>
        <v>6</v>
      </c>
    </row>
    <row r="341" spans="1:7">
      <c r="A341" s="107">
        <v>7</v>
      </c>
      <c r="B341" s="107">
        <v>6</v>
      </c>
      <c r="C341" s="107">
        <v>4</v>
      </c>
      <c r="D341" s="107" t="s">
        <v>214</v>
      </c>
      <c r="E341" s="107" t="s">
        <v>215</v>
      </c>
      <c r="F341" s="161">
        <v>45354</v>
      </c>
      <c r="G341" s="107">
        <f t="shared" si="12"/>
        <v>6</v>
      </c>
    </row>
    <row r="342" spans="1:7">
      <c r="A342" s="107">
        <v>7</v>
      </c>
      <c r="B342" s="107">
        <v>6</v>
      </c>
      <c r="C342" s="107">
        <v>5</v>
      </c>
      <c r="D342" s="107" t="s">
        <v>214</v>
      </c>
      <c r="E342" s="107" t="s">
        <v>215</v>
      </c>
      <c r="F342" s="161">
        <v>45355</v>
      </c>
      <c r="G342" s="107">
        <f t="shared" si="12"/>
        <v>7</v>
      </c>
    </row>
    <row r="343" spans="1:7">
      <c r="A343" s="107">
        <v>7</v>
      </c>
      <c r="B343" s="107">
        <v>6</v>
      </c>
      <c r="C343" s="107">
        <v>6</v>
      </c>
      <c r="D343" s="107" t="s">
        <v>214</v>
      </c>
      <c r="E343" s="107" t="s">
        <v>215</v>
      </c>
      <c r="F343" s="161">
        <v>45353</v>
      </c>
      <c r="G343" s="107">
        <f t="shared" si="12"/>
        <v>5</v>
      </c>
    </row>
    <row r="344" spans="1:7">
      <c r="A344" s="107">
        <v>7</v>
      </c>
      <c r="B344" s="107">
        <v>6</v>
      </c>
      <c r="C344" s="107">
        <v>7</v>
      </c>
      <c r="D344" s="107" t="s">
        <v>214</v>
      </c>
      <c r="E344" s="107" t="s">
        <v>215</v>
      </c>
      <c r="F344" s="161">
        <v>45355</v>
      </c>
      <c r="G344" s="107">
        <f t="shared" si="12"/>
        <v>7</v>
      </c>
    </row>
    <row r="345" spans="1:7">
      <c r="A345" s="107">
        <v>7</v>
      </c>
      <c r="B345" s="107">
        <v>6</v>
      </c>
      <c r="C345" s="107">
        <v>8</v>
      </c>
      <c r="D345" s="107" t="s">
        <v>214</v>
      </c>
      <c r="E345" s="107" t="s">
        <v>215</v>
      </c>
      <c r="F345" s="107"/>
      <c r="G345" s="107"/>
    </row>
    <row r="346" spans="1:7">
      <c r="D346" s="139"/>
      <c r="E346" s="139"/>
      <c r="F346" s="139"/>
      <c r="G346" s="139"/>
    </row>
    <row r="347" spans="1:7">
      <c r="A347" s="107">
        <v>8</v>
      </c>
      <c r="B347" s="107">
        <v>1</v>
      </c>
      <c r="C347" s="107">
        <v>1</v>
      </c>
      <c r="D347" s="170" t="s">
        <v>216</v>
      </c>
      <c r="E347" s="170" t="s">
        <v>217</v>
      </c>
      <c r="F347" s="100">
        <v>45353</v>
      </c>
      <c r="G347" s="170">
        <f>DATEDIF(G$2,F347,"d")</f>
        <v>5</v>
      </c>
    </row>
    <row r="348" spans="1:7">
      <c r="A348" s="107">
        <v>8</v>
      </c>
      <c r="B348" s="107">
        <v>1</v>
      </c>
      <c r="C348" s="107">
        <v>2</v>
      </c>
      <c r="D348" s="107" t="s">
        <v>216</v>
      </c>
      <c r="E348" s="107" t="s">
        <v>217</v>
      </c>
      <c r="F348" s="161">
        <v>45353</v>
      </c>
      <c r="G348" s="107">
        <f>DATEDIF(G$2,F348,"d")</f>
        <v>5</v>
      </c>
    </row>
    <row r="349" spans="1:7">
      <c r="A349" s="107">
        <v>8</v>
      </c>
      <c r="B349" s="107">
        <v>1</v>
      </c>
      <c r="C349" s="107">
        <v>3</v>
      </c>
      <c r="D349" s="107" t="s">
        <v>216</v>
      </c>
      <c r="E349" s="107" t="s">
        <v>217</v>
      </c>
      <c r="F349" s="161">
        <v>45353</v>
      </c>
      <c r="G349" s="107">
        <f>DATEDIF(G$2,F349,"d")</f>
        <v>5</v>
      </c>
    </row>
    <row r="350" spans="1:7">
      <c r="A350" s="107">
        <v>8</v>
      </c>
      <c r="B350" s="107">
        <v>1</v>
      </c>
      <c r="C350" s="107">
        <v>4</v>
      </c>
      <c r="D350" s="107" t="s">
        <v>216</v>
      </c>
      <c r="E350" s="107" t="s">
        <v>217</v>
      </c>
      <c r="F350" s="161">
        <v>45353</v>
      </c>
      <c r="G350" s="107">
        <f>DATEDIF(G$2,F350,"d")</f>
        <v>5</v>
      </c>
    </row>
    <row r="351" spans="1:7">
      <c r="A351" s="107">
        <v>8</v>
      </c>
      <c r="B351" s="107">
        <v>1</v>
      </c>
      <c r="C351" s="107">
        <v>5</v>
      </c>
      <c r="D351" s="107" t="s">
        <v>216</v>
      </c>
      <c r="E351" s="107" t="s">
        <v>217</v>
      </c>
      <c r="F351" s="107"/>
      <c r="G351" s="107"/>
    </row>
    <row r="352" spans="1:7">
      <c r="A352" s="107">
        <v>8</v>
      </c>
      <c r="B352" s="107">
        <v>1</v>
      </c>
      <c r="C352" s="107">
        <v>6</v>
      </c>
      <c r="D352" s="107" t="s">
        <v>216</v>
      </c>
      <c r="E352" s="107" t="s">
        <v>217</v>
      </c>
      <c r="F352" s="161">
        <v>45353</v>
      </c>
      <c r="G352" s="107">
        <f>DATEDIF(G$2,F352,"d")</f>
        <v>5</v>
      </c>
    </row>
    <row r="353" spans="1:7">
      <c r="A353" s="107">
        <v>8</v>
      </c>
      <c r="B353" s="107">
        <v>1</v>
      </c>
      <c r="C353" s="107">
        <v>7</v>
      </c>
      <c r="D353" s="107" t="s">
        <v>216</v>
      </c>
      <c r="E353" s="107" t="s">
        <v>217</v>
      </c>
      <c r="F353" s="161">
        <v>45353</v>
      </c>
      <c r="G353" s="107">
        <f>DATEDIF(G$2,F353,"d")</f>
        <v>5</v>
      </c>
    </row>
    <row r="354" spans="1:7">
      <c r="A354" s="107">
        <v>8</v>
      </c>
      <c r="B354" s="107">
        <v>1</v>
      </c>
      <c r="C354" s="107">
        <v>8</v>
      </c>
      <c r="D354" s="107" t="s">
        <v>216</v>
      </c>
      <c r="E354" s="107" t="s">
        <v>217</v>
      </c>
      <c r="F354" s="161">
        <v>45353</v>
      </c>
      <c r="G354" s="107">
        <f>DATEDIF(G$2,F354,"d")</f>
        <v>5</v>
      </c>
    </row>
    <row r="355" spans="1:7">
      <c r="A355" s="107">
        <v>8</v>
      </c>
      <c r="B355" s="107">
        <v>2</v>
      </c>
      <c r="C355" s="107">
        <v>1</v>
      </c>
      <c r="D355" s="107" t="s">
        <v>218</v>
      </c>
      <c r="E355" s="107" t="s">
        <v>219</v>
      </c>
      <c r="F355" s="161">
        <v>45353</v>
      </c>
      <c r="G355" s="107">
        <f>DATEDIF(G$2,F355,"d")</f>
        <v>5</v>
      </c>
    </row>
    <row r="356" spans="1:7">
      <c r="A356" s="107">
        <v>8</v>
      </c>
      <c r="B356" s="107">
        <v>2</v>
      </c>
      <c r="C356" s="107">
        <v>2</v>
      </c>
      <c r="D356" s="107" t="s">
        <v>218</v>
      </c>
      <c r="E356" s="107" t="s">
        <v>219</v>
      </c>
      <c r="F356" s="107"/>
      <c r="G356" s="107"/>
    </row>
    <row r="357" spans="1:7">
      <c r="A357" s="107">
        <v>8</v>
      </c>
      <c r="B357" s="107">
        <v>2</v>
      </c>
      <c r="C357" s="107">
        <v>3</v>
      </c>
      <c r="D357" s="107" t="s">
        <v>218</v>
      </c>
      <c r="E357" s="107" t="s">
        <v>219</v>
      </c>
      <c r="F357" s="161">
        <v>45353</v>
      </c>
      <c r="G357" s="107">
        <f>DATEDIF(G$2,F357,"d")</f>
        <v>5</v>
      </c>
    </row>
    <row r="358" spans="1:7">
      <c r="A358" s="107">
        <v>8</v>
      </c>
      <c r="B358" s="107">
        <v>2</v>
      </c>
      <c r="C358" s="107">
        <v>4</v>
      </c>
      <c r="D358" s="107" t="s">
        <v>218</v>
      </c>
      <c r="E358" s="107" t="s">
        <v>219</v>
      </c>
      <c r="F358" s="161">
        <v>45353</v>
      </c>
      <c r="G358" s="107">
        <f>DATEDIF(G$2,F358,"d")</f>
        <v>5</v>
      </c>
    </row>
    <row r="359" spans="1:7">
      <c r="A359" s="107">
        <v>8</v>
      </c>
      <c r="B359" s="107">
        <v>2</v>
      </c>
      <c r="C359" s="107">
        <v>5</v>
      </c>
      <c r="D359" s="107" t="s">
        <v>218</v>
      </c>
      <c r="E359" s="107" t="s">
        <v>219</v>
      </c>
      <c r="F359" s="161">
        <v>45353</v>
      </c>
      <c r="G359" s="107">
        <f>DATEDIF(G$2,F359,"d")</f>
        <v>5</v>
      </c>
    </row>
    <row r="360" spans="1:7">
      <c r="A360" s="107">
        <v>8</v>
      </c>
      <c r="B360" s="107">
        <v>2</v>
      </c>
      <c r="C360" s="107">
        <v>6</v>
      </c>
      <c r="D360" s="107" t="s">
        <v>218</v>
      </c>
      <c r="E360" s="107" t="s">
        <v>219</v>
      </c>
      <c r="F360" s="107"/>
      <c r="G360" s="107"/>
    </row>
    <row r="361" spans="1:7">
      <c r="A361" s="107">
        <v>8</v>
      </c>
      <c r="B361" s="107">
        <v>2</v>
      </c>
      <c r="C361" s="107">
        <v>7</v>
      </c>
      <c r="D361" s="107" t="s">
        <v>218</v>
      </c>
      <c r="E361" s="107" t="s">
        <v>219</v>
      </c>
      <c r="F361" s="107"/>
      <c r="G361" s="107"/>
    </row>
    <row r="362" spans="1:7">
      <c r="A362" s="107">
        <v>8</v>
      </c>
      <c r="B362" s="107">
        <v>2</v>
      </c>
      <c r="C362" s="107">
        <v>8</v>
      </c>
      <c r="D362" s="107" t="s">
        <v>218</v>
      </c>
      <c r="E362" s="107" t="s">
        <v>219</v>
      </c>
      <c r="F362" s="161">
        <v>45353</v>
      </c>
      <c r="G362" s="107">
        <f t="shared" ref="G362:G372" si="13">DATEDIF(G$2,F362,"d")</f>
        <v>5</v>
      </c>
    </row>
    <row r="363" spans="1:7">
      <c r="A363" s="107">
        <v>8</v>
      </c>
      <c r="B363" s="107">
        <v>3</v>
      </c>
      <c r="C363" s="107">
        <v>1</v>
      </c>
      <c r="D363" s="107" t="s">
        <v>220</v>
      </c>
      <c r="E363" s="107" t="s">
        <v>221</v>
      </c>
      <c r="F363" s="161">
        <v>45353</v>
      </c>
      <c r="G363" s="107">
        <f t="shared" si="13"/>
        <v>5</v>
      </c>
    </row>
    <row r="364" spans="1:7">
      <c r="A364" s="107">
        <v>8</v>
      </c>
      <c r="B364" s="107">
        <v>3</v>
      </c>
      <c r="C364" s="107">
        <v>2</v>
      </c>
      <c r="D364" s="107" t="s">
        <v>220</v>
      </c>
      <c r="E364" s="107" t="s">
        <v>221</v>
      </c>
      <c r="F364" s="161">
        <v>45353</v>
      </c>
      <c r="G364" s="107">
        <f t="shared" si="13"/>
        <v>5</v>
      </c>
    </row>
    <row r="365" spans="1:7">
      <c r="A365" s="107">
        <v>8</v>
      </c>
      <c r="B365" s="107">
        <v>3</v>
      </c>
      <c r="C365" s="107">
        <v>3</v>
      </c>
      <c r="D365" s="107" t="s">
        <v>220</v>
      </c>
      <c r="E365" s="107" t="s">
        <v>221</v>
      </c>
      <c r="F365" s="161">
        <v>45354</v>
      </c>
      <c r="G365" s="107">
        <f t="shared" si="13"/>
        <v>6</v>
      </c>
    </row>
    <row r="366" spans="1:7">
      <c r="A366" s="107">
        <v>8</v>
      </c>
      <c r="B366" s="107">
        <v>3</v>
      </c>
      <c r="C366" s="107">
        <v>4</v>
      </c>
      <c r="D366" s="107" t="s">
        <v>220</v>
      </c>
      <c r="E366" s="107" t="s">
        <v>221</v>
      </c>
      <c r="F366" s="161">
        <v>45354</v>
      </c>
      <c r="G366" s="107">
        <f t="shared" si="13"/>
        <v>6</v>
      </c>
    </row>
    <row r="367" spans="1:7">
      <c r="A367" s="107">
        <v>8</v>
      </c>
      <c r="B367" s="107">
        <v>3</v>
      </c>
      <c r="C367" s="107">
        <v>5</v>
      </c>
      <c r="D367" s="107" t="s">
        <v>220</v>
      </c>
      <c r="E367" s="107" t="s">
        <v>221</v>
      </c>
      <c r="F367" s="161">
        <v>45355</v>
      </c>
      <c r="G367" s="107">
        <f t="shared" si="13"/>
        <v>7</v>
      </c>
    </row>
    <row r="368" spans="1:7">
      <c r="A368" s="107">
        <v>8</v>
      </c>
      <c r="B368" s="107">
        <v>3</v>
      </c>
      <c r="C368" s="107">
        <v>6</v>
      </c>
      <c r="D368" s="107" t="s">
        <v>220</v>
      </c>
      <c r="E368" s="107" t="s">
        <v>221</v>
      </c>
      <c r="F368" s="161">
        <v>45353</v>
      </c>
      <c r="G368" s="107">
        <f t="shared" si="13"/>
        <v>5</v>
      </c>
    </row>
    <row r="369" spans="1:7">
      <c r="A369" s="107">
        <v>8</v>
      </c>
      <c r="B369" s="107">
        <v>3</v>
      </c>
      <c r="C369" s="107">
        <v>7</v>
      </c>
      <c r="D369" s="107" t="s">
        <v>220</v>
      </c>
      <c r="E369" s="107" t="s">
        <v>221</v>
      </c>
      <c r="F369" s="161">
        <v>45354</v>
      </c>
      <c r="G369" s="107">
        <f t="shared" si="13"/>
        <v>6</v>
      </c>
    </row>
    <row r="370" spans="1:7">
      <c r="A370" s="107">
        <v>8</v>
      </c>
      <c r="B370" s="107">
        <v>3</v>
      </c>
      <c r="C370" s="107">
        <v>8</v>
      </c>
      <c r="D370" s="107" t="s">
        <v>220</v>
      </c>
      <c r="E370" s="107" t="s">
        <v>221</v>
      </c>
      <c r="F370" s="161">
        <v>45353</v>
      </c>
      <c r="G370" s="107">
        <f t="shared" si="13"/>
        <v>5</v>
      </c>
    </row>
    <row r="371" spans="1:7">
      <c r="A371" s="107">
        <v>8</v>
      </c>
      <c r="B371" s="107">
        <v>4</v>
      </c>
      <c r="C371" s="107">
        <v>1</v>
      </c>
      <c r="D371" s="107" t="s">
        <v>222</v>
      </c>
      <c r="E371" s="107" t="s">
        <v>223</v>
      </c>
      <c r="F371" s="161">
        <v>45356</v>
      </c>
      <c r="G371" s="107">
        <f t="shared" si="13"/>
        <v>8</v>
      </c>
    </row>
    <row r="372" spans="1:7">
      <c r="A372" s="107">
        <v>8</v>
      </c>
      <c r="B372" s="107">
        <v>4</v>
      </c>
      <c r="C372" s="107">
        <v>2</v>
      </c>
      <c r="D372" s="107" t="s">
        <v>222</v>
      </c>
      <c r="E372" s="107" t="s">
        <v>223</v>
      </c>
      <c r="F372" s="161">
        <v>45353</v>
      </c>
      <c r="G372" s="107">
        <f t="shared" si="13"/>
        <v>5</v>
      </c>
    </row>
    <row r="373" spans="1:7">
      <c r="A373" s="107">
        <v>8</v>
      </c>
      <c r="B373" s="107">
        <v>4</v>
      </c>
      <c r="C373" s="107">
        <v>3</v>
      </c>
      <c r="D373" s="107" t="s">
        <v>222</v>
      </c>
      <c r="E373" s="107" t="s">
        <v>223</v>
      </c>
      <c r="F373" s="107"/>
      <c r="G373" s="107"/>
    </row>
    <row r="374" spans="1:7">
      <c r="A374" s="107">
        <v>8</v>
      </c>
      <c r="B374" s="107">
        <v>4</v>
      </c>
      <c r="C374" s="107">
        <v>4</v>
      </c>
      <c r="D374" s="107" t="s">
        <v>222</v>
      </c>
      <c r="E374" s="107" t="s">
        <v>223</v>
      </c>
      <c r="F374" s="161">
        <v>45357</v>
      </c>
      <c r="G374" s="107">
        <f t="shared" ref="G374:G391" si="14">DATEDIF(G$2,F374,"d")</f>
        <v>9</v>
      </c>
    </row>
    <row r="375" spans="1:7">
      <c r="A375" s="107">
        <v>8</v>
      </c>
      <c r="B375" s="107">
        <v>4</v>
      </c>
      <c r="C375" s="107">
        <v>5</v>
      </c>
      <c r="D375" s="107" t="s">
        <v>222</v>
      </c>
      <c r="E375" s="107" t="s">
        <v>223</v>
      </c>
      <c r="F375" s="161">
        <v>45353</v>
      </c>
      <c r="G375" s="107">
        <f t="shared" si="14"/>
        <v>5</v>
      </c>
    </row>
    <row r="376" spans="1:7">
      <c r="A376" s="107">
        <v>8</v>
      </c>
      <c r="B376" s="107">
        <v>4</v>
      </c>
      <c r="C376" s="107">
        <v>6</v>
      </c>
      <c r="D376" s="107" t="s">
        <v>222</v>
      </c>
      <c r="E376" s="107" t="s">
        <v>223</v>
      </c>
      <c r="F376" s="161">
        <v>45353</v>
      </c>
      <c r="G376" s="107">
        <f t="shared" si="14"/>
        <v>5</v>
      </c>
    </row>
    <row r="377" spans="1:7">
      <c r="A377" s="107">
        <v>8</v>
      </c>
      <c r="B377" s="107">
        <v>4</v>
      </c>
      <c r="C377" s="107">
        <v>7</v>
      </c>
      <c r="D377" s="107" t="s">
        <v>222</v>
      </c>
      <c r="E377" s="107" t="s">
        <v>223</v>
      </c>
      <c r="F377" s="161">
        <v>45353</v>
      </c>
      <c r="G377" s="107">
        <f t="shared" si="14"/>
        <v>5</v>
      </c>
    </row>
    <row r="378" spans="1:7">
      <c r="A378" s="107">
        <v>8</v>
      </c>
      <c r="B378" s="107">
        <v>4</v>
      </c>
      <c r="C378" s="107">
        <v>8</v>
      </c>
      <c r="D378" s="107" t="s">
        <v>222</v>
      </c>
      <c r="E378" s="107" t="s">
        <v>223</v>
      </c>
      <c r="F378" s="161">
        <v>45354</v>
      </c>
      <c r="G378" s="107">
        <f t="shared" si="14"/>
        <v>6</v>
      </c>
    </row>
    <row r="379" spans="1:7">
      <c r="A379" s="107">
        <v>8</v>
      </c>
      <c r="B379" s="107">
        <v>5</v>
      </c>
      <c r="C379" s="107">
        <v>1</v>
      </c>
      <c r="D379" s="107" t="s">
        <v>224</v>
      </c>
      <c r="E379" s="107" t="s">
        <v>225</v>
      </c>
      <c r="F379" s="161">
        <v>45353</v>
      </c>
      <c r="G379" s="107">
        <f t="shared" si="14"/>
        <v>5</v>
      </c>
    </row>
    <row r="380" spans="1:7">
      <c r="A380" s="107">
        <v>8</v>
      </c>
      <c r="B380" s="107">
        <v>5</v>
      </c>
      <c r="C380" s="107">
        <v>2</v>
      </c>
      <c r="D380" s="107" t="s">
        <v>224</v>
      </c>
      <c r="E380" s="107" t="s">
        <v>225</v>
      </c>
      <c r="F380" s="161">
        <v>45354</v>
      </c>
      <c r="G380" s="107">
        <f t="shared" si="14"/>
        <v>6</v>
      </c>
    </row>
    <row r="381" spans="1:7">
      <c r="A381" s="107">
        <v>8</v>
      </c>
      <c r="B381" s="107">
        <v>5</v>
      </c>
      <c r="C381" s="107">
        <v>3</v>
      </c>
      <c r="D381" s="107" t="s">
        <v>224</v>
      </c>
      <c r="E381" s="107" t="s">
        <v>225</v>
      </c>
      <c r="F381" s="161">
        <v>45354</v>
      </c>
      <c r="G381" s="107">
        <f t="shared" si="14"/>
        <v>6</v>
      </c>
    </row>
    <row r="382" spans="1:7">
      <c r="A382" s="107">
        <v>8</v>
      </c>
      <c r="B382" s="107">
        <v>5</v>
      </c>
      <c r="C382" s="107">
        <v>4</v>
      </c>
      <c r="D382" s="107" t="s">
        <v>224</v>
      </c>
      <c r="E382" s="107" t="s">
        <v>225</v>
      </c>
      <c r="F382" s="161">
        <v>45353</v>
      </c>
      <c r="G382" s="107">
        <f t="shared" si="14"/>
        <v>5</v>
      </c>
    </row>
    <row r="383" spans="1:7">
      <c r="A383" s="107">
        <v>8</v>
      </c>
      <c r="B383" s="107">
        <v>5</v>
      </c>
      <c r="C383" s="107">
        <v>5</v>
      </c>
      <c r="D383" s="107" t="s">
        <v>224</v>
      </c>
      <c r="E383" s="107" t="s">
        <v>225</v>
      </c>
      <c r="F383" s="161">
        <v>45353</v>
      </c>
      <c r="G383" s="107">
        <f t="shared" si="14"/>
        <v>5</v>
      </c>
    </row>
    <row r="384" spans="1:7">
      <c r="A384" s="107">
        <v>8</v>
      </c>
      <c r="B384" s="107">
        <v>5</v>
      </c>
      <c r="C384" s="107">
        <v>6</v>
      </c>
      <c r="D384" s="107" t="s">
        <v>224</v>
      </c>
      <c r="E384" s="107" t="s">
        <v>225</v>
      </c>
      <c r="F384" s="161">
        <v>45353</v>
      </c>
      <c r="G384" s="107">
        <f t="shared" si="14"/>
        <v>5</v>
      </c>
    </row>
    <row r="385" spans="1:7">
      <c r="A385" s="107">
        <v>8</v>
      </c>
      <c r="B385" s="107">
        <v>5</v>
      </c>
      <c r="C385" s="107">
        <v>7</v>
      </c>
      <c r="D385" s="107" t="s">
        <v>224</v>
      </c>
      <c r="E385" s="107" t="s">
        <v>225</v>
      </c>
      <c r="F385" s="161">
        <v>45353</v>
      </c>
      <c r="G385" s="107">
        <f t="shared" si="14"/>
        <v>5</v>
      </c>
    </row>
    <row r="386" spans="1:7">
      <c r="A386" s="107">
        <v>8</v>
      </c>
      <c r="B386" s="107">
        <v>5</v>
      </c>
      <c r="C386" s="107">
        <v>8</v>
      </c>
      <c r="D386" s="107" t="s">
        <v>224</v>
      </c>
      <c r="E386" s="107" t="s">
        <v>225</v>
      </c>
      <c r="F386" s="161">
        <v>45354</v>
      </c>
      <c r="G386" s="107">
        <f t="shared" si="14"/>
        <v>6</v>
      </c>
    </row>
    <row r="387" spans="1:7">
      <c r="A387" s="107">
        <v>8</v>
      </c>
      <c r="B387" s="107">
        <v>6</v>
      </c>
      <c r="C387" s="107">
        <v>1</v>
      </c>
      <c r="D387" s="107" t="s">
        <v>226</v>
      </c>
      <c r="E387" s="107" t="s">
        <v>227</v>
      </c>
      <c r="F387" s="161">
        <v>45353</v>
      </c>
      <c r="G387" s="107">
        <f t="shared" si="14"/>
        <v>5</v>
      </c>
    </row>
    <row r="388" spans="1:7">
      <c r="A388" s="107">
        <v>8</v>
      </c>
      <c r="B388" s="107">
        <v>6</v>
      </c>
      <c r="C388" s="107">
        <v>2</v>
      </c>
      <c r="D388" s="107" t="s">
        <v>226</v>
      </c>
      <c r="E388" s="107" t="s">
        <v>227</v>
      </c>
      <c r="F388" s="161">
        <v>45355</v>
      </c>
      <c r="G388" s="107">
        <f t="shared" si="14"/>
        <v>7</v>
      </c>
    </row>
    <row r="389" spans="1:7">
      <c r="A389" s="107">
        <v>8</v>
      </c>
      <c r="B389" s="107">
        <v>6</v>
      </c>
      <c r="C389" s="107">
        <v>3</v>
      </c>
      <c r="D389" s="107" t="s">
        <v>226</v>
      </c>
      <c r="E389" s="107" t="s">
        <v>227</v>
      </c>
      <c r="F389" s="161">
        <v>45353</v>
      </c>
      <c r="G389" s="107">
        <f t="shared" si="14"/>
        <v>5</v>
      </c>
    </row>
    <row r="390" spans="1:7">
      <c r="A390" s="107">
        <v>8</v>
      </c>
      <c r="B390" s="107">
        <v>6</v>
      </c>
      <c r="C390" s="107">
        <v>4</v>
      </c>
      <c r="D390" s="107" t="s">
        <v>226</v>
      </c>
      <c r="E390" s="107" t="s">
        <v>227</v>
      </c>
      <c r="F390" s="161">
        <v>45353</v>
      </c>
      <c r="G390" s="107">
        <f t="shared" si="14"/>
        <v>5</v>
      </c>
    </row>
    <row r="391" spans="1:7">
      <c r="A391" s="107">
        <v>8</v>
      </c>
      <c r="B391" s="107">
        <v>6</v>
      </c>
      <c r="C391" s="107">
        <v>5</v>
      </c>
      <c r="D391" s="107" t="s">
        <v>226</v>
      </c>
      <c r="E391" s="107" t="s">
        <v>227</v>
      </c>
      <c r="F391" s="161">
        <v>45353</v>
      </c>
      <c r="G391" s="107">
        <f t="shared" si="14"/>
        <v>5</v>
      </c>
    </row>
    <row r="392" spans="1:7">
      <c r="A392" s="107">
        <v>8</v>
      </c>
      <c r="B392" s="107">
        <v>6</v>
      </c>
      <c r="C392" s="107">
        <v>6</v>
      </c>
      <c r="D392" s="107" t="s">
        <v>226</v>
      </c>
      <c r="E392" s="107" t="s">
        <v>227</v>
      </c>
      <c r="F392" s="107"/>
      <c r="G392" s="107"/>
    </row>
    <row r="393" spans="1:7">
      <c r="A393" s="107">
        <v>8</v>
      </c>
      <c r="B393" s="107">
        <v>6</v>
      </c>
      <c r="C393" s="107">
        <v>7</v>
      </c>
      <c r="D393" s="107" t="s">
        <v>226</v>
      </c>
      <c r="E393" s="107" t="s">
        <v>227</v>
      </c>
      <c r="F393" s="161">
        <v>45360</v>
      </c>
      <c r="G393" s="107">
        <f>DATEDIF(G$2,F393,"d")</f>
        <v>12</v>
      </c>
    </row>
    <row r="394" spans="1:7">
      <c r="A394" s="107">
        <v>8</v>
      </c>
      <c r="B394" s="107">
        <v>6</v>
      </c>
      <c r="C394" s="107">
        <v>8</v>
      </c>
      <c r="D394" s="107" t="s">
        <v>226</v>
      </c>
      <c r="E394" s="107" t="s">
        <v>227</v>
      </c>
      <c r="F394" s="107"/>
      <c r="G394" s="107"/>
    </row>
    <row r="395" spans="1:7">
      <c r="D395" s="139"/>
      <c r="E395" s="139"/>
      <c r="F395" s="139"/>
      <c r="G395" s="139"/>
    </row>
    <row r="396" spans="1:7">
      <c r="A396" s="107">
        <v>9</v>
      </c>
      <c r="B396" s="107">
        <v>1</v>
      </c>
      <c r="C396" s="107">
        <v>1</v>
      </c>
      <c r="D396" s="170" t="s">
        <v>228</v>
      </c>
      <c r="E396" s="170" t="s">
        <v>229</v>
      </c>
      <c r="F396" s="100">
        <v>45354</v>
      </c>
      <c r="G396" s="170">
        <f>DATEDIF(G$2,F396,"d")</f>
        <v>6</v>
      </c>
    </row>
    <row r="397" spans="1:7">
      <c r="A397" s="107">
        <v>9</v>
      </c>
      <c r="B397" s="107">
        <v>1</v>
      </c>
      <c r="C397" s="107">
        <v>2</v>
      </c>
      <c r="D397" s="107" t="s">
        <v>228</v>
      </c>
      <c r="E397" s="107" t="s">
        <v>229</v>
      </c>
      <c r="F397" s="161">
        <v>45353</v>
      </c>
      <c r="G397" s="107">
        <f>DATEDIF(G$2,F397,"d")</f>
        <v>5</v>
      </c>
    </row>
    <row r="398" spans="1:7">
      <c r="A398" s="107">
        <v>9</v>
      </c>
      <c r="B398" s="107">
        <v>1</v>
      </c>
      <c r="C398" s="107">
        <v>3</v>
      </c>
      <c r="D398" s="107" t="s">
        <v>228</v>
      </c>
      <c r="E398" s="107" t="s">
        <v>229</v>
      </c>
      <c r="F398" s="161">
        <v>45354</v>
      </c>
      <c r="G398" s="107">
        <f>DATEDIF(G$2,F398,"d")</f>
        <v>6</v>
      </c>
    </row>
    <row r="399" spans="1:7">
      <c r="A399" s="107">
        <v>9</v>
      </c>
      <c r="B399" s="107">
        <v>1</v>
      </c>
      <c r="C399" s="107">
        <v>4</v>
      </c>
      <c r="D399" s="107" t="s">
        <v>228</v>
      </c>
      <c r="E399" s="107" t="s">
        <v>229</v>
      </c>
      <c r="F399" s="107"/>
      <c r="G399" s="107"/>
    </row>
    <row r="400" spans="1:7">
      <c r="A400" s="107">
        <v>9</v>
      </c>
      <c r="B400" s="107">
        <v>1</v>
      </c>
      <c r="C400" s="107">
        <v>5</v>
      </c>
      <c r="D400" s="107" t="s">
        <v>228</v>
      </c>
      <c r="E400" s="107" t="s">
        <v>229</v>
      </c>
      <c r="F400" s="161">
        <v>45361</v>
      </c>
      <c r="G400" s="107">
        <f>DATEDIF(G$2,F400,"d")</f>
        <v>13</v>
      </c>
    </row>
    <row r="401" spans="1:7">
      <c r="A401" s="107">
        <v>9</v>
      </c>
      <c r="B401" s="107">
        <v>1</v>
      </c>
      <c r="C401" s="107">
        <v>6</v>
      </c>
      <c r="D401" s="107" t="s">
        <v>228</v>
      </c>
      <c r="E401" s="107" t="s">
        <v>229</v>
      </c>
      <c r="F401" s="161">
        <v>45355</v>
      </c>
      <c r="G401" s="107">
        <f>DATEDIF(G$2,F401,"d")</f>
        <v>7</v>
      </c>
    </row>
    <row r="402" spans="1:7">
      <c r="A402" s="107">
        <v>9</v>
      </c>
      <c r="B402" s="107">
        <v>1</v>
      </c>
      <c r="C402" s="107">
        <v>7</v>
      </c>
      <c r="D402" s="107" t="s">
        <v>228</v>
      </c>
      <c r="E402" s="107" t="s">
        <v>229</v>
      </c>
      <c r="F402" s="107"/>
      <c r="G402" s="107"/>
    </row>
    <row r="403" spans="1:7">
      <c r="A403" s="107">
        <v>9</v>
      </c>
      <c r="B403" s="107">
        <v>1</v>
      </c>
      <c r="C403" s="107">
        <v>8</v>
      </c>
      <c r="D403" s="107" t="s">
        <v>228</v>
      </c>
      <c r="E403" s="107" t="s">
        <v>229</v>
      </c>
      <c r="F403" s="107"/>
      <c r="G403" s="107"/>
    </row>
    <row r="404" spans="1:7">
      <c r="A404" s="107">
        <v>9</v>
      </c>
      <c r="B404" s="107">
        <v>2</v>
      </c>
      <c r="C404" s="107">
        <v>1</v>
      </c>
      <c r="D404" s="107" t="s">
        <v>230</v>
      </c>
      <c r="E404" s="107" t="s">
        <v>231</v>
      </c>
      <c r="F404" s="161">
        <v>45354</v>
      </c>
      <c r="G404" s="107">
        <f>DATEDIF(G$2,F404,"d")</f>
        <v>6</v>
      </c>
    </row>
    <row r="405" spans="1:7">
      <c r="A405" s="107">
        <v>9</v>
      </c>
      <c r="B405" s="107">
        <v>2</v>
      </c>
      <c r="C405" s="107">
        <v>2</v>
      </c>
      <c r="D405" s="107" t="s">
        <v>230</v>
      </c>
      <c r="E405" s="107" t="s">
        <v>231</v>
      </c>
      <c r="F405" s="107"/>
      <c r="G405" s="107"/>
    </row>
    <row r="406" spans="1:7">
      <c r="A406" s="107">
        <v>9</v>
      </c>
      <c r="B406" s="107">
        <v>2</v>
      </c>
      <c r="C406" s="107">
        <v>3</v>
      </c>
      <c r="D406" s="107" t="s">
        <v>230</v>
      </c>
      <c r="E406" s="107" t="s">
        <v>231</v>
      </c>
      <c r="F406" s="107"/>
      <c r="G406" s="107"/>
    </row>
    <row r="407" spans="1:7">
      <c r="A407" s="107">
        <v>9</v>
      </c>
      <c r="B407" s="107">
        <v>2</v>
      </c>
      <c r="C407" s="107">
        <v>4</v>
      </c>
      <c r="D407" s="107" t="s">
        <v>230</v>
      </c>
      <c r="E407" s="107" t="s">
        <v>231</v>
      </c>
      <c r="F407" s="161">
        <v>45353</v>
      </c>
      <c r="G407" s="107">
        <f>DATEDIF(G$2,F407,"d")</f>
        <v>5</v>
      </c>
    </row>
    <row r="408" spans="1:7">
      <c r="A408" s="107">
        <v>9</v>
      </c>
      <c r="B408" s="107">
        <v>2</v>
      </c>
      <c r="C408" s="107">
        <v>5</v>
      </c>
      <c r="D408" s="107" t="s">
        <v>230</v>
      </c>
      <c r="E408" s="107" t="s">
        <v>231</v>
      </c>
      <c r="F408" s="161">
        <v>45353</v>
      </c>
      <c r="G408" s="107">
        <f>DATEDIF(G$2,F408,"d")</f>
        <v>5</v>
      </c>
    </row>
    <row r="409" spans="1:7">
      <c r="A409" s="107">
        <v>9</v>
      </c>
      <c r="B409" s="107">
        <v>2</v>
      </c>
      <c r="C409" s="107">
        <v>6</v>
      </c>
      <c r="D409" s="107" t="s">
        <v>230</v>
      </c>
      <c r="E409" s="107" t="s">
        <v>231</v>
      </c>
      <c r="F409" s="107"/>
      <c r="G409" s="107"/>
    </row>
    <row r="410" spans="1:7">
      <c r="A410" s="107">
        <v>9</v>
      </c>
      <c r="B410" s="107">
        <v>2</v>
      </c>
      <c r="C410" s="107">
        <v>7</v>
      </c>
      <c r="D410" s="107" t="s">
        <v>230</v>
      </c>
      <c r="E410" s="107" t="s">
        <v>231</v>
      </c>
      <c r="F410" s="161">
        <v>45353</v>
      </c>
      <c r="G410" s="107">
        <f>DATEDIF(G$2,F410,"d")</f>
        <v>5</v>
      </c>
    </row>
    <row r="411" spans="1:7">
      <c r="A411" s="107">
        <v>9</v>
      </c>
      <c r="B411" s="107">
        <v>2</v>
      </c>
      <c r="C411" s="107">
        <v>8</v>
      </c>
      <c r="D411" s="107" t="s">
        <v>230</v>
      </c>
      <c r="E411" s="107" t="s">
        <v>231</v>
      </c>
      <c r="F411" s="107"/>
      <c r="G411" s="107"/>
    </row>
    <row r="412" spans="1:7">
      <c r="A412" s="107">
        <v>9</v>
      </c>
      <c r="B412" s="107">
        <v>3</v>
      </c>
      <c r="C412" s="107">
        <v>1</v>
      </c>
      <c r="D412" s="107" t="s">
        <v>232</v>
      </c>
      <c r="E412" s="107" t="s">
        <v>233</v>
      </c>
      <c r="F412" s="161">
        <v>45354</v>
      </c>
      <c r="G412" s="107">
        <f t="shared" ref="G412:G429" si="15">DATEDIF(G$2,F412,"d")</f>
        <v>6</v>
      </c>
    </row>
    <row r="413" spans="1:7">
      <c r="A413" s="107">
        <v>9</v>
      </c>
      <c r="B413" s="107">
        <v>3</v>
      </c>
      <c r="C413" s="107">
        <v>2</v>
      </c>
      <c r="D413" s="107" t="s">
        <v>232</v>
      </c>
      <c r="E413" s="107" t="s">
        <v>233</v>
      </c>
      <c r="F413" s="161">
        <v>45352</v>
      </c>
      <c r="G413" s="107">
        <f t="shared" si="15"/>
        <v>4</v>
      </c>
    </row>
    <row r="414" spans="1:7">
      <c r="A414" s="107">
        <v>9</v>
      </c>
      <c r="B414" s="107">
        <v>3</v>
      </c>
      <c r="C414" s="107">
        <v>3</v>
      </c>
      <c r="D414" s="107" t="s">
        <v>232</v>
      </c>
      <c r="E414" s="107" t="s">
        <v>233</v>
      </c>
      <c r="F414" s="161">
        <v>45353</v>
      </c>
      <c r="G414" s="107">
        <f t="shared" si="15"/>
        <v>5</v>
      </c>
    </row>
    <row r="415" spans="1:7">
      <c r="A415" s="107">
        <v>9</v>
      </c>
      <c r="B415" s="107">
        <v>3</v>
      </c>
      <c r="C415" s="107">
        <v>4</v>
      </c>
      <c r="D415" s="107" t="s">
        <v>232</v>
      </c>
      <c r="E415" s="107" t="s">
        <v>233</v>
      </c>
      <c r="F415" s="161">
        <v>45354</v>
      </c>
      <c r="G415" s="107">
        <f t="shared" si="15"/>
        <v>6</v>
      </c>
    </row>
    <row r="416" spans="1:7">
      <c r="A416" s="107">
        <v>9</v>
      </c>
      <c r="B416" s="107">
        <v>3</v>
      </c>
      <c r="C416" s="107">
        <v>5</v>
      </c>
      <c r="D416" s="107" t="s">
        <v>232</v>
      </c>
      <c r="E416" s="107" t="s">
        <v>233</v>
      </c>
      <c r="F416" s="161">
        <v>45353</v>
      </c>
      <c r="G416" s="107">
        <f t="shared" si="15"/>
        <v>5</v>
      </c>
    </row>
    <row r="417" spans="1:7">
      <c r="A417" s="107">
        <v>9</v>
      </c>
      <c r="B417" s="107">
        <v>3</v>
      </c>
      <c r="C417" s="107">
        <v>6</v>
      </c>
      <c r="D417" s="107" t="s">
        <v>232</v>
      </c>
      <c r="E417" s="107" t="s">
        <v>233</v>
      </c>
      <c r="F417" s="161">
        <v>45353</v>
      </c>
      <c r="G417" s="107">
        <f t="shared" si="15"/>
        <v>5</v>
      </c>
    </row>
    <row r="418" spans="1:7">
      <c r="A418" s="107">
        <v>9</v>
      </c>
      <c r="B418" s="107">
        <v>3</v>
      </c>
      <c r="C418" s="107">
        <v>7</v>
      </c>
      <c r="D418" s="107" t="s">
        <v>232</v>
      </c>
      <c r="E418" s="107" t="s">
        <v>233</v>
      </c>
      <c r="F418" s="161">
        <v>45353</v>
      </c>
      <c r="G418" s="107">
        <f t="shared" si="15"/>
        <v>5</v>
      </c>
    </row>
    <row r="419" spans="1:7">
      <c r="A419" s="107">
        <v>9</v>
      </c>
      <c r="B419" s="107">
        <v>3</v>
      </c>
      <c r="C419" s="107">
        <v>8</v>
      </c>
      <c r="D419" s="107" t="s">
        <v>232</v>
      </c>
      <c r="E419" s="107" t="s">
        <v>233</v>
      </c>
      <c r="F419" s="161">
        <v>45352</v>
      </c>
      <c r="G419" s="107">
        <f t="shared" si="15"/>
        <v>4</v>
      </c>
    </row>
    <row r="420" spans="1:7">
      <c r="A420" s="107">
        <v>9</v>
      </c>
      <c r="B420" s="107">
        <v>4</v>
      </c>
      <c r="C420" s="107">
        <v>1</v>
      </c>
      <c r="D420" s="107" t="s">
        <v>234</v>
      </c>
      <c r="E420" s="107" t="s">
        <v>235</v>
      </c>
      <c r="F420" s="161">
        <v>45355</v>
      </c>
      <c r="G420" s="107">
        <f t="shared" si="15"/>
        <v>7</v>
      </c>
    </row>
    <row r="421" spans="1:7">
      <c r="A421" s="107">
        <v>9</v>
      </c>
      <c r="B421" s="107">
        <v>4</v>
      </c>
      <c r="C421" s="107">
        <v>2</v>
      </c>
      <c r="D421" s="107" t="s">
        <v>234</v>
      </c>
      <c r="E421" s="107" t="s">
        <v>235</v>
      </c>
      <c r="F421" s="161">
        <v>45353</v>
      </c>
      <c r="G421" s="107">
        <f t="shared" si="15"/>
        <v>5</v>
      </c>
    </row>
    <row r="422" spans="1:7">
      <c r="A422" s="107">
        <v>9</v>
      </c>
      <c r="B422" s="107">
        <v>4</v>
      </c>
      <c r="C422" s="107">
        <v>3</v>
      </c>
      <c r="D422" s="107" t="s">
        <v>234</v>
      </c>
      <c r="E422" s="107" t="s">
        <v>235</v>
      </c>
      <c r="F422" s="161">
        <v>45353</v>
      </c>
      <c r="G422" s="107">
        <f t="shared" si="15"/>
        <v>5</v>
      </c>
    </row>
    <row r="423" spans="1:7">
      <c r="A423" s="107">
        <v>9</v>
      </c>
      <c r="B423" s="107">
        <v>4</v>
      </c>
      <c r="C423" s="107">
        <v>4</v>
      </c>
      <c r="D423" s="107" t="s">
        <v>234</v>
      </c>
      <c r="E423" s="107" t="s">
        <v>235</v>
      </c>
      <c r="F423" s="161">
        <v>45353</v>
      </c>
      <c r="G423" s="107">
        <f t="shared" si="15"/>
        <v>5</v>
      </c>
    </row>
    <row r="424" spans="1:7">
      <c r="A424" s="107">
        <v>9</v>
      </c>
      <c r="B424" s="107">
        <v>4</v>
      </c>
      <c r="C424" s="107">
        <v>5</v>
      </c>
      <c r="D424" s="107" t="s">
        <v>234</v>
      </c>
      <c r="E424" s="107" t="s">
        <v>235</v>
      </c>
      <c r="F424" s="161">
        <v>45354</v>
      </c>
      <c r="G424" s="107">
        <f t="shared" si="15"/>
        <v>6</v>
      </c>
    </row>
    <row r="425" spans="1:7">
      <c r="A425" s="107">
        <v>9</v>
      </c>
      <c r="B425" s="107">
        <v>4</v>
      </c>
      <c r="C425" s="107">
        <v>6</v>
      </c>
      <c r="D425" s="107" t="s">
        <v>234</v>
      </c>
      <c r="E425" s="107" t="s">
        <v>235</v>
      </c>
      <c r="F425" s="161">
        <v>45354</v>
      </c>
      <c r="G425" s="107">
        <f t="shared" si="15"/>
        <v>6</v>
      </c>
    </row>
    <row r="426" spans="1:7">
      <c r="A426" s="107">
        <v>9</v>
      </c>
      <c r="B426" s="107">
        <v>4</v>
      </c>
      <c r="C426" s="107">
        <v>7</v>
      </c>
      <c r="D426" s="107" t="s">
        <v>234</v>
      </c>
      <c r="E426" s="107" t="s">
        <v>235</v>
      </c>
      <c r="F426" s="161">
        <v>45353</v>
      </c>
      <c r="G426" s="107">
        <f t="shared" si="15"/>
        <v>5</v>
      </c>
    </row>
    <row r="427" spans="1:7">
      <c r="A427" s="107">
        <v>9</v>
      </c>
      <c r="B427" s="107">
        <v>4</v>
      </c>
      <c r="C427" s="107">
        <v>8</v>
      </c>
      <c r="D427" s="107" t="s">
        <v>234</v>
      </c>
      <c r="E427" s="107" t="s">
        <v>235</v>
      </c>
      <c r="F427" s="161">
        <v>45354</v>
      </c>
      <c r="G427" s="107">
        <f t="shared" si="15"/>
        <v>6</v>
      </c>
    </row>
    <row r="428" spans="1:7">
      <c r="A428" s="107">
        <v>9</v>
      </c>
      <c r="B428" s="107">
        <v>5</v>
      </c>
      <c r="C428" s="107">
        <v>1</v>
      </c>
      <c r="D428" s="107" t="s">
        <v>236</v>
      </c>
      <c r="E428" s="107" t="s">
        <v>237</v>
      </c>
      <c r="F428" s="161">
        <v>45353</v>
      </c>
      <c r="G428" s="107">
        <f t="shared" si="15"/>
        <v>5</v>
      </c>
    </row>
    <row r="429" spans="1:7">
      <c r="A429" s="107">
        <v>9</v>
      </c>
      <c r="B429" s="107">
        <v>5</v>
      </c>
      <c r="C429" s="107">
        <v>2</v>
      </c>
      <c r="D429" s="107" t="s">
        <v>236</v>
      </c>
      <c r="E429" s="107" t="s">
        <v>237</v>
      </c>
      <c r="F429" s="161">
        <v>45353</v>
      </c>
      <c r="G429" s="107">
        <f t="shared" si="15"/>
        <v>5</v>
      </c>
    </row>
    <row r="430" spans="1:7">
      <c r="A430" s="107">
        <v>9</v>
      </c>
      <c r="B430" s="107">
        <v>5</v>
      </c>
      <c r="C430" s="107">
        <v>3</v>
      </c>
      <c r="D430" s="107" t="s">
        <v>236</v>
      </c>
      <c r="E430" s="107" t="s">
        <v>237</v>
      </c>
      <c r="F430" s="107"/>
      <c r="G430" s="107"/>
    </row>
    <row r="431" spans="1:7">
      <c r="A431" s="107">
        <v>9</v>
      </c>
      <c r="B431" s="107">
        <v>5</v>
      </c>
      <c r="C431" s="107">
        <v>4</v>
      </c>
      <c r="D431" s="107" t="s">
        <v>236</v>
      </c>
      <c r="E431" s="107" t="s">
        <v>237</v>
      </c>
      <c r="F431" s="161">
        <v>45353</v>
      </c>
      <c r="G431" s="107">
        <f>DATEDIF(G$2,F431,"d")</f>
        <v>5</v>
      </c>
    </row>
    <row r="432" spans="1:7">
      <c r="A432" s="107">
        <v>9</v>
      </c>
      <c r="B432" s="107">
        <v>5</v>
      </c>
      <c r="C432" s="107">
        <v>5</v>
      </c>
      <c r="D432" s="107" t="s">
        <v>236</v>
      </c>
      <c r="E432" s="107" t="s">
        <v>237</v>
      </c>
      <c r="F432" s="161">
        <v>45353</v>
      </c>
      <c r="G432" s="107">
        <f>DATEDIF(G$2,F432,"d")</f>
        <v>5</v>
      </c>
    </row>
    <row r="433" spans="1:7">
      <c r="A433" s="107">
        <v>9</v>
      </c>
      <c r="B433" s="107">
        <v>5</v>
      </c>
      <c r="C433" s="107">
        <v>6</v>
      </c>
      <c r="D433" s="107" t="s">
        <v>236</v>
      </c>
      <c r="E433" s="107" t="s">
        <v>237</v>
      </c>
      <c r="F433" s="107"/>
      <c r="G433" s="107"/>
    </row>
    <row r="434" spans="1:7">
      <c r="A434" s="107">
        <v>9</v>
      </c>
      <c r="B434" s="107">
        <v>5</v>
      </c>
      <c r="C434" s="107">
        <v>7</v>
      </c>
      <c r="D434" s="107" t="s">
        <v>236</v>
      </c>
      <c r="E434" s="107" t="s">
        <v>237</v>
      </c>
      <c r="F434" s="161">
        <v>45353</v>
      </c>
      <c r="G434" s="107">
        <f t="shared" ref="G434:G443" si="16">DATEDIF(G$2,F434,"d")</f>
        <v>5</v>
      </c>
    </row>
    <row r="435" spans="1:7">
      <c r="A435" s="107">
        <v>9</v>
      </c>
      <c r="B435" s="107">
        <v>5</v>
      </c>
      <c r="C435" s="107">
        <v>8</v>
      </c>
      <c r="D435" s="107" t="s">
        <v>236</v>
      </c>
      <c r="E435" s="107" t="s">
        <v>237</v>
      </c>
      <c r="F435" s="161">
        <v>45353</v>
      </c>
      <c r="G435" s="107">
        <f t="shared" si="16"/>
        <v>5</v>
      </c>
    </row>
    <row r="436" spans="1:7">
      <c r="A436" s="107">
        <v>9</v>
      </c>
      <c r="B436" s="107">
        <v>6</v>
      </c>
      <c r="C436" s="107">
        <v>1</v>
      </c>
      <c r="D436" s="107" t="s">
        <v>238</v>
      </c>
      <c r="E436" s="107" t="s">
        <v>239</v>
      </c>
      <c r="F436" s="161">
        <v>45354</v>
      </c>
      <c r="G436" s="107">
        <f t="shared" si="16"/>
        <v>6</v>
      </c>
    </row>
    <row r="437" spans="1:7">
      <c r="A437" s="107">
        <v>9</v>
      </c>
      <c r="B437" s="107">
        <v>6</v>
      </c>
      <c r="C437" s="107">
        <v>2</v>
      </c>
      <c r="D437" s="107" t="s">
        <v>238</v>
      </c>
      <c r="E437" s="107" t="s">
        <v>239</v>
      </c>
      <c r="F437" s="161">
        <v>45353</v>
      </c>
      <c r="G437" s="107">
        <f t="shared" si="16"/>
        <v>5</v>
      </c>
    </row>
    <row r="438" spans="1:7">
      <c r="A438" s="107">
        <v>9</v>
      </c>
      <c r="B438" s="107">
        <v>6</v>
      </c>
      <c r="C438" s="107">
        <v>3</v>
      </c>
      <c r="D438" s="107" t="s">
        <v>238</v>
      </c>
      <c r="E438" s="107" t="s">
        <v>239</v>
      </c>
      <c r="F438" s="161">
        <v>45354</v>
      </c>
      <c r="G438" s="107">
        <f t="shared" si="16"/>
        <v>6</v>
      </c>
    </row>
    <row r="439" spans="1:7">
      <c r="A439" s="107">
        <v>9</v>
      </c>
      <c r="B439" s="107">
        <v>6</v>
      </c>
      <c r="C439" s="107">
        <v>4</v>
      </c>
      <c r="D439" s="107" t="s">
        <v>238</v>
      </c>
      <c r="E439" s="107" t="s">
        <v>239</v>
      </c>
      <c r="F439" s="161">
        <v>45353</v>
      </c>
      <c r="G439" s="107">
        <f t="shared" si="16"/>
        <v>5</v>
      </c>
    </row>
    <row r="440" spans="1:7">
      <c r="A440" s="107">
        <v>9</v>
      </c>
      <c r="B440" s="107">
        <v>6</v>
      </c>
      <c r="C440" s="107">
        <v>5</v>
      </c>
      <c r="D440" s="107" t="s">
        <v>238</v>
      </c>
      <c r="E440" s="107" t="s">
        <v>239</v>
      </c>
      <c r="F440" s="161">
        <v>45354</v>
      </c>
      <c r="G440" s="107">
        <f t="shared" si="16"/>
        <v>6</v>
      </c>
    </row>
    <row r="441" spans="1:7">
      <c r="A441" s="107">
        <v>9</v>
      </c>
      <c r="B441" s="107">
        <v>6</v>
      </c>
      <c r="C441" s="107">
        <v>6</v>
      </c>
      <c r="D441" s="107" t="s">
        <v>238</v>
      </c>
      <c r="E441" s="107" t="s">
        <v>239</v>
      </c>
      <c r="F441" s="161">
        <v>45354</v>
      </c>
      <c r="G441" s="107">
        <f t="shared" si="16"/>
        <v>6</v>
      </c>
    </row>
    <row r="442" spans="1:7">
      <c r="A442" s="107">
        <v>9</v>
      </c>
      <c r="B442" s="107">
        <v>6</v>
      </c>
      <c r="C442" s="107">
        <v>7</v>
      </c>
      <c r="D442" s="107" t="s">
        <v>238</v>
      </c>
      <c r="E442" s="107" t="s">
        <v>239</v>
      </c>
      <c r="F442" s="161">
        <v>45353</v>
      </c>
      <c r="G442" s="107">
        <f t="shared" si="16"/>
        <v>5</v>
      </c>
    </row>
    <row r="443" spans="1:7">
      <c r="A443" s="107">
        <v>9</v>
      </c>
      <c r="B443" s="107">
        <v>6</v>
      </c>
      <c r="C443" s="107">
        <v>8</v>
      </c>
      <c r="D443" s="107" t="s">
        <v>238</v>
      </c>
      <c r="E443" s="107" t="s">
        <v>239</v>
      </c>
      <c r="F443" s="161">
        <v>45353</v>
      </c>
      <c r="G443" s="107">
        <f t="shared" si="16"/>
        <v>5</v>
      </c>
    </row>
    <row r="444" spans="1:7">
      <c r="D444" s="139"/>
      <c r="E444" s="139"/>
      <c r="F444" s="139"/>
      <c r="G444" s="139"/>
    </row>
    <row r="445" spans="1:7">
      <c r="A445" s="107">
        <v>10</v>
      </c>
      <c r="B445" s="107">
        <v>1</v>
      </c>
      <c r="C445" s="107">
        <v>1</v>
      </c>
      <c r="D445" s="170" t="s">
        <v>240</v>
      </c>
      <c r="E445" s="170" t="s">
        <v>241</v>
      </c>
      <c r="F445" s="100">
        <v>45354</v>
      </c>
      <c r="G445" s="170">
        <f t="shared" ref="G445:G478" si="17">DATEDIF(G$2,F445,"d")</f>
        <v>6</v>
      </c>
    </row>
    <row r="446" spans="1:7">
      <c r="A446" s="107">
        <v>10</v>
      </c>
      <c r="B446" s="107">
        <v>1</v>
      </c>
      <c r="C446" s="107">
        <v>2</v>
      </c>
      <c r="D446" s="107" t="s">
        <v>240</v>
      </c>
      <c r="E446" s="107" t="s">
        <v>241</v>
      </c>
      <c r="F446" s="161">
        <v>45353</v>
      </c>
      <c r="G446" s="107">
        <f t="shared" si="17"/>
        <v>5</v>
      </c>
    </row>
    <row r="447" spans="1:7">
      <c r="A447" s="107">
        <v>10</v>
      </c>
      <c r="B447" s="107">
        <v>1</v>
      </c>
      <c r="C447" s="107">
        <v>3</v>
      </c>
      <c r="D447" s="107" t="s">
        <v>240</v>
      </c>
      <c r="E447" s="107" t="s">
        <v>241</v>
      </c>
      <c r="F447" s="161">
        <v>45353</v>
      </c>
      <c r="G447" s="107">
        <f t="shared" si="17"/>
        <v>5</v>
      </c>
    </row>
    <row r="448" spans="1:7">
      <c r="A448" s="107">
        <v>10</v>
      </c>
      <c r="B448" s="107">
        <v>1</v>
      </c>
      <c r="C448" s="107">
        <v>4</v>
      </c>
      <c r="D448" s="107" t="s">
        <v>240</v>
      </c>
      <c r="E448" s="107" t="s">
        <v>241</v>
      </c>
      <c r="F448" s="161">
        <v>45353</v>
      </c>
      <c r="G448" s="107">
        <f t="shared" si="17"/>
        <v>5</v>
      </c>
    </row>
    <row r="449" spans="1:7">
      <c r="A449" s="107">
        <v>10</v>
      </c>
      <c r="B449" s="107">
        <v>1</v>
      </c>
      <c r="C449" s="107">
        <v>5</v>
      </c>
      <c r="D449" s="107" t="s">
        <v>240</v>
      </c>
      <c r="E449" s="107" t="s">
        <v>241</v>
      </c>
      <c r="F449" s="161">
        <v>45353</v>
      </c>
      <c r="G449" s="107">
        <f t="shared" si="17"/>
        <v>5</v>
      </c>
    </row>
    <row r="450" spans="1:7">
      <c r="A450" s="107">
        <v>10</v>
      </c>
      <c r="B450" s="107">
        <v>1</v>
      </c>
      <c r="C450" s="107">
        <v>6</v>
      </c>
      <c r="D450" s="107" t="s">
        <v>240</v>
      </c>
      <c r="E450" s="107" t="s">
        <v>241</v>
      </c>
      <c r="F450" s="161">
        <v>45353</v>
      </c>
      <c r="G450" s="107">
        <f t="shared" si="17"/>
        <v>5</v>
      </c>
    </row>
    <row r="451" spans="1:7">
      <c r="A451" s="107">
        <v>10</v>
      </c>
      <c r="B451" s="107">
        <v>1</v>
      </c>
      <c r="C451" s="107">
        <v>7</v>
      </c>
      <c r="D451" s="107" t="s">
        <v>240</v>
      </c>
      <c r="E451" s="107" t="s">
        <v>241</v>
      </c>
      <c r="F451" s="161">
        <v>45354</v>
      </c>
      <c r="G451" s="107">
        <f t="shared" si="17"/>
        <v>6</v>
      </c>
    </row>
    <row r="452" spans="1:7">
      <c r="A452" s="107">
        <v>10</v>
      </c>
      <c r="B452" s="107">
        <v>1</v>
      </c>
      <c r="C452" s="107">
        <v>8</v>
      </c>
      <c r="D452" s="107" t="s">
        <v>240</v>
      </c>
      <c r="E452" s="107" t="s">
        <v>241</v>
      </c>
      <c r="F452" s="161">
        <v>45352</v>
      </c>
      <c r="G452" s="107">
        <f t="shared" si="17"/>
        <v>4</v>
      </c>
    </row>
    <row r="453" spans="1:7">
      <c r="A453" s="107">
        <v>10</v>
      </c>
      <c r="B453" s="107">
        <v>2</v>
      </c>
      <c r="C453" s="107">
        <v>1</v>
      </c>
      <c r="D453" s="107" t="s">
        <v>242</v>
      </c>
      <c r="E453" s="107" t="s">
        <v>243</v>
      </c>
      <c r="F453" s="161">
        <v>45353</v>
      </c>
      <c r="G453" s="107">
        <f t="shared" si="17"/>
        <v>5</v>
      </c>
    </row>
    <row r="454" spans="1:7">
      <c r="A454" s="107">
        <v>10</v>
      </c>
      <c r="B454" s="107">
        <v>2</v>
      </c>
      <c r="C454" s="107">
        <v>2</v>
      </c>
      <c r="D454" s="107" t="s">
        <v>242</v>
      </c>
      <c r="E454" s="107" t="s">
        <v>243</v>
      </c>
      <c r="F454" s="161">
        <v>45354</v>
      </c>
      <c r="G454" s="107">
        <f t="shared" si="17"/>
        <v>6</v>
      </c>
    </row>
    <row r="455" spans="1:7">
      <c r="A455" s="107">
        <v>10</v>
      </c>
      <c r="B455" s="107">
        <v>2</v>
      </c>
      <c r="C455" s="107">
        <v>3</v>
      </c>
      <c r="D455" s="107" t="s">
        <v>242</v>
      </c>
      <c r="E455" s="107" t="s">
        <v>243</v>
      </c>
      <c r="F455" s="161">
        <v>45353</v>
      </c>
      <c r="G455" s="107">
        <f t="shared" si="17"/>
        <v>5</v>
      </c>
    </row>
    <row r="456" spans="1:7">
      <c r="A456" s="107">
        <v>10</v>
      </c>
      <c r="B456" s="107">
        <v>2</v>
      </c>
      <c r="C456" s="107">
        <v>4</v>
      </c>
      <c r="D456" s="107" t="s">
        <v>242</v>
      </c>
      <c r="E456" s="107" t="s">
        <v>243</v>
      </c>
      <c r="F456" s="161">
        <v>45353</v>
      </c>
      <c r="G456" s="107">
        <f t="shared" si="17"/>
        <v>5</v>
      </c>
    </row>
    <row r="457" spans="1:7">
      <c r="A457" s="107">
        <v>10</v>
      </c>
      <c r="B457" s="107">
        <v>2</v>
      </c>
      <c r="C457" s="107">
        <v>5</v>
      </c>
      <c r="D457" s="107" t="s">
        <v>242</v>
      </c>
      <c r="E457" s="107" t="s">
        <v>243</v>
      </c>
      <c r="F457" s="161">
        <v>45353</v>
      </c>
      <c r="G457" s="107">
        <f t="shared" si="17"/>
        <v>5</v>
      </c>
    </row>
    <row r="458" spans="1:7">
      <c r="A458" s="107">
        <v>10</v>
      </c>
      <c r="B458" s="107">
        <v>2</v>
      </c>
      <c r="C458" s="107">
        <v>6</v>
      </c>
      <c r="D458" s="107" t="s">
        <v>242</v>
      </c>
      <c r="E458" s="107" t="s">
        <v>243</v>
      </c>
      <c r="F458" s="161">
        <v>45353</v>
      </c>
      <c r="G458" s="107">
        <f t="shared" si="17"/>
        <v>5</v>
      </c>
    </row>
    <row r="459" spans="1:7">
      <c r="A459" s="107">
        <v>10</v>
      </c>
      <c r="B459" s="107">
        <v>2</v>
      </c>
      <c r="C459" s="107">
        <v>7</v>
      </c>
      <c r="D459" s="107" t="s">
        <v>242</v>
      </c>
      <c r="E459" s="107" t="s">
        <v>243</v>
      </c>
      <c r="F459" s="161">
        <v>45356</v>
      </c>
      <c r="G459" s="107">
        <f t="shared" si="17"/>
        <v>8</v>
      </c>
    </row>
    <row r="460" spans="1:7">
      <c r="A460" s="107">
        <v>10</v>
      </c>
      <c r="B460" s="107">
        <v>2</v>
      </c>
      <c r="C460" s="107">
        <v>8</v>
      </c>
      <c r="D460" s="107" t="s">
        <v>242</v>
      </c>
      <c r="E460" s="107" t="s">
        <v>243</v>
      </c>
      <c r="F460" s="161">
        <v>45353</v>
      </c>
      <c r="G460" s="107">
        <f t="shared" si="17"/>
        <v>5</v>
      </c>
    </row>
    <row r="461" spans="1:7">
      <c r="A461" s="107">
        <v>10</v>
      </c>
      <c r="B461" s="107">
        <v>3</v>
      </c>
      <c r="C461" s="107">
        <v>1</v>
      </c>
      <c r="D461" s="107" t="s">
        <v>244</v>
      </c>
      <c r="E461" s="107" t="s">
        <v>245</v>
      </c>
      <c r="F461" s="161">
        <v>45353</v>
      </c>
      <c r="G461" s="107">
        <f t="shared" si="17"/>
        <v>5</v>
      </c>
    </row>
    <row r="462" spans="1:7">
      <c r="A462" s="107">
        <v>10</v>
      </c>
      <c r="B462" s="107">
        <v>3</v>
      </c>
      <c r="C462" s="107">
        <v>2</v>
      </c>
      <c r="D462" s="107" t="s">
        <v>244</v>
      </c>
      <c r="E462" s="107" t="s">
        <v>245</v>
      </c>
      <c r="F462" s="161">
        <v>45354</v>
      </c>
      <c r="G462" s="107">
        <f t="shared" si="17"/>
        <v>6</v>
      </c>
    </row>
    <row r="463" spans="1:7">
      <c r="A463" s="107">
        <v>10</v>
      </c>
      <c r="B463" s="107">
        <v>3</v>
      </c>
      <c r="C463" s="107">
        <v>3</v>
      </c>
      <c r="D463" s="107" t="s">
        <v>244</v>
      </c>
      <c r="E463" s="107" t="s">
        <v>245</v>
      </c>
      <c r="F463" s="161">
        <v>45353</v>
      </c>
      <c r="G463" s="107">
        <f t="shared" si="17"/>
        <v>5</v>
      </c>
    </row>
    <row r="464" spans="1:7">
      <c r="A464" s="107">
        <v>10</v>
      </c>
      <c r="B464" s="107">
        <v>3</v>
      </c>
      <c r="C464" s="107">
        <v>4</v>
      </c>
      <c r="D464" s="107" t="s">
        <v>244</v>
      </c>
      <c r="E464" s="107" t="s">
        <v>245</v>
      </c>
      <c r="F464" s="161">
        <v>45353</v>
      </c>
      <c r="G464" s="107">
        <f t="shared" si="17"/>
        <v>5</v>
      </c>
    </row>
    <row r="465" spans="1:7">
      <c r="A465" s="107">
        <v>10</v>
      </c>
      <c r="B465" s="107">
        <v>3</v>
      </c>
      <c r="C465" s="107">
        <v>5</v>
      </c>
      <c r="D465" s="107" t="s">
        <v>244</v>
      </c>
      <c r="E465" s="107" t="s">
        <v>245</v>
      </c>
      <c r="F465" s="161">
        <v>45353</v>
      </c>
      <c r="G465" s="107">
        <f t="shared" si="17"/>
        <v>5</v>
      </c>
    </row>
    <row r="466" spans="1:7">
      <c r="A466" s="107">
        <v>10</v>
      </c>
      <c r="B466" s="107">
        <v>3</v>
      </c>
      <c r="C466" s="107">
        <v>6</v>
      </c>
      <c r="D466" s="107" t="s">
        <v>244</v>
      </c>
      <c r="E466" s="107" t="s">
        <v>245</v>
      </c>
      <c r="F466" s="161">
        <v>45353</v>
      </c>
      <c r="G466" s="107">
        <f t="shared" si="17"/>
        <v>5</v>
      </c>
    </row>
    <row r="467" spans="1:7">
      <c r="A467" s="107">
        <v>10</v>
      </c>
      <c r="B467" s="107">
        <v>3</v>
      </c>
      <c r="C467" s="107">
        <v>7</v>
      </c>
      <c r="D467" s="107" t="s">
        <v>244</v>
      </c>
      <c r="E467" s="107" t="s">
        <v>245</v>
      </c>
      <c r="F467" s="161">
        <v>45353</v>
      </c>
      <c r="G467" s="107">
        <f t="shared" si="17"/>
        <v>5</v>
      </c>
    </row>
    <row r="468" spans="1:7">
      <c r="A468" s="107">
        <v>10</v>
      </c>
      <c r="B468" s="107">
        <v>3</v>
      </c>
      <c r="C468" s="107">
        <v>8</v>
      </c>
      <c r="D468" s="107" t="s">
        <v>244</v>
      </c>
      <c r="E468" s="107" t="s">
        <v>245</v>
      </c>
      <c r="F468" s="161">
        <v>45352</v>
      </c>
      <c r="G468" s="107">
        <f t="shared" si="17"/>
        <v>4</v>
      </c>
    </row>
    <row r="469" spans="1:7">
      <c r="A469" s="107">
        <v>10</v>
      </c>
      <c r="B469" s="107">
        <v>4</v>
      </c>
      <c r="C469" s="107">
        <v>1</v>
      </c>
      <c r="D469" s="107" t="s">
        <v>246</v>
      </c>
      <c r="E469" s="107" t="s">
        <v>247</v>
      </c>
      <c r="F469" s="161">
        <v>45354</v>
      </c>
      <c r="G469" s="107">
        <f t="shared" si="17"/>
        <v>6</v>
      </c>
    </row>
    <row r="470" spans="1:7">
      <c r="A470" s="107">
        <v>10</v>
      </c>
      <c r="B470" s="107">
        <v>4</v>
      </c>
      <c r="C470" s="107">
        <v>2</v>
      </c>
      <c r="D470" s="107" t="s">
        <v>246</v>
      </c>
      <c r="E470" s="107" t="s">
        <v>247</v>
      </c>
      <c r="F470" s="161">
        <v>45353</v>
      </c>
      <c r="G470" s="107">
        <f t="shared" si="17"/>
        <v>5</v>
      </c>
    </row>
    <row r="471" spans="1:7">
      <c r="A471" s="107">
        <v>10</v>
      </c>
      <c r="B471" s="107">
        <v>4</v>
      </c>
      <c r="C471" s="107">
        <v>3</v>
      </c>
      <c r="D471" s="107" t="s">
        <v>246</v>
      </c>
      <c r="E471" s="107" t="s">
        <v>247</v>
      </c>
      <c r="F471" s="161">
        <v>45353</v>
      </c>
      <c r="G471" s="107">
        <f t="shared" si="17"/>
        <v>5</v>
      </c>
    </row>
    <row r="472" spans="1:7">
      <c r="A472" s="107">
        <v>10</v>
      </c>
      <c r="B472" s="107">
        <v>4</v>
      </c>
      <c r="C472" s="107">
        <v>4</v>
      </c>
      <c r="D472" s="107" t="s">
        <v>246</v>
      </c>
      <c r="E472" s="107" t="s">
        <v>247</v>
      </c>
      <c r="F472" s="161">
        <v>45353</v>
      </c>
      <c r="G472" s="107">
        <f t="shared" si="17"/>
        <v>5</v>
      </c>
    </row>
    <row r="473" spans="1:7">
      <c r="A473" s="107">
        <v>10</v>
      </c>
      <c r="B473" s="107">
        <v>4</v>
      </c>
      <c r="C473" s="107">
        <v>5</v>
      </c>
      <c r="D473" s="107" t="s">
        <v>246</v>
      </c>
      <c r="E473" s="107" t="s">
        <v>247</v>
      </c>
      <c r="F473" s="161">
        <v>45353</v>
      </c>
      <c r="G473" s="107">
        <f t="shared" si="17"/>
        <v>5</v>
      </c>
    </row>
    <row r="474" spans="1:7">
      <c r="A474" s="107">
        <v>10</v>
      </c>
      <c r="B474" s="107">
        <v>4</v>
      </c>
      <c r="C474" s="107">
        <v>6</v>
      </c>
      <c r="D474" s="107" t="s">
        <v>246</v>
      </c>
      <c r="E474" s="107" t="s">
        <v>247</v>
      </c>
      <c r="F474" s="161">
        <v>45354</v>
      </c>
      <c r="G474" s="107">
        <f t="shared" si="17"/>
        <v>6</v>
      </c>
    </row>
    <row r="475" spans="1:7">
      <c r="A475" s="107">
        <v>10</v>
      </c>
      <c r="B475" s="107">
        <v>4</v>
      </c>
      <c r="C475" s="107">
        <v>7</v>
      </c>
      <c r="D475" s="107" t="s">
        <v>246</v>
      </c>
      <c r="E475" s="107" t="s">
        <v>247</v>
      </c>
      <c r="F475" s="161">
        <v>45355</v>
      </c>
      <c r="G475" s="107">
        <f t="shared" si="17"/>
        <v>7</v>
      </c>
    </row>
    <row r="476" spans="1:7">
      <c r="A476" s="107">
        <v>10</v>
      </c>
      <c r="B476" s="107">
        <v>4</v>
      </c>
      <c r="C476" s="107">
        <v>8</v>
      </c>
      <c r="D476" s="107" t="s">
        <v>246</v>
      </c>
      <c r="E476" s="107" t="s">
        <v>247</v>
      </c>
      <c r="F476" s="161">
        <v>45353</v>
      </c>
      <c r="G476" s="107">
        <f t="shared" si="17"/>
        <v>5</v>
      </c>
    </row>
    <row r="477" spans="1:7">
      <c r="A477" s="107">
        <v>10</v>
      </c>
      <c r="B477" s="107">
        <v>5</v>
      </c>
      <c r="C477" s="107">
        <v>1</v>
      </c>
      <c r="D477" s="107" t="s">
        <v>248</v>
      </c>
      <c r="E477" s="107" t="s">
        <v>249</v>
      </c>
      <c r="F477" s="161">
        <v>45353</v>
      </c>
      <c r="G477" s="107">
        <f t="shared" si="17"/>
        <v>5</v>
      </c>
    </row>
    <row r="478" spans="1:7">
      <c r="A478" s="107">
        <v>10</v>
      </c>
      <c r="B478" s="107">
        <v>5</v>
      </c>
      <c r="C478" s="107">
        <v>2</v>
      </c>
      <c r="D478" s="107" t="s">
        <v>248</v>
      </c>
      <c r="E478" s="107" t="s">
        <v>249</v>
      </c>
      <c r="F478" s="161">
        <v>45353</v>
      </c>
      <c r="G478" s="107">
        <f t="shared" si="17"/>
        <v>5</v>
      </c>
    </row>
    <row r="479" spans="1:7">
      <c r="A479" s="107">
        <v>10</v>
      </c>
      <c r="B479" s="107">
        <v>5</v>
      </c>
      <c r="C479" s="107">
        <v>3</v>
      </c>
      <c r="D479" s="107" t="s">
        <v>248</v>
      </c>
      <c r="E479" s="107" t="s">
        <v>249</v>
      </c>
      <c r="F479" s="107"/>
      <c r="G479" s="107"/>
    </row>
    <row r="480" spans="1:7">
      <c r="A480" s="107">
        <v>10</v>
      </c>
      <c r="B480" s="107">
        <v>5</v>
      </c>
      <c r="C480" s="107">
        <v>4</v>
      </c>
      <c r="D480" s="107" t="s">
        <v>248</v>
      </c>
      <c r="E480" s="107" t="s">
        <v>249</v>
      </c>
      <c r="F480" s="161">
        <v>45353</v>
      </c>
      <c r="G480" s="107">
        <f t="shared" ref="G480:G488" si="18">DATEDIF(G$2,F480,"d")</f>
        <v>5</v>
      </c>
    </row>
    <row r="481" spans="1:7">
      <c r="A481" s="107">
        <v>10</v>
      </c>
      <c r="B481" s="107">
        <v>5</v>
      </c>
      <c r="C481" s="107">
        <v>5</v>
      </c>
      <c r="D481" s="107" t="s">
        <v>248</v>
      </c>
      <c r="E481" s="107" t="s">
        <v>249</v>
      </c>
      <c r="F481" s="161">
        <v>45357</v>
      </c>
      <c r="G481" s="107">
        <f t="shared" si="18"/>
        <v>9</v>
      </c>
    </row>
    <row r="482" spans="1:7">
      <c r="A482" s="107">
        <v>10</v>
      </c>
      <c r="B482" s="107">
        <v>5</v>
      </c>
      <c r="C482" s="107">
        <v>6</v>
      </c>
      <c r="D482" s="107" t="s">
        <v>248</v>
      </c>
      <c r="E482" s="107" t="s">
        <v>249</v>
      </c>
      <c r="F482" s="161">
        <v>45353</v>
      </c>
      <c r="G482" s="107">
        <f t="shared" si="18"/>
        <v>5</v>
      </c>
    </row>
    <row r="483" spans="1:7">
      <c r="A483" s="107">
        <v>10</v>
      </c>
      <c r="B483" s="107">
        <v>5</v>
      </c>
      <c r="C483" s="107">
        <v>7</v>
      </c>
      <c r="D483" s="107" t="s">
        <v>248</v>
      </c>
      <c r="E483" s="107" t="s">
        <v>249</v>
      </c>
      <c r="F483" s="161">
        <v>45354</v>
      </c>
      <c r="G483" s="107">
        <f t="shared" si="18"/>
        <v>6</v>
      </c>
    </row>
    <row r="484" spans="1:7">
      <c r="A484" s="107">
        <v>10</v>
      </c>
      <c r="B484" s="107">
        <v>5</v>
      </c>
      <c r="C484" s="107">
        <v>8</v>
      </c>
      <c r="D484" s="107" t="s">
        <v>248</v>
      </c>
      <c r="E484" s="107" t="s">
        <v>249</v>
      </c>
      <c r="F484" s="161">
        <v>45355</v>
      </c>
      <c r="G484" s="107">
        <f t="shared" si="18"/>
        <v>7</v>
      </c>
    </row>
    <row r="485" spans="1:7">
      <c r="A485" s="107">
        <v>10</v>
      </c>
      <c r="B485" s="107">
        <v>6</v>
      </c>
      <c r="C485" s="107">
        <v>1</v>
      </c>
      <c r="D485" s="107" t="s">
        <v>250</v>
      </c>
      <c r="E485" s="107" t="s">
        <v>251</v>
      </c>
      <c r="F485" s="161">
        <v>45352</v>
      </c>
      <c r="G485" s="107">
        <f t="shared" si="18"/>
        <v>4</v>
      </c>
    </row>
    <row r="486" spans="1:7">
      <c r="A486" s="107">
        <v>10</v>
      </c>
      <c r="B486" s="107">
        <v>6</v>
      </c>
      <c r="C486" s="107">
        <v>2</v>
      </c>
      <c r="D486" s="107" t="s">
        <v>250</v>
      </c>
      <c r="E486" s="107" t="s">
        <v>251</v>
      </c>
      <c r="F486" s="161">
        <v>45352</v>
      </c>
      <c r="G486" s="107">
        <f t="shared" si="18"/>
        <v>4</v>
      </c>
    </row>
    <row r="487" spans="1:7">
      <c r="A487" s="107">
        <v>10</v>
      </c>
      <c r="B487" s="107">
        <v>6</v>
      </c>
      <c r="C487" s="107">
        <v>3</v>
      </c>
      <c r="D487" s="107" t="s">
        <v>250</v>
      </c>
      <c r="E487" s="107" t="s">
        <v>251</v>
      </c>
      <c r="F487" s="161">
        <v>45353</v>
      </c>
      <c r="G487" s="107">
        <f t="shared" si="18"/>
        <v>5</v>
      </c>
    </row>
    <row r="488" spans="1:7">
      <c r="A488" s="107">
        <v>10</v>
      </c>
      <c r="B488" s="107">
        <v>6</v>
      </c>
      <c r="C488" s="107">
        <v>4</v>
      </c>
      <c r="D488" s="107" t="s">
        <v>250</v>
      </c>
      <c r="E488" s="107" t="s">
        <v>251</v>
      </c>
      <c r="F488" s="161">
        <v>45353</v>
      </c>
      <c r="G488" s="107">
        <f t="shared" si="18"/>
        <v>5</v>
      </c>
    </row>
    <row r="489" spans="1:7">
      <c r="A489" s="107">
        <v>10</v>
      </c>
      <c r="B489" s="107">
        <v>6</v>
      </c>
      <c r="C489" s="107">
        <v>5</v>
      </c>
      <c r="D489" s="107" t="s">
        <v>250</v>
      </c>
      <c r="E489" s="107" t="s">
        <v>251</v>
      </c>
      <c r="F489" s="107"/>
      <c r="G489" s="107"/>
    </row>
    <row r="490" spans="1:7">
      <c r="A490" s="107">
        <v>10</v>
      </c>
      <c r="B490" s="107">
        <v>6</v>
      </c>
      <c r="C490" s="107">
        <v>6</v>
      </c>
      <c r="D490" s="107" t="s">
        <v>250</v>
      </c>
      <c r="E490" s="107" t="s">
        <v>251</v>
      </c>
      <c r="F490" s="161">
        <v>45352</v>
      </c>
      <c r="G490" s="107">
        <f>DATEDIF(G$2,F490,"d")</f>
        <v>4</v>
      </c>
    </row>
    <row r="491" spans="1:7">
      <c r="A491" s="107">
        <v>10</v>
      </c>
      <c r="B491" s="107">
        <v>6</v>
      </c>
      <c r="C491" s="107">
        <v>7</v>
      </c>
      <c r="D491" s="107" t="s">
        <v>250</v>
      </c>
      <c r="E491" s="107" t="s">
        <v>251</v>
      </c>
      <c r="F491" s="161">
        <v>45352</v>
      </c>
      <c r="G491" s="107">
        <f>DATEDIF(G$2,F491,"d")</f>
        <v>4</v>
      </c>
    </row>
    <row r="492" spans="1:7">
      <c r="A492" s="107">
        <v>10</v>
      </c>
      <c r="B492" s="107">
        <v>6</v>
      </c>
      <c r="C492" s="107">
        <v>8</v>
      </c>
      <c r="D492" s="107" t="s">
        <v>250</v>
      </c>
      <c r="E492" s="107" t="s">
        <v>251</v>
      </c>
      <c r="F492" s="161">
        <v>45352</v>
      </c>
      <c r="G492" s="107">
        <f>DATEDIF(G$2,F492,"d")</f>
        <v>4</v>
      </c>
    </row>
    <row r="493" spans="1:7">
      <c r="D493" s="139"/>
      <c r="E493" s="139"/>
      <c r="F493" s="139"/>
      <c r="G493" s="139"/>
    </row>
    <row r="494" spans="1:7">
      <c r="A494" s="107">
        <v>11</v>
      </c>
      <c r="B494" s="107">
        <v>1</v>
      </c>
      <c r="C494" s="107">
        <v>1</v>
      </c>
      <c r="D494" s="170" t="s">
        <v>252</v>
      </c>
      <c r="E494" s="170" t="s">
        <v>253</v>
      </c>
      <c r="F494" s="100">
        <v>45361</v>
      </c>
      <c r="G494" s="170">
        <f>DATEDIF(G$2,F494,"d")</f>
        <v>13</v>
      </c>
    </row>
    <row r="495" spans="1:7">
      <c r="A495" s="107">
        <v>11</v>
      </c>
      <c r="B495" s="107">
        <v>1</v>
      </c>
      <c r="C495" s="107">
        <v>2</v>
      </c>
      <c r="D495" s="107" t="s">
        <v>252</v>
      </c>
      <c r="E495" s="107" t="s">
        <v>253</v>
      </c>
      <c r="F495" s="161">
        <v>45353</v>
      </c>
      <c r="G495" s="107">
        <f>DATEDIF(G$2,F495,"d")</f>
        <v>5</v>
      </c>
    </row>
    <row r="496" spans="1:7">
      <c r="A496" s="107">
        <v>11</v>
      </c>
      <c r="B496" s="107">
        <v>1</v>
      </c>
      <c r="C496" s="107">
        <v>3</v>
      </c>
      <c r="D496" s="107" t="s">
        <v>252</v>
      </c>
      <c r="E496" s="107" t="s">
        <v>253</v>
      </c>
      <c r="F496" s="161">
        <v>45353</v>
      </c>
      <c r="G496" s="107">
        <f>DATEDIF(G$2,F496,"d")</f>
        <v>5</v>
      </c>
    </row>
    <row r="497" spans="1:7">
      <c r="A497" s="107">
        <v>11</v>
      </c>
      <c r="B497" s="107">
        <v>1</v>
      </c>
      <c r="C497" s="107">
        <v>4</v>
      </c>
      <c r="D497" s="107" t="s">
        <v>252</v>
      </c>
      <c r="E497" s="107" t="s">
        <v>253</v>
      </c>
      <c r="F497" s="161">
        <v>45353</v>
      </c>
      <c r="G497" s="107">
        <f>DATEDIF(G$2,F497,"d")</f>
        <v>5</v>
      </c>
    </row>
    <row r="498" spans="1:7">
      <c r="A498" s="107">
        <v>11</v>
      </c>
      <c r="B498" s="107">
        <v>1</v>
      </c>
      <c r="C498" s="107">
        <v>5</v>
      </c>
      <c r="D498" s="107" t="s">
        <v>252</v>
      </c>
      <c r="E498" s="107" t="s">
        <v>253</v>
      </c>
      <c r="F498" s="161">
        <v>45353</v>
      </c>
      <c r="G498" s="107">
        <f>DATEDIF(G$2,F498,"d")</f>
        <v>5</v>
      </c>
    </row>
    <row r="499" spans="1:7">
      <c r="A499" s="107">
        <v>11</v>
      </c>
      <c r="B499" s="107">
        <v>1</v>
      </c>
      <c r="C499" s="107">
        <v>6</v>
      </c>
      <c r="D499" s="107" t="s">
        <v>252</v>
      </c>
      <c r="E499" s="107" t="s">
        <v>253</v>
      </c>
      <c r="F499" s="107"/>
      <c r="G499" s="107"/>
    </row>
    <row r="500" spans="1:7">
      <c r="A500" s="107">
        <v>11</v>
      </c>
      <c r="B500" s="107">
        <v>1</v>
      </c>
      <c r="C500" s="107">
        <v>7</v>
      </c>
      <c r="D500" s="107" t="s">
        <v>252</v>
      </c>
      <c r="E500" s="107" t="s">
        <v>253</v>
      </c>
      <c r="F500" s="161">
        <v>45353</v>
      </c>
      <c r="G500" s="107">
        <f>DATEDIF(G$2,F500,"d")</f>
        <v>5</v>
      </c>
    </row>
    <row r="501" spans="1:7">
      <c r="A501" s="107">
        <v>11</v>
      </c>
      <c r="B501" s="107">
        <v>1</v>
      </c>
      <c r="C501" s="107">
        <v>8</v>
      </c>
      <c r="D501" s="107" t="s">
        <v>252</v>
      </c>
      <c r="E501" s="107" t="s">
        <v>253</v>
      </c>
      <c r="F501" s="161">
        <v>45353</v>
      </c>
      <c r="G501" s="107">
        <f>DATEDIF(G$2,F501,"d")</f>
        <v>5</v>
      </c>
    </row>
    <row r="502" spans="1:7">
      <c r="A502" s="107">
        <v>11</v>
      </c>
      <c r="B502" s="107">
        <v>2</v>
      </c>
      <c r="C502" s="107">
        <v>1</v>
      </c>
      <c r="D502" s="107" t="s">
        <v>254</v>
      </c>
      <c r="E502" s="107" t="s">
        <v>255</v>
      </c>
      <c r="F502" s="161">
        <v>45353</v>
      </c>
      <c r="G502" s="107">
        <f>DATEDIF(G$2,F502,"d")</f>
        <v>5</v>
      </c>
    </row>
    <row r="503" spans="1:7">
      <c r="A503" s="107">
        <v>11</v>
      </c>
      <c r="B503" s="107">
        <v>2</v>
      </c>
      <c r="C503" s="107">
        <v>2</v>
      </c>
      <c r="D503" s="107" t="s">
        <v>254</v>
      </c>
      <c r="E503" s="107" t="s">
        <v>255</v>
      </c>
      <c r="F503" s="161">
        <v>45355</v>
      </c>
      <c r="G503" s="107">
        <f>DATEDIF(G$2,F503,"d")</f>
        <v>7</v>
      </c>
    </row>
    <row r="504" spans="1:7">
      <c r="A504" s="107">
        <v>11</v>
      </c>
      <c r="B504" s="107">
        <v>2</v>
      </c>
      <c r="C504" s="107">
        <v>3</v>
      </c>
      <c r="D504" s="107" t="s">
        <v>254</v>
      </c>
      <c r="E504" s="107" t="s">
        <v>255</v>
      </c>
      <c r="F504" s="161">
        <v>45355</v>
      </c>
      <c r="G504" s="107">
        <f>DATEDIF(G$2,F504,"d")</f>
        <v>7</v>
      </c>
    </row>
    <row r="505" spans="1:7">
      <c r="A505" s="107">
        <v>11</v>
      </c>
      <c r="B505" s="107">
        <v>2</v>
      </c>
      <c r="C505" s="107">
        <v>4</v>
      </c>
      <c r="D505" s="107" t="s">
        <v>254</v>
      </c>
      <c r="E505" s="107" t="s">
        <v>255</v>
      </c>
      <c r="F505" s="107"/>
      <c r="G505" s="107"/>
    </row>
    <row r="506" spans="1:7">
      <c r="A506" s="107">
        <v>11</v>
      </c>
      <c r="B506" s="107">
        <v>2</v>
      </c>
      <c r="C506" s="107">
        <v>5</v>
      </c>
      <c r="D506" s="107" t="s">
        <v>254</v>
      </c>
      <c r="E506" s="107" t="s">
        <v>255</v>
      </c>
      <c r="F506" s="161">
        <v>45356</v>
      </c>
      <c r="G506" s="107">
        <f t="shared" ref="G506:G515" si="19">DATEDIF(G$2,F506,"d")</f>
        <v>8</v>
      </c>
    </row>
    <row r="507" spans="1:7">
      <c r="A507" s="107">
        <v>11</v>
      </c>
      <c r="B507" s="107">
        <v>2</v>
      </c>
      <c r="C507" s="107">
        <v>6</v>
      </c>
      <c r="D507" s="107" t="s">
        <v>254</v>
      </c>
      <c r="E507" s="107" t="s">
        <v>255</v>
      </c>
      <c r="F507" s="161">
        <v>45354</v>
      </c>
      <c r="G507" s="107">
        <f t="shared" si="19"/>
        <v>6</v>
      </c>
    </row>
    <row r="508" spans="1:7">
      <c r="A508" s="107">
        <v>11</v>
      </c>
      <c r="B508" s="107">
        <v>2</v>
      </c>
      <c r="C508" s="107">
        <v>7</v>
      </c>
      <c r="D508" s="107" t="s">
        <v>254</v>
      </c>
      <c r="E508" s="107" t="s">
        <v>255</v>
      </c>
      <c r="F508" s="161">
        <v>45355</v>
      </c>
      <c r="G508" s="107">
        <f t="shared" si="19"/>
        <v>7</v>
      </c>
    </row>
    <row r="509" spans="1:7">
      <c r="A509" s="107">
        <v>11</v>
      </c>
      <c r="B509" s="107">
        <v>2</v>
      </c>
      <c r="C509" s="107">
        <v>8</v>
      </c>
      <c r="D509" s="107" t="s">
        <v>254</v>
      </c>
      <c r="E509" s="107" t="s">
        <v>255</v>
      </c>
      <c r="F509" s="161">
        <v>45354</v>
      </c>
      <c r="G509" s="107">
        <f t="shared" si="19"/>
        <v>6</v>
      </c>
    </row>
    <row r="510" spans="1:7">
      <c r="A510" s="107">
        <v>11</v>
      </c>
      <c r="B510" s="107">
        <v>3</v>
      </c>
      <c r="C510" s="107">
        <v>1</v>
      </c>
      <c r="D510" s="107" t="s">
        <v>256</v>
      </c>
      <c r="E510" s="107" t="s">
        <v>257</v>
      </c>
      <c r="F510" s="161">
        <v>45353</v>
      </c>
      <c r="G510" s="107">
        <f t="shared" si="19"/>
        <v>5</v>
      </c>
    </row>
    <row r="511" spans="1:7">
      <c r="A511" s="107">
        <v>11</v>
      </c>
      <c r="B511" s="107">
        <v>3</v>
      </c>
      <c r="C511" s="107">
        <v>2</v>
      </c>
      <c r="D511" s="107" t="s">
        <v>256</v>
      </c>
      <c r="E511" s="107" t="s">
        <v>257</v>
      </c>
      <c r="F511" s="161">
        <v>45353</v>
      </c>
      <c r="G511" s="107">
        <f t="shared" si="19"/>
        <v>5</v>
      </c>
    </row>
    <row r="512" spans="1:7">
      <c r="A512" s="107">
        <v>11</v>
      </c>
      <c r="B512" s="107">
        <v>3</v>
      </c>
      <c r="C512" s="107">
        <v>3</v>
      </c>
      <c r="D512" s="107" t="s">
        <v>256</v>
      </c>
      <c r="E512" s="107" t="s">
        <v>257</v>
      </c>
      <c r="F512" s="161">
        <v>45354</v>
      </c>
      <c r="G512" s="107">
        <f t="shared" si="19"/>
        <v>6</v>
      </c>
    </row>
    <row r="513" spans="1:7">
      <c r="A513" s="107">
        <v>11</v>
      </c>
      <c r="B513" s="107">
        <v>3</v>
      </c>
      <c r="C513" s="107">
        <v>4</v>
      </c>
      <c r="D513" s="107" t="s">
        <v>256</v>
      </c>
      <c r="E513" s="107" t="s">
        <v>257</v>
      </c>
      <c r="F513" s="161">
        <v>45358</v>
      </c>
      <c r="G513" s="107">
        <f t="shared" si="19"/>
        <v>10</v>
      </c>
    </row>
    <row r="514" spans="1:7">
      <c r="A514" s="107">
        <v>11</v>
      </c>
      <c r="B514" s="107">
        <v>3</v>
      </c>
      <c r="C514" s="107">
        <v>5</v>
      </c>
      <c r="D514" s="107" t="s">
        <v>256</v>
      </c>
      <c r="E514" s="107" t="s">
        <v>257</v>
      </c>
      <c r="F514" s="161">
        <v>45358</v>
      </c>
      <c r="G514" s="107">
        <f t="shared" si="19"/>
        <v>10</v>
      </c>
    </row>
    <row r="515" spans="1:7">
      <c r="A515" s="107">
        <v>11</v>
      </c>
      <c r="B515" s="107">
        <v>3</v>
      </c>
      <c r="C515" s="107">
        <v>6</v>
      </c>
      <c r="D515" s="107" t="s">
        <v>256</v>
      </c>
      <c r="E515" s="107" t="s">
        <v>257</v>
      </c>
      <c r="F515" s="161">
        <v>45353</v>
      </c>
      <c r="G515" s="107">
        <f t="shared" si="19"/>
        <v>5</v>
      </c>
    </row>
    <row r="516" spans="1:7">
      <c r="A516" s="107">
        <v>11</v>
      </c>
      <c r="B516" s="107">
        <v>3</v>
      </c>
      <c r="C516" s="107">
        <v>7</v>
      </c>
      <c r="D516" s="107" t="s">
        <v>256</v>
      </c>
      <c r="E516" s="107" t="s">
        <v>257</v>
      </c>
      <c r="F516" s="107"/>
      <c r="G516" s="107"/>
    </row>
    <row r="517" spans="1:7">
      <c r="A517" s="107">
        <v>11</v>
      </c>
      <c r="B517" s="107">
        <v>3</v>
      </c>
      <c r="C517" s="107">
        <v>8</v>
      </c>
      <c r="D517" s="107" t="s">
        <v>256</v>
      </c>
      <c r="E517" s="107" t="s">
        <v>257</v>
      </c>
      <c r="F517" s="161">
        <v>45353</v>
      </c>
      <c r="G517" s="107">
        <f t="shared" ref="G517:G541" si="20">DATEDIF(G$2,F517,"d")</f>
        <v>5</v>
      </c>
    </row>
    <row r="518" spans="1:7">
      <c r="A518" s="107">
        <v>11</v>
      </c>
      <c r="B518" s="107">
        <v>4</v>
      </c>
      <c r="C518" s="107">
        <v>1</v>
      </c>
      <c r="D518" s="107" t="s">
        <v>258</v>
      </c>
      <c r="E518" s="107" t="s">
        <v>259</v>
      </c>
      <c r="F518" s="161">
        <v>45354</v>
      </c>
      <c r="G518" s="107">
        <f t="shared" si="20"/>
        <v>6</v>
      </c>
    </row>
    <row r="519" spans="1:7">
      <c r="A519" s="107">
        <v>11</v>
      </c>
      <c r="B519" s="107">
        <v>4</v>
      </c>
      <c r="C519" s="107">
        <v>2</v>
      </c>
      <c r="D519" s="107" t="s">
        <v>258</v>
      </c>
      <c r="E519" s="107" t="s">
        <v>259</v>
      </c>
      <c r="F519" s="161">
        <v>45353</v>
      </c>
      <c r="G519" s="107">
        <f t="shared" si="20"/>
        <v>5</v>
      </c>
    </row>
    <row r="520" spans="1:7">
      <c r="A520" s="107">
        <v>11</v>
      </c>
      <c r="B520" s="107">
        <v>4</v>
      </c>
      <c r="C520" s="107">
        <v>3</v>
      </c>
      <c r="D520" s="107" t="s">
        <v>258</v>
      </c>
      <c r="E520" s="107" t="s">
        <v>259</v>
      </c>
      <c r="F520" s="161">
        <v>45353</v>
      </c>
      <c r="G520" s="107">
        <f t="shared" si="20"/>
        <v>5</v>
      </c>
    </row>
    <row r="521" spans="1:7">
      <c r="A521" s="107">
        <v>11</v>
      </c>
      <c r="B521" s="107">
        <v>4</v>
      </c>
      <c r="C521" s="107">
        <v>4</v>
      </c>
      <c r="D521" s="107" t="s">
        <v>258</v>
      </c>
      <c r="E521" s="107" t="s">
        <v>259</v>
      </c>
      <c r="F521" s="161">
        <v>45353</v>
      </c>
      <c r="G521" s="107">
        <f t="shared" si="20"/>
        <v>5</v>
      </c>
    </row>
    <row r="522" spans="1:7">
      <c r="A522" s="107">
        <v>11</v>
      </c>
      <c r="B522" s="107">
        <v>4</v>
      </c>
      <c r="C522" s="107">
        <v>5</v>
      </c>
      <c r="D522" s="107" t="s">
        <v>258</v>
      </c>
      <c r="E522" s="107" t="s">
        <v>259</v>
      </c>
      <c r="F522" s="161">
        <v>45353</v>
      </c>
      <c r="G522" s="107">
        <f t="shared" si="20"/>
        <v>5</v>
      </c>
    </row>
    <row r="523" spans="1:7">
      <c r="A523" s="107">
        <v>11</v>
      </c>
      <c r="B523" s="107">
        <v>4</v>
      </c>
      <c r="C523" s="107">
        <v>6</v>
      </c>
      <c r="D523" s="107" t="s">
        <v>258</v>
      </c>
      <c r="E523" s="107" t="s">
        <v>259</v>
      </c>
      <c r="F523" s="161">
        <v>45353</v>
      </c>
      <c r="G523" s="107">
        <f t="shared" si="20"/>
        <v>5</v>
      </c>
    </row>
    <row r="524" spans="1:7">
      <c r="A524" s="107">
        <v>11</v>
      </c>
      <c r="B524" s="107">
        <v>4</v>
      </c>
      <c r="C524" s="107">
        <v>7</v>
      </c>
      <c r="D524" s="107" t="s">
        <v>258</v>
      </c>
      <c r="E524" s="107" t="s">
        <v>259</v>
      </c>
      <c r="F524" s="161">
        <v>45356</v>
      </c>
      <c r="G524" s="107">
        <f t="shared" si="20"/>
        <v>8</v>
      </c>
    </row>
    <row r="525" spans="1:7">
      <c r="A525" s="107">
        <v>11</v>
      </c>
      <c r="B525" s="107">
        <v>4</v>
      </c>
      <c r="C525" s="107">
        <v>8</v>
      </c>
      <c r="D525" s="107" t="s">
        <v>258</v>
      </c>
      <c r="E525" s="107" t="s">
        <v>259</v>
      </c>
      <c r="F525" s="161">
        <v>45355</v>
      </c>
      <c r="G525" s="107">
        <f t="shared" si="20"/>
        <v>7</v>
      </c>
    </row>
    <row r="526" spans="1:7">
      <c r="A526" s="107">
        <v>11</v>
      </c>
      <c r="B526" s="107">
        <v>5</v>
      </c>
      <c r="C526" s="107">
        <v>1</v>
      </c>
      <c r="D526" s="107" t="s">
        <v>260</v>
      </c>
      <c r="E526" s="107" t="s">
        <v>261</v>
      </c>
      <c r="F526" s="161">
        <v>45353</v>
      </c>
      <c r="G526" s="107">
        <f t="shared" si="20"/>
        <v>5</v>
      </c>
    </row>
    <row r="527" spans="1:7">
      <c r="A527" s="107">
        <v>11</v>
      </c>
      <c r="B527" s="107">
        <v>5</v>
      </c>
      <c r="C527" s="107">
        <v>2</v>
      </c>
      <c r="D527" s="107" t="s">
        <v>260</v>
      </c>
      <c r="E527" s="107" t="s">
        <v>261</v>
      </c>
      <c r="F527" s="161">
        <v>45354</v>
      </c>
      <c r="G527" s="107">
        <f t="shared" si="20"/>
        <v>6</v>
      </c>
    </row>
    <row r="528" spans="1:7">
      <c r="A528" s="107">
        <v>11</v>
      </c>
      <c r="B528" s="107">
        <v>5</v>
      </c>
      <c r="C528" s="107">
        <v>3</v>
      </c>
      <c r="D528" s="107" t="s">
        <v>260</v>
      </c>
      <c r="E528" s="107" t="s">
        <v>261</v>
      </c>
      <c r="F528" s="161">
        <v>45354</v>
      </c>
      <c r="G528" s="107">
        <f t="shared" si="20"/>
        <v>6</v>
      </c>
    </row>
    <row r="529" spans="1:7">
      <c r="A529" s="107">
        <v>11</v>
      </c>
      <c r="B529" s="107">
        <v>5</v>
      </c>
      <c r="C529" s="107">
        <v>4</v>
      </c>
      <c r="D529" s="107" t="s">
        <v>260</v>
      </c>
      <c r="E529" s="107" t="s">
        <v>261</v>
      </c>
      <c r="F529" s="161">
        <v>45354</v>
      </c>
      <c r="G529" s="107">
        <f t="shared" si="20"/>
        <v>6</v>
      </c>
    </row>
    <row r="530" spans="1:7">
      <c r="A530" s="107">
        <v>11</v>
      </c>
      <c r="B530" s="107">
        <v>5</v>
      </c>
      <c r="C530" s="107">
        <v>5</v>
      </c>
      <c r="D530" s="107" t="s">
        <v>260</v>
      </c>
      <c r="E530" s="107" t="s">
        <v>261</v>
      </c>
      <c r="F530" s="161">
        <v>45353</v>
      </c>
      <c r="G530" s="107">
        <f t="shared" si="20"/>
        <v>5</v>
      </c>
    </row>
    <row r="531" spans="1:7">
      <c r="A531" s="107">
        <v>11</v>
      </c>
      <c r="B531" s="107">
        <v>5</v>
      </c>
      <c r="C531" s="107">
        <v>6</v>
      </c>
      <c r="D531" s="107" t="s">
        <v>260</v>
      </c>
      <c r="E531" s="107" t="s">
        <v>261</v>
      </c>
      <c r="F531" s="161">
        <v>45356</v>
      </c>
      <c r="G531" s="107">
        <f t="shared" si="20"/>
        <v>8</v>
      </c>
    </row>
    <row r="532" spans="1:7">
      <c r="A532" s="107">
        <v>11</v>
      </c>
      <c r="B532" s="107">
        <v>5</v>
      </c>
      <c r="C532" s="107">
        <v>7</v>
      </c>
      <c r="D532" s="107" t="s">
        <v>260</v>
      </c>
      <c r="E532" s="107" t="s">
        <v>261</v>
      </c>
      <c r="F532" s="161">
        <v>45354</v>
      </c>
      <c r="G532" s="107">
        <f t="shared" si="20"/>
        <v>6</v>
      </c>
    </row>
    <row r="533" spans="1:7">
      <c r="A533" s="107">
        <v>11</v>
      </c>
      <c r="B533" s="107">
        <v>5</v>
      </c>
      <c r="C533" s="107">
        <v>8</v>
      </c>
      <c r="D533" s="107" t="s">
        <v>260</v>
      </c>
      <c r="E533" s="107" t="s">
        <v>261</v>
      </c>
      <c r="F533" s="161">
        <v>45354</v>
      </c>
      <c r="G533" s="107">
        <f t="shared" si="20"/>
        <v>6</v>
      </c>
    </row>
    <row r="534" spans="1:7">
      <c r="A534" s="107">
        <v>11</v>
      </c>
      <c r="B534" s="107">
        <v>6</v>
      </c>
      <c r="C534" s="107">
        <v>1</v>
      </c>
      <c r="D534" s="107" t="s">
        <v>262</v>
      </c>
      <c r="E534" s="107" t="s">
        <v>263</v>
      </c>
      <c r="F534" s="161">
        <v>45353</v>
      </c>
      <c r="G534" s="107">
        <f t="shared" si="20"/>
        <v>5</v>
      </c>
    </row>
    <row r="535" spans="1:7">
      <c r="A535" s="107">
        <v>11</v>
      </c>
      <c r="B535" s="107">
        <v>6</v>
      </c>
      <c r="C535" s="107">
        <v>2</v>
      </c>
      <c r="D535" s="107" t="s">
        <v>262</v>
      </c>
      <c r="E535" s="107" t="s">
        <v>263</v>
      </c>
      <c r="F535" s="161">
        <v>45353</v>
      </c>
      <c r="G535" s="107">
        <f t="shared" si="20"/>
        <v>5</v>
      </c>
    </row>
    <row r="536" spans="1:7">
      <c r="A536" s="107">
        <v>11</v>
      </c>
      <c r="B536" s="107">
        <v>6</v>
      </c>
      <c r="C536" s="107">
        <v>3</v>
      </c>
      <c r="D536" s="107" t="s">
        <v>262</v>
      </c>
      <c r="E536" s="107" t="s">
        <v>263</v>
      </c>
      <c r="F536" s="161">
        <v>45354</v>
      </c>
      <c r="G536" s="107">
        <f t="shared" si="20"/>
        <v>6</v>
      </c>
    </row>
    <row r="537" spans="1:7">
      <c r="A537" s="107">
        <v>11</v>
      </c>
      <c r="B537" s="107">
        <v>6</v>
      </c>
      <c r="C537" s="107">
        <v>4</v>
      </c>
      <c r="D537" s="107" t="s">
        <v>262</v>
      </c>
      <c r="E537" s="107" t="s">
        <v>263</v>
      </c>
      <c r="F537" s="161">
        <v>45353</v>
      </c>
      <c r="G537" s="107">
        <f t="shared" si="20"/>
        <v>5</v>
      </c>
    </row>
    <row r="538" spans="1:7">
      <c r="A538" s="107">
        <v>11</v>
      </c>
      <c r="B538" s="107">
        <v>6</v>
      </c>
      <c r="C538" s="107">
        <v>5</v>
      </c>
      <c r="D538" s="107" t="s">
        <v>262</v>
      </c>
      <c r="E538" s="107" t="s">
        <v>263</v>
      </c>
      <c r="F538" s="161">
        <v>45353</v>
      </c>
      <c r="G538" s="107">
        <f t="shared" si="20"/>
        <v>5</v>
      </c>
    </row>
    <row r="539" spans="1:7">
      <c r="A539" s="107">
        <v>11</v>
      </c>
      <c r="B539" s="107">
        <v>6</v>
      </c>
      <c r="C539" s="107">
        <v>6</v>
      </c>
      <c r="D539" s="107" t="s">
        <v>262</v>
      </c>
      <c r="E539" s="107" t="s">
        <v>263</v>
      </c>
      <c r="F539" s="161">
        <v>45356</v>
      </c>
      <c r="G539" s="107">
        <f t="shared" si="20"/>
        <v>8</v>
      </c>
    </row>
    <row r="540" spans="1:7">
      <c r="A540" s="107">
        <v>11</v>
      </c>
      <c r="B540" s="107">
        <v>6</v>
      </c>
      <c r="C540" s="107">
        <v>7</v>
      </c>
      <c r="D540" s="107" t="s">
        <v>262</v>
      </c>
      <c r="E540" s="107" t="s">
        <v>263</v>
      </c>
      <c r="F540" s="161">
        <v>45353</v>
      </c>
      <c r="G540" s="107">
        <f t="shared" si="20"/>
        <v>5</v>
      </c>
    </row>
    <row r="541" spans="1:7">
      <c r="A541" s="107">
        <v>11</v>
      </c>
      <c r="B541" s="107">
        <v>6</v>
      </c>
      <c r="C541" s="107">
        <v>8</v>
      </c>
      <c r="D541" s="107" t="s">
        <v>262</v>
      </c>
      <c r="E541" s="107" t="s">
        <v>263</v>
      </c>
      <c r="F541" s="161">
        <v>45354</v>
      </c>
      <c r="G541" s="107">
        <f t="shared" si="20"/>
        <v>6</v>
      </c>
    </row>
    <row r="542" spans="1:7">
      <c r="D542" s="139"/>
      <c r="E542" s="139"/>
      <c r="F542" s="139"/>
      <c r="G542" s="139"/>
    </row>
    <row r="543" spans="1:7">
      <c r="A543" s="107">
        <v>12</v>
      </c>
      <c r="B543" s="107">
        <v>1</v>
      </c>
      <c r="C543" s="107">
        <v>1</v>
      </c>
      <c r="D543" s="107" t="s">
        <v>264</v>
      </c>
      <c r="E543" s="107" t="s">
        <v>265</v>
      </c>
      <c r="F543" s="161">
        <v>45353</v>
      </c>
      <c r="G543" s="107">
        <f t="shared" ref="G543:G552" si="21">DATEDIF(G$2,F543,"d")</f>
        <v>5</v>
      </c>
    </row>
    <row r="544" spans="1:7">
      <c r="A544" s="107">
        <v>12</v>
      </c>
      <c r="B544" s="107">
        <v>1</v>
      </c>
      <c r="C544" s="107">
        <v>2</v>
      </c>
      <c r="D544" s="107" t="s">
        <v>264</v>
      </c>
      <c r="E544" s="107" t="s">
        <v>265</v>
      </c>
      <c r="F544" s="161">
        <v>45353</v>
      </c>
      <c r="G544" s="107">
        <f t="shared" si="21"/>
        <v>5</v>
      </c>
    </row>
    <row r="545" spans="1:7">
      <c r="A545" s="107">
        <v>12</v>
      </c>
      <c r="B545" s="107">
        <v>1</v>
      </c>
      <c r="C545" s="107">
        <v>3</v>
      </c>
      <c r="D545" s="107" t="s">
        <v>264</v>
      </c>
      <c r="E545" s="107" t="s">
        <v>265</v>
      </c>
      <c r="F545" s="161">
        <v>45354</v>
      </c>
      <c r="G545" s="107">
        <f t="shared" si="21"/>
        <v>6</v>
      </c>
    </row>
    <row r="546" spans="1:7">
      <c r="A546" s="107">
        <v>12</v>
      </c>
      <c r="B546" s="107">
        <v>1</v>
      </c>
      <c r="C546" s="107">
        <v>4</v>
      </c>
      <c r="D546" s="107" t="s">
        <v>264</v>
      </c>
      <c r="E546" s="107" t="s">
        <v>265</v>
      </c>
      <c r="F546" s="161">
        <v>45353</v>
      </c>
      <c r="G546" s="107">
        <f t="shared" si="21"/>
        <v>5</v>
      </c>
    </row>
    <row r="547" spans="1:7">
      <c r="A547" s="107">
        <v>12</v>
      </c>
      <c r="B547" s="107">
        <v>1</v>
      </c>
      <c r="C547" s="107">
        <v>5</v>
      </c>
      <c r="D547" s="107" t="s">
        <v>264</v>
      </c>
      <c r="E547" s="107" t="s">
        <v>265</v>
      </c>
      <c r="F547" s="161">
        <v>45353</v>
      </c>
      <c r="G547" s="107">
        <f t="shared" si="21"/>
        <v>5</v>
      </c>
    </row>
    <row r="548" spans="1:7">
      <c r="A548" s="107">
        <v>12</v>
      </c>
      <c r="B548" s="107">
        <v>1</v>
      </c>
      <c r="C548" s="107">
        <v>6</v>
      </c>
      <c r="D548" s="107" t="s">
        <v>264</v>
      </c>
      <c r="E548" s="107" t="s">
        <v>265</v>
      </c>
      <c r="F548" s="161">
        <v>45353</v>
      </c>
      <c r="G548" s="107">
        <f t="shared" si="21"/>
        <v>5</v>
      </c>
    </row>
    <row r="549" spans="1:7">
      <c r="A549" s="107">
        <v>12</v>
      </c>
      <c r="B549" s="107">
        <v>1</v>
      </c>
      <c r="C549" s="107">
        <v>7</v>
      </c>
      <c r="D549" s="107" t="s">
        <v>264</v>
      </c>
      <c r="E549" s="107" t="s">
        <v>265</v>
      </c>
      <c r="F549" s="161">
        <v>45353</v>
      </c>
      <c r="G549" s="107">
        <f t="shared" si="21"/>
        <v>5</v>
      </c>
    </row>
    <row r="550" spans="1:7">
      <c r="A550" s="107">
        <v>12</v>
      </c>
      <c r="B550" s="107">
        <v>1</v>
      </c>
      <c r="C550" s="107">
        <v>8</v>
      </c>
      <c r="D550" s="107" t="s">
        <v>264</v>
      </c>
      <c r="E550" s="107" t="s">
        <v>265</v>
      </c>
      <c r="F550" s="161">
        <v>45353</v>
      </c>
      <c r="G550" s="107">
        <f t="shared" si="21"/>
        <v>5</v>
      </c>
    </row>
    <row r="551" spans="1:7">
      <c r="A551" s="107">
        <v>12</v>
      </c>
      <c r="B551" s="107">
        <v>2</v>
      </c>
      <c r="C551" s="107">
        <v>1</v>
      </c>
      <c r="D551" s="107" t="s">
        <v>266</v>
      </c>
      <c r="E551" s="107" t="s">
        <v>267</v>
      </c>
      <c r="F551" s="161">
        <v>45354</v>
      </c>
      <c r="G551" s="107">
        <f t="shared" si="21"/>
        <v>6</v>
      </c>
    </row>
    <row r="552" spans="1:7">
      <c r="A552" s="107">
        <v>12</v>
      </c>
      <c r="B552" s="107">
        <v>2</v>
      </c>
      <c r="C552" s="107">
        <v>2</v>
      </c>
      <c r="D552" s="107" t="s">
        <v>266</v>
      </c>
      <c r="E552" s="107" t="s">
        <v>267</v>
      </c>
      <c r="F552" s="161">
        <v>45361</v>
      </c>
      <c r="G552" s="107">
        <f t="shared" si="21"/>
        <v>13</v>
      </c>
    </row>
    <row r="553" spans="1:7">
      <c r="A553" s="107">
        <v>12</v>
      </c>
      <c r="B553" s="107">
        <v>2</v>
      </c>
      <c r="C553" s="107">
        <v>3</v>
      </c>
      <c r="D553" s="107" t="s">
        <v>266</v>
      </c>
      <c r="E553" s="107" t="s">
        <v>267</v>
      </c>
      <c r="F553" s="107"/>
      <c r="G553" s="107"/>
    </row>
    <row r="554" spans="1:7">
      <c r="A554" s="107">
        <v>12</v>
      </c>
      <c r="B554" s="107">
        <v>2</v>
      </c>
      <c r="C554" s="107">
        <v>4</v>
      </c>
      <c r="D554" s="107" t="s">
        <v>266</v>
      </c>
      <c r="E554" s="107" t="s">
        <v>267</v>
      </c>
      <c r="F554" s="161">
        <v>45361</v>
      </c>
      <c r="G554" s="107">
        <f>DATEDIF(G$2,F554,"d")</f>
        <v>13</v>
      </c>
    </row>
    <row r="555" spans="1:7">
      <c r="A555" s="107">
        <v>12</v>
      </c>
      <c r="B555" s="107">
        <v>2</v>
      </c>
      <c r="C555" s="107">
        <v>5</v>
      </c>
      <c r="D555" s="107" t="s">
        <v>266</v>
      </c>
      <c r="E555" s="107" t="s">
        <v>267</v>
      </c>
      <c r="F555" s="107"/>
      <c r="G555" s="107"/>
    </row>
    <row r="556" spans="1:7">
      <c r="A556" s="107">
        <v>12</v>
      </c>
      <c r="B556" s="107">
        <v>2</v>
      </c>
      <c r="C556" s="107">
        <v>6</v>
      </c>
      <c r="D556" s="107" t="s">
        <v>266</v>
      </c>
      <c r="E556" s="107" t="s">
        <v>267</v>
      </c>
      <c r="F556" s="161">
        <v>45357</v>
      </c>
      <c r="G556" s="107">
        <f t="shared" ref="G556:G558" si="22">DATEDIF(G$2,F556,"d")</f>
        <v>9</v>
      </c>
    </row>
    <row r="557" spans="1:7">
      <c r="A557" s="107">
        <v>12</v>
      </c>
      <c r="B557" s="107">
        <v>2</v>
      </c>
      <c r="C557" s="107">
        <v>7</v>
      </c>
      <c r="D557" s="107" t="s">
        <v>266</v>
      </c>
      <c r="E557" s="107" t="s">
        <v>267</v>
      </c>
      <c r="F557" s="161">
        <v>45356</v>
      </c>
      <c r="G557" s="107">
        <f t="shared" si="22"/>
        <v>8</v>
      </c>
    </row>
    <row r="558" spans="1:7">
      <c r="A558" s="107">
        <v>12</v>
      </c>
      <c r="B558" s="107">
        <v>2</v>
      </c>
      <c r="C558" s="107">
        <v>8</v>
      </c>
      <c r="D558" s="107" t="s">
        <v>266</v>
      </c>
      <c r="E558" s="107" t="s">
        <v>267</v>
      </c>
      <c r="F558" s="100">
        <v>45357</v>
      </c>
      <c r="G558" s="107">
        <f t="shared" si="22"/>
        <v>9</v>
      </c>
    </row>
    <row r="559" spans="1:7">
      <c r="A559" s="107">
        <v>12</v>
      </c>
      <c r="B559" s="107">
        <v>3</v>
      </c>
      <c r="C559" s="107">
        <v>1</v>
      </c>
      <c r="D559" s="107" t="s">
        <v>268</v>
      </c>
      <c r="E559" s="107" t="s">
        <v>161</v>
      </c>
      <c r="F559" s="161">
        <v>45353</v>
      </c>
      <c r="G559" s="107">
        <f t="shared" ref="G559:G587" si="23">DATEDIF(G$2,F559,"d")</f>
        <v>5</v>
      </c>
    </row>
    <row r="560" spans="1:7">
      <c r="A560" s="107">
        <v>12</v>
      </c>
      <c r="B560" s="107">
        <v>3</v>
      </c>
      <c r="C560" s="107">
        <v>2</v>
      </c>
      <c r="D560" s="107" t="s">
        <v>268</v>
      </c>
      <c r="E560" s="107" t="s">
        <v>161</v>
      </c>
      <c r="F560" s="161">
        <v>45353</v>
      </c>
      <c r="G560" s="107">
        <f t="shared" si="23"/>
        <v>5</v>
      </c>
    </row>
    <row r="561" spans="1:7">
      <c r="A561" s="107">
        <v>12</v>
      </c>
      <c r="B561" s="107">
        <v>3</v>
      </c>
      <c r="C561" s="107">
        <v>3</v>
      </c>
      <c r="D561" s="107" t="s">
        <v>268</v>
      </c>
      <c r="E561" s="107" t="s">
        <v>161</v>
      </c>
      <c r="F561" s="161">
        <v>45353</v>
      </c>
      <c r="G561" s="107">
        <f t="shared" si="23"/>
        <v>5</v>
      </c>
    </row>
    <row r="562" spans="1:7">
      <c r="A562" s="107">
        <v>12</v>
      </c>
      <c r="B562" s="107">
        <v>3</v>
      </c>
      <c r="C562" s="107">
        <v>4</v>
      </c>
      <c r="D562" s="107" t="s">
        <v>268</v>
      </c>
      <c r="E562" s="107" t="s">
        <v>161</v>
      </c>
      <c r="F562" s="161">
        <v>45353</v>
      </c>
      <c r="G562" s="107">
        <f t="shared" si="23"/>
        <v>5</v>
      </c>
    </row>
    <row r="563" spans="1:7">
      <c r="A563" s="107">
        <v>12</v>
      </c>
      <c r="B563" s="107">
        <v>3</v>
      </c>
      <c r="C563" s="107">
        <v>5</v>
      </c>
      <c r="D563" s="107" t="s">
        <v>268</v>
      </c>
      <c r="E563" s="107" t="s">
        <v>161</v>
      </c>
      <c r="F563" s="161">
        <v>45353</v>
      </c>
      <c r="G563" s="107">
        <f t="shared" si="23"/>
        <v>5</v>
      </c>
    </row>
    <row r="564" spans="1:7">
      <c r="A564" s="107">
        <v>12</v>
      </c>
      <c r="B564" s="107">
        <v>3</v>
      </c>
      <c r="C564" s="107">
        <v>6</v>
      </c>
      <c r="D564" s="107" t="s">
        <v>268</v>
      </c>
      <c r="E564" s="107" t="s">
        <v>161</v>
      </c>
      <c r="F564" s="161">
        <v>45352</v>
      </c>
      <c r="G564" s="107">
        <f t="shared" si="23"/>
        <v>4</v>
      </c>
    </row>
    <row r="565" spans="1:7">
      <c r="A565" s="107">
        <v>12</v>
      </c>
      <c r="B565" s="107">
        <v>3</v>
      </c>
      <c r="C565" s="107">
        <v>7</v>
      </c>
      <c r="D565" s="107" t="s">
        <v>268</v>
      </c>
      <c r="E565" s="107" t="s">
        <v>161</v>
      </c>
      <c r="F565" s="161">
        <v>45353</v>
      </c>
      <c r="G565" s="107">
        <f t="shared" si="23"/>
        <v>5</v>
      </c>
    </row>
    <row r="566" spans="1:7">
      <c r="A566" s="107">
        <v>12</v>
      </c>
      <c r="B566" s="107">
        <v>3</v>
      </c>
      <c r="C566" s="107">
        <v>8</v>
      </c>
      <c r="D566" s="107" t="s">
        <v>268</v>
      </c>
      <c r="E566" s="107" t="s">
        <v>161</v>
      </c>
      <c r="F566" s="161">
        <v>45352</v>
      </c>
      <c r="G566" s="107">
        <f t="shared" si="23"/>
        <v>4</v>
      </c>
    </row>
    <row r="567" spans="1:7">
      <c r="A567" s="107">
        <v>12</v>
      </c>
      <c r="B567" s="107">
        <v>4</v>
      </c>
      <c r="C567" s="107">
        <v>1</v>
      </c>
      <c r="D567" s="107" t="s">
        <v>269</v>
      </c>
      <c r="E567" s="107" t="s">
        <v>187</v>
      </c>
      <c r="F567" s="161">
        <v>45353</v>
      </c>
      <c r="G567" s="107">
        <f t="shared" si="23"/>
        <v>5</v>
      </c>
    </row>
    <row r="568" spans="1:7">
      <c r="A568" s="107">
        <v>12</v>
      </c>
      <c r="B568" s="107">
        <v>4</v>
      </c>
      <c r="C568" s="107">
        <v>2</v>
      </c>
      <c r="D568" s="107" t="s">
        <v>269</v>
      </c>
      <c r="E568" s="107" t="s">
        <v>187</v>
      </c>
      <c r="F568" s="161">
        <v>45353</v>
      </c>
      <c r="G568" s="107">
        <f t="shared" si="23"/>
        <v>5</v>
      </c>
    </row>
    <row r="569" spans="1:7">
      <c r="A569" s="107">
        <v>12</v>
      </c>
      <c r="B569" s="107">
        <v>4</v>
      </c>
      <c r="C569" s="107">
        <v>3</v>
      </c>
      <c r="D569" s="107" t="s">
        <v>269</v>
      </c>
      <c r="E569" s="107" t="s">
        <v>187</v>
      </c>
      <c r="F569" s="161">
        <v>45353</v>
      </c>
      <c r="G569" s="107">
        <f t="shared" si="23"/>
        <v>5</v>
      </c>
    </row>
    <row r="570" spans="1:7">
      <c r="A570" s="107">
        <v>12</v>
      </c>
      <c r="B570" s="107">
        <v>4</v>
      </c>
      <c r="C570" s="107">
        <v>4</v>
      </c>
      <c r="D570" s="107" t="s">
        <v>269</v>
      </c>
      <c r="E570" s="107" t="s">
        <v>187</v>
      </c>
      <c r="F570" s="161">
        <v>45353</v>
      </c>
      <c r="G570" s="107">
        <f t="shared" si="23"/>
        <v>5</v>
      </c>
    </row>
    <row r="571" spans="1:7">
      <c r="A571" s="107">
        <v>12</v>
      </c>
      <c r="B571" s="107">
        <v>4</v>
      </c>
      <c r="C571" s="107">
        <v>5</v>
      </c>
      <c r="D571" s="107" t="s">
        <v>269</v>
      </c>
      <c r="E571" s="107" t="s">
        <v>187</v>
      </c>
      <c r="F571" s="161">
        <v>45353</v>
      </c>
      <c r="G571" s="107">
        <f t="shared" si="23"/>
        <v>5</v>
      </c>
    </row>
    <row r="572" spans="1:7">
      <c r="A572" s="107">
        <v>12</v>
      </c>
      <c r="B572" s="107">
        <v>4</v>
      </c>
      <c r="C572" s="107">
        <v>6</v>
      </c>
      <c r="D572" s="107" t="s">
        <v>269</v>
      </c>
      <c r="E572" s="107" t="s">
        <v>187</v>
      </c>
      <c r="F572" s="161">
        <v>45353</v>
      </c>
      <c r="G572" s="107">
        <f t="shared" si="23"/>
        <v>5</v>
      </c>
    </row>
    <row r="573" spans="1:7">
      <c r="A573" s="107">
        <v>12</v>
      </c>
      <c r="B573" s="107">
        <v>4</v>
      </c>
      <c r="C573" s="107">
        <v>7</v>
      </c>
      <c r="D573" s="107" t="s">
        <v>269</v>
      </c>
      <c r="E573" s="107" t="s">
        <v>187</v>
      </c>
      <c r="F573" s="161">
        <v>45353</v>
      </c>
      <c r="G573" s="107">
        <f t="shared" si="23"/>
        <v>5</v>
      </c>
    </row>
    <row r="574" spans="1:7">
      <c r="A574" s="107">
        <v>12</v>
      </c>
      <c r="B574" s="107">
        <v>4</v>
      </c>
      <c r="C574" s="107">
        <v>8</v>
      </c>
      <c r="D574" s="107" t="s">
        <v>269</v>
      </c>
      <c r="E574" s="107" t="s">
        <v>187</v>
      </c>
      <c r="F574" s="161">
        <v>45353</v>
      </c>
      <c r="G574" s="107">
        <f t="shared" si="23"/>
        <v>5</v>
      </c>
    </row>
    <row r="575" spans="1:7">
      <c r="A575" s="107">
        <v>12</v>
      </c>
      <c r="B575" s="107">
        <v>5</v>
      </c>
      <c r="C575" s="107">
        <v>1</v>
      </c>
      <c r="D575" s="107" t="s">
        <v>270</v>
      </c>
      <c r="E575" s="107" t="s">
        <v>163</v>
      </c>
      <c r="F575" s="161">
        <v>45353</v>
      </c>
      <c r="G575" s="107">
        <f t="shared" si="23"/>
        <v>5</v>
      </c>
    </row>
    <row r="576" spans="1:7">
      <c r="A576" s="107">
        <v>12</v>
      </c>
      <c r="B576" s="107">
        <v>5</v>
      </c>
      <c r="C576" s="107">
        <v>2</v>
      </c>
      <c r="D576" s="107" t="s">
        <v>270</v>
      </c>
      <c r="E576" s="107" t="s">
        <v>163</v>
      </c>
      <c r="F576" s="161">
        <v>45353</v>
      </c>
      <c r="G576" s="107">
        <f t="shared" si="23"/>
        <v>5</v>
      </c>
    </row>
    <row r="577" spans="1:7">
      <c r="A577" s="107">
        <v>12</v>
      </c>
      <c r="B577" s="107">
        <v>5</v>
      </c>
      <c r="C577" s="107">
        <v>3</v>
      </c>
      <c r="D577" s="107" t="s">
        <v>270</v>
      </c>
      <c r="E577" s="107" t="s">
        <v>163</v>
      </c>
      <c r="F577" s="161">
        <v>45353</v>
      </c>
      <c r="G577" s="107">
        <f t="shared" si="23"/>
        <v>5</v>
      </c>
    </row>
    <row r="578" spans="1:7">
      <c r="A578" s="107">
        <v>12</v>
      </c>
      <c r="B578" s="107">
        <v>5</v>
      </c>
      <c r="C578" s="107">
        <v>4</v>
      </c>
      <c r="D578" s="107" t="s">
        <v>270</v>
      </c>
      <c r="E578" s="107" t="s">
        <v>163</v>
      </c>
      <c r="F578" s="161">
        <v>45353</v>
      </c>
      <c r="G578" s="107">
        <f t="shared" si="23"/>
        <v>5</v>
      </c>
    </row>
    <row r="579" spans="1:7">
      <c r="A579" s="107">
        <v>12</v>
      </c>
      <c r="B579" s="107">
        <v>5</v>
      </c>
      <c r="C579" s="107">
        <v>5</v>
      </c>
      <c r="D579" s="107" t="s">
        <v>270</v>
      </c>
      <c r="E579" s="107" t="s">
        <v>163</v>
      </c>
      <c r="F579" s="161">
        <v>45353</v>
      </c>
      <c r="G579" s="107">
        <f t="shared" si="23"/>
        <v>5</v>
      </c>
    </row>
    <row r="580" spans="1:7">
      <c r="A580" s="107">
        <v>12</v>
      </c>
      <c r="B580" s="107">
        <v>5</v>
      </c>
      <c r="C580" s="107">
        <v>6</v>
      </c>
      <c r="D580" s="107" t="s">
        <v>270</v>
      </c>
      <c r="E580" s="107" t="s">
        <v>163</v>
      </c>
      <c r="F580" s="161">
        <v>45353</v>
      </c>
      <c r="G580" s="107">
        <f t="shared" si="23"/>
        <v>5</v>
      </c>
    </row>
    <row r="581" spans="1:7">
      <c r="A581" s="107">
        <v>12</v>
      </c>
      <c r="B581" s="107">
        <v>5</v>
      </c>
      <c r="C581" s="107">
        <v>7</v>
      </c>
      <c r="D581" s="107" t="s">
        <v>270</v>
      </c>
      <c r="E581" s="107" t="s">
        <v>163</v>
      </c>
      <c r="F581" s="161">
        <v>45353</v>
      </c>
      <c r="G581" s="107">
        <f t="shared" si="23"/>
        <v>5</v>
      </c>
    </row>
    <row r="582" spans="1:7">
      <c r="A582" s="107">
        <v>12</v>
      </c>
      <c r="B582" s="107">
        <v>5</v>
      </c>
      <c r="C582" s="107">
        <v>8</v>
      </c>
      <c r="D582" s="107" t="s">
        <v>270</v>
      </c>
      <c r="E582" s="107" t="s">
        <v>163</v>
      </c>
      <c r="F582" s="161">
        <v>45360</v>
      </c>
      <c r="G582" s="107">
        <f t="shared" si="23"/>
        <v>12</v>
      </c>
    </row>
    <row r="583" spans="1:7">
      <c r="A583" s="107">
        <v>12</v>
      </c>
      <c r="B583" s="107">
        <v>6</v>
      </c>
      <c r="C583" s="107">
        <v>1</v>
      </c>
      <c r="D583" s="107" t="s">
        <v>271</v>
      </c>
      <c r="E583" s="107" t="s">
        <v>272</v>
      </c>
      <c r="F583" s="161">
        <v>45353</v>
      </c>
      <c r="G583" s="107">
        <f t="shared" si="23"/>
        <v>5</v>
      </c>
    </row>
    <row r="584" spans="1:7">
      <c r="A584" s="107">
        <v>12</v>
      </c>
      <c r="B584" s="107">
        <v>6</v>
      </c>
      <c r="C584" s="107">
        <v>2</v>
      </c>
      <c r="D584" s="107" t="s">
        <v>271</v>
      </c>
      <c r="E584" s="107" t="s">
        <v>272</v>
      </c>
      <c r="F584" s="161">
        <v>45353</v>
      </c>
      <c r="G584" s="107">
        <f t="shared" si="23"/>
        <v>5</v>
      </c>
    </row>
    <row r="585" spans="1:7">
      <c r="A585" s="107">
        <v>12</v>
      </c>
      <c r="B585" s="107">
        <v>6</v>
      </c>
      <c r="C585" s="107">
        <v>3</v>
      </c>
      <c r="D585" s="107" t="s">
        <v>271</v>
      </c>
      <c r="E585" s="107" t="s">
        <v>272</v>
      </c>
      <c r="F585" s="161">
        <v>45353</v>
      </c>
      <c r="G585" s="107">
        <f t="shared" si="23"/>
        <v>5</v>
      </c>
    </row>
    <row r="586" spans="1:7">
      <c r="A586" s="107">
        <v>12</v>
      </c>
      <c r="B586" s="107">
        <v>6</v>
      </c>
      <c r="C586" s="107">
        <v>4</v>
      </c>
      <c r="D586" s="107" t="s">
        <v>271</v>
      </c>
      <c r="E586" s="107" t="s">
        <v>272</v>
      </c>
      <c r="F586" s="161">
        <v>45353</v>
      </c>
      <c r="G586" s="107">
        <f t="shared" si="23"/>
        <v>5</v>
      </c>
    </row>
    <row r="587" spans="1:7">
      <c r="A587" s="107">
        <v>12</v>
      </c>
      <c r="B587" s="107">
        <v>6</v>
      </c>
      <c r="C587" s="107">
        <v>5</v>
      </c>
      <c r="D587" s="107" t="s">
        <v>271</v>
      </c>
      <c r="E587" s="107" t="s">
        <v>272</v>
      </c>
      <c r="F587" s="161">
        <v>45352</v>
      </c>
      <c r="G587" s="107">
        <f t="shared" si="23"/>
        <v>4</v>
      </c>
    </row>
    <row r="588" spans="1:7">
      <c r="A588" s="107">
        <v>12</v>
      </c>
      <c r="B588" s="107">
        <v>6</v>
      </c>
      <c r="C588" s="107">
        <v>6</v>
      </c>
      <c r="D588" s="107" t="s">
        <v>271</v>
      </c>
      <c r="E588" s="107" t="s">
        <v>272</v>
      </c>
      <c r="F588" s="107"/>
      <c r="G588" s="107"/>
    </row>
    <row r="589" spans="1:7">
      <c r="A589" s="107">
        <v>12</v>
      </c>
      <c r="B589" s="107">
        <v>6</v>
      </c>
      <c r="C589" s="107">
        <v>7</v>
      </c>
      <c r="D589" s="107" t="s">
        <v>271</v>
      </c>
      <c r="E589" s="107" t="s">
        <v>272</v>
      </c>
      <c r="F589" s="161">
        <v>45353</v>
      </c>
      <c r="G589" s="107">
        <f>DATEDIF(G$2,F589,"d")</f>
        <v>5</v>
      </c>
    </row>
    <row r="590" spans="1:7">
      <c r="A590" s="107">
        <v>12</v>
      </c>
      <c r="B590" s="107">
        <v>6</v>
      </c>
      <c r="C590" s="107">
        <v>8</v>
      </c>
      <c r="D590" s="107" t="s">
        <v>271</v>
      </c>
      <c r="E590" s="107" t="s">
        <v>272</v>
      </c>
      <c r="F590" s="161">
        <v>45353</v>
      </c>
      <c r="G590" s="107">
        <f>DATEDIF(G$2,F590,"d")</f>
        <v>5</v>
      </c>
    </row>
    <row r="591" spans="1:7">
      <c r="D591" s="139"/>
      <c r="E591" s="139"/>
      <c r="F591" s="139"/>
      <c r="G591" s="139"/>
    </row>
    <row r="592" spans="1:7">
      <c r="A592" s="107">
        <v>13</v>
      </c>
      <c r="B592" s="107">
        <v>1</v>
      </c>
      <c r="C592" s="107">
        <v>1</v>
      </c>
      <c r="D592" s="170" t="s">
        <v>273</v>
      </c>
      <c r="E592" s="170" t="s">
        <v>274</v>
      </c>
      <c r="G592" s="170"/>
    </row>
    <row r="593" spans="1:7">
      <c r="A593" s="107">
        <v>13</v>
      </c>
      <c r="B593" s="107">
        <v>1</v>
      </c>
      <c r="C593" s="107">
        <v>2</v>
      </c>
      <c r="D593" s="107" t="s">
        <v>273</v>
      </c>
      <c r="E593" s="107" t="s">
        <v>274</v>
      </c>
      <c r="F593" s="107"/>
      <c r="G593" s="107"/>
    </row>
    <row r="594" spans="1:7">
      <c r="A594" s="107">
        <v>13</v>
      </c>
      <c r="B594" s="107">
        <v>1</v>
      </c>
      <c r="C594" s="107">
        <v>3</v>
      </c>
      <c r="D594" s="107" t="s">
        <v>273</v>
      </c>
      <c r="E594" s="107" t="s">
        <v>274</v>
      </c>
      <c r="F594" s="161">
        <v>45353</v>
      </c>
      <c r="G594" s="107">
        <f t="shared" ref="G594:G636" si="24">DATEDIF(G$2,F594,"d")</f>
        <v>5</v>
      </c>
    </row>
    <row r="595" spans="1:7">
      <c r="A595" s="107">
        <v>13</v>
      </c>
      <c r="B595" s="107">
        <v>1</v>
      </c>
      <c r="C595" s="107">
        <v>4</v>
      </c>
      <c r="D595" s="107" t="s">
        <v>273</v>
      </c>
      <c r="E595" s="107" t="s">
        <v>274</v>
      </c>
      <c r="F595" s="161">
        <v>45353</v>
      </c>
      <c r="G595" s="107">
        <f t="shared" si="24"/>
        <v>5</v>
      </c>
    </row>
    <row r="596" spans="1:7">
      <c r="A596" s="107">
        <v>13</v>
      </c>
      <c r="B596" s="107">
        <v>1</v>
      </c>
      <c r="C596" s="107">
        <v>5</v>
      </c>
      <c r="D596" s="107" t="s">
        <v>273</v>
      </c>
      <c r="E596" s="107" t="s">
        <v>274</v>
      </c>
      <c r="F596" s="161">
        <v>45353</v>
      </c>
      <c r="G596" s="107">
        <f t="shared" si="24"/>
        <v>5</v>
      </c>
    </row>
    <row r="597" spans="1:7">
      <c r="A597" s="107">
        <v>13</v>
      </c>
      <c r="B597" s="107">
        <v>1</v>
      </c>
      <c r="C597" s="107">
        <v>6</v>
      </c>
      <c r="D597" s="107" t="s">
        <v>273</v>
      </c>
      <c r="E597" s="107" t="s">
        <v>274</v>
      </c>
      <c r="F597" s="161">
        <v>45353</v>
      </c>
      <c r="G597" s="107">
        <f t="shared" si="24"/>
        <v>5</v>
      </c>
    </row>
    <row r="598" spans="1:7">
      <c r="A598" s="107">
        <v>13</v>
      </c>
      <c r="B598" s="107">
        <v>1</v>
      </c>
      <c r="C598" s="107">
        <v>7</v>
      </c>
      <c r="D598" s="107" t="s">
        <v>273</v>
      </c>
      <c r="E598" s="107" t="s">
        <v>274</v>
      </c>
      <c r="F598" s="161">
        <v>45353</v>
      </c>
      <c r="G598" s="107">
        <f t="shared" si="24"/>
        <v>5</v>
      </c>
    </row>
    <row r="599" spans="1:7">
      <c r="A599" s="107">
        <v>13</v>
      </c>
      <c r="B599" s="107">
        <v>1</v>
      </c>
      <c r="C599" s="107">
        <v>8</v>
      </c>
      <c r="D599" s="107" t="s">
        <v>273</v>
      </c>
      <c r="E599" s="107" t="s">
        <v>274</v>
      </c>
      <c r="F599" s="161">
        <v>45353</v>
      </c>
      <c r="G599" s="107">
        <f t="shared" si="24"/>
        <v>5</v>
      </c>
    </row>
    <row r="600" spans="1:7">
      <c r="A600" s="107">
        <v>13</v>
      </c>
      <c r="B600" s="107">
        <v>2</v>
      </c>
      <c r="C600" s="107">
        <v>1</v>
      </c>
      <c r="D600" s="107" t="s">
        <v>275</v>
      </c>
      <c r="E600" s="107" t="s">
        <v>276</v>
      </c>
      <c r="F600" s="161">
        <v>45353</v>
      </c>
      <c r="G600" s="107">
        <f t="shared" si="24"/>
        <v>5</v>
      </c>
    </row>
    <row r="601" spans="1:7">
      <c r="A601" s="107">
        <v>13</v>
      </c>
      <c r="B601" s="107">
        <v>2</v>
      </c>
      <c r="C601" s="107">
        <v>2</v>
      </c>
      <c r="D601" s="107" t="s">
        <v>275</v>
      </c>
      <c r="E601" s="107" t="s">
        <v>276</v>
      </c>
      <c r="F601" s="161">
        <v>45353</v>
      </c>
      <c r="G601" s="107">
        <f t="shared" si="24"/>
        <v>5</v>
      </c>
    </row>
    <row r="602" spans="1:7">
      <c r="A602" s="107">
        <v>13</v>
      </c>
      <c r="B602" s="107">
        <v>2</v>
      </c>
      <c r="C602" s="107">
        <v>3</v>
      </c>
      <c r="D602" s="107" t="s">
        <v>275</v>
      </c>
      <c r="E602" s="107" t="s">
        <v>276</v>
      </c>
      <c r="F602" s="161">
        <v>45353</v>
      </c>
      <c r="G602" s="107">
        <f t="shared" si="24"/>
        <v>5</v>
      </c>
    </row>
    <row r="603" spans="1:7">
      <c r="A603" s="107">
        <v>13</v>
      </c>
      <c r="B603" s="107">
        <v>2</v>
      </c>
      <c r="C603" s="107">
        <v>4</v>
      </c>
      <c r="D603" s="107" t="s">
        <v>275</v>
      </c>
      <c r="E603" s="107" t="s">
        <v>276</v>
      </c>
      <c r="F603" s="161">
        <v>45353</v>
      </c>
      <c r="G603" s="107">
        <f t="shared" si="24"/>
        <v>5</v>
      </c>
    </row>
    <row r="604" spans="1:7">
      <c r="A604" s="107">
        <v>13</v>
      </c>
      <c r="B604" s="107">
        <v>2</v>
      </c>
      <c r="C604" s="107">
        <v>5</v>
      </c>
      <c r="D604" s="107" t="s">
        <v>275</v>
      </c>
      <c r="E604" s="107" t="s">
        <v>276</v>
      </c>
      <c r="F604" s="161">
        <v>45353</v>
      </c>
      <c r="G604" s="107">
        <f t="shared" si="24"/>
        <v>5</v>
      </c>
    </row>
    <row r="605" spans="1:7">
      <c r="A605" s="107">
        <v>13</v>
      </c>
      <c r="B605" s="107">
        <v>2</v>
      </c>
      <c r="C605" s="107">
        <v>6</v>
      </c>
      <c r="D605" s="107" t="s">
        <v>275</v>
      </c>
      <c r="E605" s="107" t="s">
        <v>276</v>
      </c>
      <c r="F605" s="161">
        <v>45353</v>
      </c>
      <c r="G605" s="107">
        <f t="shared" si="24"/>
        <v>5</v>
      </c>
    </row>
    <row r="606" spans="1:7">
      <c r="A606" s="107">
        <v>13</v>
      </c>
      <c r="B606" s="107">
        <v>2</v>
      </c>
      <c r="C606" s="107">
        <v>7</v>
      </c>
      <c r="D606" s="107" t="s">
        <v>275</v>
      </c>
      <c r="E606" s="107" t="s">
        <v>276</v>
      </c>
      <c r="F606" s="161">
        <v>45353</v>
      </c>
      <c r="G606" s="107">
        <f t="shared" si="24"/>
        <v>5</v>
      </c>
    </row>
    <row r="607" spans="1:7">
      <c r="A607" s="107">
        <v>13</v>
      </c>
      <c r="B607" s="107">
        <v>2</v>
      </c>
      <c r="C607" s="107">
        <v>8</v>
      </c>
      <c r="D607" s="107" t="s">
        <v>275</v>
      </c>
      <c r="E607" s="107" t="s">
        <v>276</v>
      </c>
      <c r="F607" s="161">
        <v>45353</v>
      </c>
      <c r="G607" s="107">
        <f t="shared" si="24"/>
        <v>5</v>
      </c>
    </row>
    <row r="608" spans="1:7">
      <c r="A608" s="107">
        <v>13</v>
      </c>
      <c r="B608" s="107">
        <v>3</v>
      </c>
      <c r="C608" s="107">
        <v>1</v>
      </c>
      <c r="D608" s="107" t="s">
        <v>277</v>
      </c>
      <c r="E608" s="107" t="s">
        <v>278</v>
      </c>
      <c r="F608" s="161">
        <v>45353</v>
      </c>
      <c r="G608" s="107">
        <f t="shared" si="24"/>
        <v>5</v>
      </c>
    </row>
    <row r="609" spans="1:7">
      <c r="A609" s="107">
        <v>13</v>
      </c>
      <c r="B609" s="107">
        <v>3</v>
      </c>
      <c r="C609" s="107">
        <v>2</v>
      </c>
      <c r="D609" s="107" t="s">
        <v>277</v>
      </c>
      <c r="E609" s="107" t="s">
        <v>278</v>
      </c>
      <c r="F609" s="161">
        <v>45353</v>
      </c>
      <c r="G609" s="107">
        <f t="shared" si="24"/>
        <v>5</v>
      </c>
    </row>
    <row r="610" spans="1:7">
      <c r="A610" s="107">
        <v>13</v>
      </c>
      <c r="B610" s="107">
        <v>3</v>
      </c>
      <c r="C610" s="107">
        <v>3</v>
      </c>
      <c r="D610" s="107" t="s">
        <v>277</v>
      </c>
      <c r="E610" s="107" t="s">
        <v>278</v>
      </c>
      <c r="F610" s="161">
        <v>45353</v>
      </c>
      <c r="G610" s="107">
        <f t="shared" si="24"/>
        <v>5</v>
      </c>
    </row>
    <row r="611" spans="1:7">
      <c r="A611" s="107">
        <v>13</v>
      </c>
      <c r="B611" s="107">
        <v>3</v>
      </c>
      <c r="C611" s="107">
        <v>4</v>
      </c>
      <c r="D611" s="107" t="s">
        <v>277</v>
      </c>
      <c r="E611" s="107" t="s">
        <v>278</v>
      </c>
      <c r="F611" s="161">
        <v>45353</v>
      </c>
      <c r="G611" s="107">
        <f t="shared" si="24"/>
        <v>5</v>
      </c>
    </row>
    <row r="612" spans="1:7">
      <c r="A612" s="107">
        <v>13</v>
      </c>
      <c r="B612" s="107">
        <v>3</v>
      </c>
      <c r="C612" s="107">
        <v>5</v>
      </c>
      <c r="D612" s="107" t="s">
        <v>277</v>
      </c>
      <c r="E612" s="107" t="s">
        <v>278</v>
      </c>
      <c r="F612" s="161">
        <v>45353</v>
      </c>
      <c r="G612" s="107">
        <f t="shared" si="24"/>
        <v>5</v>
      </c>
    </row>
    <row r="613" spans="1:7">
      <c r="A613" s="107">
        <v>13</v>
      </c>
      <c r="B613" s="107">
        <v>3</v>
      </c>
      <c r="C613" s="107">
        <v>6</v>
      </c>
      <c r="D613" s="107" t="s">
        <v>277</v>
      </c>
      <c r="E613" s="107" t="s">
        <v>278</v>
      </c>
      <c r="F613" s="161">
        <v>45352</v>
      </c>
      <c r="G613" s="107">
        <f t="shared" si="24"/>
        <v>4</v>
      </c>
    </row>
    <row r="614" spans="1:7">
      <c r="A614" s="107">
        <v>13</v>
      </c>
      <c r="B614" s="107">
        <v>3</v>
      </c>
      <c r="C614" s="107">
        <v>7</v>
      </c>
      <c r="D614" s="107" t="s">
        <v>277</v>
      </c>
      <c r="E614" s="107" t="s">
        <v>278</v>
      </c>
      <c r="F614" s="161">
        <v>45353</v>
      </c>
      <c r="G614" s="107">
        <f t="shared" si="24"/>
        <v>5</v>
      </c>
    </row>
    <row r="615" spans="1:7">
      <c r="A615" s="107">
        <v>13</v>
      </c>
      <c r="B615" s="107">
        <v>3</v>
      </c>
      <c r="C615" s="107">
        <v>8</v>
      </c>
      <c r="D615" s="107" t="s">
        <v>277</v>
      </c>
      <c r="E615" s="107" t="s">
        <v>278</v>
      </c>
      <c r="F615" s="161">
        <v>45353</v>
      </c>
      <c r="G615" s="107">
        <f t="shared" si="24"/>
        <v>5</v>
      </c>
    </row>
    <row r="616" spans="1:7">
      <c r="A616" s="107">
        <v>13</v>
      </c>
      <c r="B616" s="107">
        <v>4</v>
      </c>
      <c r="C616" s="107">
        <v>1</v>
      </c>
      <c r="D616" s="107" t="s">
        <v>279</v>
      </c>
      <c r="E616" s="107" t="s">
        <v>280</v>
      </c>
      <c r="F616" s="161">
        <v>45353</v>
      </c>
      <c r="G616" s="107">
        <f t="shared" si="24"/>
        <v>5</v>
      </c>
    </row>
    <row r="617" spans="1:7">
      <c r="A617" s="107">
        <v>13</v>
      </c>
      <c r="B617" s="107">
        <v>4</v>
      </c>
      <c r="C617" s="107">
        <v>2</v>
      </c>
      <c r="D617" s="107" t="s">
        <v>279</v>
      </c>
      <c r="E617" s="107" t="s">
        <v>280</v>
      </c>
      <c r="F617" s="161">
        <v>45353</v>
      </c>
      <c r="G617" s="107">
        <f t="shared" si="24"/>
        <v>5</v>
      </c>
    </row>
    <row r="618" spans="1:7">
      <c r="A618" s="107">
        <v>13</v>
      </c>
      <c r="B618" s="107">
        <v>4</v>
      </c>
      <c r="C618" s="107">
        <v>3</v>
      </c>
      <c r="D618" s="107" t="s">
        <v>279</v>
      </c>
      <c r="E618" s="107" t="s">
        <v>280</v>
      </c>
      <c r="F618" s="161">
        <v>45353</v>
      </c>
      <c r="G618" s="107">
        <f t="shared" si="24"/>
        <v>5</v>
      </c>
    </row>
    <row r="619" spans="1:7">
      <c r="A619" s="107">
        <v>13</v>
      </c>
      <c r="B619" s="107">
        <v>4</v>
      </c>
      <c r="C619" s="107">
        <v>4</v>
      </c>
      <c r="D619" s="107" t="s">
        <v>279</v>
      </c>
      <c r="E619" s="107" t="s">
        <v>280</v>
      </c>
      <c r="F619" s="161">
        <v>45353</v>
      </c>
      <c r="G619" s="107">
        <f t="shared" si="24"/>
        <v>5</v>
      </c>
    </row>
    <row r="620" spans="1:7">
      <c r="A620" s="107">
        <v>13</v>
      </c>
      <c r="B620" s="107">
        <v>4</v>
      </c>
      <c r="C620" s="107">
        <v>5</v>
      </c>
      <c r="D620" s="107" t="s">
        <v>279</v>
      </c>
      <c r="E620" s="107" t="s">
        <v>280</v>
      </c>
      <c r="F620" s="161">
        <v>45354</v>
      </c>
      <c r="G620" s="107">
        <f t="shared" si="24"/>
        <v>6</v>
      </c>
    </row>
    <row r="621" spans="1:7">
      <c r="A621" s="107">
        <v>13</v>
      </c>
      <c r="B621" s="107">
        <v>4</v>
      </c>
      <c r="C621" s="107">
        <v>6</v>
      </c>
      <c r="D621" s="107" t="s">
        <v>279</v>
      </c>
      <c r="E621" s="107" t="s">
        <v>280</v>
      </c>
      <c r="F621" s="161">
        <v>45357</v>
      </c>
      <c r="G621" s="107">
        <f t="shared" si="24"/>
        <v>9</v>
      </c>
    </row>
    <row r="622" spans="1:7">
      <c r="A622" s="107">
        <v>13</v>
      </c>
      <c r="B622" s="107">
        <v>4</v>
      </c>
      <c r="C622" s="107">
        <v>7</v>
      </c>
      <c r="D622" s="107" t="s">
        <v>279</v>
      </c>
      <c r="E622" s="107" t="s">
        <v>280</v>
      </c>
      <c r="F622" s="161">
        <v>45353</v>
      </c>
      <c r="G622" s="107">
        <f t="shared" si="24"/>
        <v>5</v>
      </c>
    </row>
    <row r="623" spans="1:7">
      <c r="A623" s="107">
        <v>13</v>
      </c>
      <c r="B623" s="107">
        <v>4</v>
      </c>
      <c r="C623" s="107">
        <v>8</v>
      </c>
      <c r="D623" s="107" t="s">
        <v>279</v>
      </c>
      <c r="E623" s="107" t="s">
        <v>280</v>
      </c>
      <c r="F623" s="161">
        <v>45353</v>
      </c>
      <c r="G623" s="107">
        <f t="shared" si="24"/>
        <v>5</v>
      </c>
    </row>
    <row r="624" spans="1:7">
      <c r="A624" s="107">
        <v>13</v>
      </c>
      <c r="B624" s="107">
        <v>5</v>
      </c>
      <c r="C624" s="107">
        <v>1</v>
      </c>
      <c r="D624" s="107" t="s">
        <v>281</v>
      </c>
      <c r="E624" s="107" t="s">
        <v>282</v>
      </c>
      <c r="F624" s="161">
        <v>45352</v>
      </c>
      <c r="G624" s="107">
        <f t="shared" si="24"/>
        <v>4</v>
      </c>
    </row>
    <row r="625" spans="1:7">
      <c r="A625" s="107">
        <v>13</v>
      </c>
      <c r="B625" s="107">
        <v>5</v>
      </c>
      <c r="C625" s="107">
        <v>2</v>
      </c>
      <c r="D625" s="107" t="s">
        <v>281</v>
      </c>
      <c r="E625" s="107" t="s">
        <v>282</v>
      </c>
      <c r="F625" s="161">
        <v>45353</v>
      </c>
      <c r="G625" s="107">
        <f t="shared" si="24"/>
        <v>5</v>
      </c>
    </row>
    <row r="626" spans="1:7">
      <c r="A626" s="107">
        <v>13</v>
      </c>
      <c r="B626" s="107">
        <v>5</v>
      </c>
      <c r="C626" s="107">
        <v>3</v>
      </c>
      <c r="D626" s="107" t="s">
        <v>281</v>
      </c>
      <c r="E626" s="107" t="s">
        <v>282</v>
      </c>
      <c r="F626" s="161">
        <v>45352</v>
      </c>
      <c r="G626" s="107">
        <f t="shared" si="24"/>
        <v>4</v>
      </c>
    </row>
    <row r="627" spans="1:7">
      <c r="A627" s="107">
        <v>13</v>
      </c>
      <c r="B627" s="107">
        <v>5</v>
      </c>
      <c r="C627" s="107">
        <v>4</v>
      </c>
      <c r="D627" s="107" t="s">
        <v>281</v>
      </c>
      <c r="E627" s="107" t="s">
        <v>282</v>
      </c>
      <c r="F627" s="161">
        <v>45352</v>
      </c>
      <c r="G627" s="107">
        <f t="shared" si="24"/>
        <v>4</v>
      </c>
    </row>
    <row r="628" spans="1:7">
      <c r="A628" s="107">
        <v>13</v>
      </c>
      <c r="B628" s="107">
        <v>5</v>
      </c>
      <c r="C628" s="107">
        <v>5</v>
      </c>
      <c r="D628" s="107" t="s">
        <v>281</v>
      </c>
      <c r="E628" s="107" t="s">
        <v>282</v>
      </c>
      <c r="F628" s="161">
        <v>45352</v>
      </c>
      <c r="G628" s="107">
        <f t="shared" si="24"/>
        <v>4</v>
      </c>
    </row>
    <row r="629" spans="1:7">
      <c r="A629" s="107">
        <v>13</v>
      </c>
      <c r="B629" s="107">
        <v>5</v>
      </c>
      <c r="C629" s="107">
        <v>6</v>
      </c>
      <c r="D629" s="107" t="s">
        <v>281</v>
      </c>
      <c r="E629" s="107" t="s">
        <v>282</v>
      </c>
      <c r="F629" s="161">
        <v>45352</v>
      </c>
      <c r="G629" s="107">
        <f t="shared" si="24"/>
        <v>4</v>
      </c>
    </row>
    <row r="630" spans="1:7">
      <c r="A630" s="107">
        <v>13</v>
      </c>
      <c r="B630" s="107">
        <v>5</v>
      </c>
      <c r="C630" s="107">
        <v>7</v>
      </c>
      <c r="D630" s="107" t="s">
        <v>281</v>
      </c>
      <c r="E630" s="107" t="s">
        <v>282</v>
      </c>
      <c r="F630" s="161">
        <v>45353</v>
      </c>
      <c r="G630" s="107">
        <f t="shared" si="24"/>
        <v>5</v>
      </c>
    </row>
    <row r="631" spans="1:7">
      <c r="A631" s="107">
        <v>13</v>
      </c>
      <c r="B631" s="107">
        <v>5</v>
      </c>
      <c r="C631" s="107">
        <v>8</v>
      </c>
      <c r="D631" s="107" t="s">
        <v>281</v>
      </c>
      <c r="E631" s="107" t="s">
        <v>282</v>
      </c>
      <c r="F631" s="161">
        <v>45352</v>
      </c>
      <c r="G631" s="107">
        <f t="shared" si="24"/>
        <v>4</v>
      </c>
    </row>
    <row r="632" spans="1:7">
      <c r="A632" s="107">
        <v>13</v>
      </c>
      <c r="B632" s="107">
        <v>6</v>
      </c>
      <c r="C632" s="107">
        <v>1</v>
      </c>
      <c r="D632" s="107" t="s">
        <v>283</v>
      </c>
      <c r="E632" s="107" t="s">
        <v>284</v>
      </c>
      <c r="F632" s="161">
        <v>45353</v>
      </c>
      <c r="G632" s="107">
        <f t="shared" si="24"/>
        <v>5</v>
      </c>
    </row>
    <row r="633" spans="1:7">
      <c r="A633" s="107">
        <v>13</v>
      </c>
      <c r="B633" s="107">
        <v>6</v>
      </c>
      <c r="C633" s="107">
        <v>2</v>
      </c>
      <c r="D633" s="107" t="s">
        <v>283</v>
      </c>
      <c r="E633" s="107" t="s">
        <v>284</v>
      </c>
      <c r="F633" s="161">
        <v>45353</v>
      </c>
      <c r="G633" s="107">
        <f t="shared" si="24"/>
        <v>5</v>
      </c>
    </row>
    <row r="634" spans="1:7">
      <c r="A634" s="107">
        <v>13</v>
      </c>
      <c r="B634" s="107">
        <v>6</v>
      </c>
      <c r="C634" s="107">
        <v>3</v>
      </c>
      <c r="D634" s="107" t="s">
        <v>283</v>
      </c>
      <c r="E634" s="107" t="s">
        <v>284</v>
      </c>
      <c r="F634" s="161">
        <v>45353</v>
      </c>
      <c r="G634" s="107">
        <f t="shared" si="24"/>
        <v>5</v>
      </c>
    </row>
    <row r="635" spans="1:7">
      <c r="A635" s="107">
        <v>13</v>
      </c>
      <c r="B635" s="107">
        <v>6</v>
      </c>
      <c r="C635" s="107">
        <v>4</v>
      </c>
      <c r="D635" s="107" t="s">
        <v>283</v>
      </c>
      <c r="E635" s="107" t="s">
        <v>284</v>
      </c>
      <c r="F635" s="161">
        <v>45353</v>
      </c>
      <c r="G635" s="107">
        <f t="shared" si="24"/>
        <v>5</v>
      </c>
    </row>
    <row r="636" spans="1:7">
      <c r="A636" s="107">
        <v>13</v>
      </c>
      <c r="B636" s="107">
        <v>6</v>
      </c>
      <c r="C636" s="107">
        <v>5</v>
      </c>
      <c r="D636" s="107" t="s">
        <v>283</v>
      </c>
      <c r="E636" s="107" t="s">
        <v>284</v>
      </c>
      <c r="F636" s="161">
        <v>45353</v>
      </c>
      <c r="G636" s="107">
        <f t="shared" si="24"/>
        <v>5</v>
      </c>
    </row>
    <row r="637" spans="1:7">
      <c r="A637" s="107">
        <v>13</v>
      </c>
      <c r="B637" s="107">
        <v>6</v>
      </c>
      <c r="C637" s="107">
        <v>6</v>
      </c>
      <c r="D637" s="107" t="s">
        <v>283</v>
      </c>
      <c r="E637" s="107" t="s">
        <v>284</v>
      </c>
      <c r="F637" s="161"/>
      <c r="G637" s="107"/>
    </row>
    <row r="638" spans="1:7">
      <c r="A638" s="107">
        <v>13</v>
      </c>
      <c r="B638" s="107">
        <v>6</v>
      </c>
      <c r="C638" s="107">
        <v>7</v>
      </c>
      <c r="D638" s="107" t="s">
        <v>283</v>
      </c>
      <c r="E638" s="107" t="s">
        <v>284</v>
      </c>
      <c r="F638" s="161">
        <v>45353</v>
      </c>
      <c r="G638" s="107">
        <f>DATEDIF(G$2,F638,"d")</f>
        <v>5</v>
      </c>
    </row>
    <row r="639" spans="1:7">
      <c r="A639" s="107">
        <v>13</v>
      </c>
      <c r="B639" s="107">
        <v>6</v>
      </c>
      <c r="C639" s="107">
        <v>8</v>
      </c>
      <c r="D639" s="107" t="s">
        <v>283</v>
      </c>
      <c r="E639" s="107" t="s">
        <v>284</v>
      </c>
      <c r="F639" s="161">
        <v>45353</v>
      </c>
      <c r="G639" s="107">
        <f>DATEDIF(G$2,F639,"d")</f>
        <v>5</v>
      </c>
    </row>
    <row r="641" spans="1:7">
      <c r="A641" s="107">
        <v>14</v>
      </c>
      <c r="B641" s="107">
        <v>1</v>
      </c>
      <c r="C641" s="107">
        <v>1</v>
      </c>
      <c r="D641" s="107" t="s">
        <v>285</v>
      </c>
      <c r="E641" s="107" t="s">
        <v>286</v>
      </c>
      <c r="F641" s="161">
        <v>45354</v>
      </c>
      <c r="G641" s="107">
        <f t="shared" ref="G641:G688" si="25">DATEDIF(G$2,F641,"d")</f>
        <v>6</v>
      </c>
    </row>
    <row r="642" spans="1:7">
      <c r="A642" s="107">
        <v>14</v>
      </c>
      <c r="B642" s="107">
        <v>1</v>
      </c>
      <c r="C642" s="107">
        <v>2</v>
      </c>
      <c r="D642" s="107" t="s">
        <v>285</v>
      </c>
      <c r="E642" s="107" t="s">
        <v>286</v>
      </c>
      <c r="F642" s="161">
        <v>45354</v>
      </c>
      <c r="G642" s="107">
        <f t="shared" si="25"/>
        <v>6</v>
      </c>
    </row>
    <row r="643" spans="1:7">
      <c r="A643" s="107">
        <v>14</v>
      </c>
      <c r="B643" s="107">
        <v>1</v>
      </c>
      <c r="C643" s="107">
        <v>3</v>
      </c>
      <c r="D643" s="107" t="s">
        <v>285</v>
      </c>
      <c r="E643" s="107" t="s">
        <v>286</v>
      </c>
      <c r="F643" s="161">
        <v>45354</v>
      </c>
      <c r="G643" s="107">
        <f t="shared" si="25"/>
        <v>6</v>
      </c>
    </row>
    <row r="644" spans="1:7">
      <c r="A644" s="107">
        <v>14</v>
      </c>
      <c r="B644" s="107">
        <v>1</v>
      </c>
      <c r="C644" s="107">
        <v>4</v>
      </c>
      <c r="D644" s="107" t="s">
        <v>285</v>
      </c>
      <c r="E644" s="107" t="s">
        <v>286</v>
      </c>
      <c r="F644" s="161">
        <v>45353</v>
      </c>
      <c r="G644" s="107">
        <f t="shared" si="25"/>
        <v>5</v>
      </c>
    </row>
    <row r="645" spans="1:7">
      <c r="A645" s="107">
        <v>14</v>
      </c>
      <c r="B645" s="107">
        <v>1</v>
      </c>
      <c r="C645" s="107">
        <v>5</v>
      </c>
      <c r="D645" s="107" t="s">
        <v>285</v>
      </c>
      <c r="E645" s="107" t="s">
        <v>286</v>
      </c>
      <c r="F645" s="161">
        <v>45354</v>
      </c>
      <c r="G645" s="107">
        <f t="shared" si="25"/>
        <v>6</v>
      </c>
    </row>
    <row r="646" spans="1:7">
      <c r="A646" s="107">
        <v>14</v>
      </c>
      <c r="B646" s="107">
        <v>1</v>
      </c>
      <c r="C646" s="107">
        <v>6</v>
      </c>
      <c r="D646" s="107" t="s">
        <v>285</v>
      </c>
      <c r="E646" s="107" t="s">
        <v>286</v>
      </c>
      <c r="F646" s="161">
        <v>45354</v>
      </c>
      <c r="G646" s="107">
        <f t="shared" si="25"/>
        <v>6</v>
      </c>
    </row>
    <row r="647" spans="1:7">
      <c r="A647" s="107">
        <v>14</v>
      </c>
      <c r="B647" s="107">
        <v>1</v>
      </c>
      <c r="C647" s="107">
        <v>7</v>
      </c>
      <c r="D647" s="107" t="s">
        <v>285</v>
      </c>
      <c r="E647" s="107" t="s">
        <v>286</v>
      </c>
      <c r="F647" s="161">
        <v>45353</v>
      </c>
      <c r="G647" s="107">
        <f t="shared" si="25"/>
        <v>5</v>
      </c>
    </row>
    <row r="648" spans="1:7">
      <c r="A648" s="107">
        <v>14</v>
      </c>
      <c r="B648" s="107">
        <v>1</v>
      </c>
      <c r="C648" s="107">
        <v>8</v>
      </c>
      <c r="D648" s="107" t="s">
        <v>285</v>
      </c>
      <c r="E648" s="107" t="s">
        <v>286</v>
      </c>
      <c r="F648" s="161">
        <v>45353</v>
      </c>
      <c r="G648" s="107">
        <f t="shared" si="25"/>
        <v>5</v>
      </c>
    </row>
    <row r="649" spans="1:7">
      <c r="A649" s="107">
        <v>14</v>
      </c>
      <c r="B649" s="107">
        <v>2</v>
      </c>
      <c r="C649" s="107">
        <v>1</v>
      </c>
      <c r="D649" s="107" t="s">
        <v>287</v>
      </c>
      <c r="E649" s="107" t="s">
        <v>288</v>
      </c>
      <c r="F649" s="161">
        <v>45356</v>
      </c>
      <c r="G649" s="107">
        <f t="shared" si="25"/>
        <v>8</v>
      </c>
    </row>
    <row r="650" spans="1:7">
      <c r="A650" s="107">
        <v>14</v>
      </c>
      <c r="B650" s="107">
        <v>2</v>
      </c>
      <c r="C650" s="107">
        <v>2</v>
      </c>
      <c r="D650" s="107" t="s">
        <v>287</v>
      </c>
      <c r="E650" s="107" t="s">
        <v>288</v>
      </c>
      <c r="F650" s="161">
        <v>45354</v>
      </c>
      <c r="G650" s="107">
        <f t="shared" si="25"/>
        <v>6</v>
      </c>
    </row>
    <row r="651" spans="1:7">
      <c r="A651" s="107">
        <v>14</v>
      </c>
      <c r="B651" s="107">
        <v>2</v>
      </c>
      <c r="C651" s="107">
        <v>3</v>
      </c>
      <c r="D651" s="107" t="s">
        <v>287</v>
      </c>
      <c r="E651" s="107" t="s">
        <v>288</v>
      </c>
      <c r="F651" s="161">
        <v>45354</v>
      </c>
      <c r="G651" s="107">
        <f t="shared" si="25"/>
        <v>6</v>
      </c>
    </row>
    <row r="652" spans="1:7">
      <c r="A652" s="107">
        <v>14</v>
      </c>
      <c r="B652" s="107">
        <v>2</v>
      </c>
      <c r="C652" s="107">
        <v>4</v>
      </c>
      <c r="D652" s="107" t="s">
        <v>287</v>
      </c>
      <c r="E652" s="107" t="s">
        <v>288</v>
      </c>
      <c r="F652" s="161">
        <v>45354</v>
      </c>
      <c r="G652" s="107">
        <f t="shared" si="25"/>
        <v>6</v>
      </c>
    </row>
    <row r="653" spans="1:7">
      <c r="A653" s="107">
        <v>14</v>
      </c>
      <c r="B653" s="107">
        <v>2</v>
      </c>
      <c r="C653" s="107">
        <v>5</v>
      </c>
      <c r="D653" s="107" t="s">
        <v>287</v>
      </c>
      <c r="E653" s="107" t="s">
        <v>288</v>
      </c>
      <c r="F653" s="161">
        <v>45354</v>
      </c>
      <c r="G653" s="107">
        <f t="shared" si="25"/>
        <v>6</v>
      </c>
    </row>
    <row r="654" spans="1:7">
      <c r="A654" s="107">
        <v>14</v>
      </c>
      <c r="B654" s="107">
        <v>2</v>
      </c>
      <c r="C654" s="107">
        <v>6</v>
      </c>
      <c r="D654" s="107" t="s">
        <v>287</v>
      </c>
      <c r="E654" s="107" t="s">
        <v>288</v>
      </c>
      <c r="F654" s="161">
        <v>45354</v>
      </c>
      <c r="G654" s="107">
        <f t="shared" si="25"/>
        <v>6</v>
      </c>
    </row>
    <row r="655" spans="1:7">
      <c r="A655" s="107">
        <v>14</v>
      </c>
      <c r="B655" s="107">
        <v>2</v>
      </c>
      <c r="C655" s="107">
        <v>7</v>
      </c>
      <c r="D655" s="107" t="s">
        <v>287</v>
      </c>
      <c r="E655" s="107" t="s">
        <v>288</v>
      </c>
      <c r="F655" s="161">
        <v>45354</v>
      </c>
      <c r="G655" s="107">
        <f t="shared" si="25"/>
        <v>6</v>
      </c>
    </row>
    <row r="656" spans="1:7">
      <c r="A656" s="107">
        <v>14</v>
      </c>
      <c r="B656" s="107">
        <v>2</v>
      </c>
      <c r="C656" s="107">
        <v>8</v>
      </c>
      <c r="D656" s="107" t="s">
        <v>287</v>
      </c>
      <c r="E656" s="107" t="s">
        <v>288</v>
      </c>
      <c r="F656" s="161">
        <v>45353</v>
      </c>
      <c r="G656" s="107">
        <f t="shared" si="25"/>
        <v>5</v>
      </c>
    </row>
    <row r="657" spans="1:7">
      <c r="A657" s="107">
        <v>14</v>
      </c>
      <c r="B657" s="107">
        <v>3</v>
      </c>
      <c r="C657" s="107">
        <v>1</v>
      </c>
      <c r="D657" s="107" t="s">
        <v>289</v>
      </c>
      <c r="E657" s="107" t="s">
        <v>290</v>
      </c>
      <c r="F657" s="161">
        <v>45353</v>
      </c>
      <c r="G657" s="107">
        <f t="shared" si="25"/>
        <v>5</v>
      </c>
    </row>
    <row r="658" spans="1:7">
      <c r="A658" s="107">
        <v>14</v>
      </c>
      <c r="B658" s="107">
        <v>3</v>
      </c>
      <c r="C658" s="107">
        <v>2</v>
      </c>
      <c r="D658" s="107" t="s">
        <v>289</v>
      </c>
      <c r="E658" s="107" t="s">
        <v>290</v>
      </c>
      <c r="F658" s="161">
        <v>45353</v>
      </c>
      <c r="G658" s="107">
        <f t="shared" si="25"/>
        <v>5</v>
      </c>
    </row>
    <row r="659" spans="1:7">
      <c r="A659" s="107">
        <v>14</v>
      </c>
      <c r="B659" s="107">
        <v>3</v>
      </c>
      <c r="C659" s="107">
        <v>3</v>
      </c>
      <c r="D659" s="107" t="s">
        <v>289</v>
      </c>
      <c r="E659" s="107" t="s">
        <v>290</v>
      </c>
      <c r="F659" s="161">
        <v>45353</v>
      </c>
      <c r="G659" s="107">
        <f t="shared" si="25"/>
        <v>5</v>
      </c>
    </row>
    <row r="660" spans="1:7">
      <c r="A660" s="107">
        <v>14</v>
      </c>
      <c r="B660" s="107">
        <v>3</v>
      </c>
      <c r="C660" s="107">
        <v>4</v>
      </c>
      <c r="D660" s="107" t="s">
        <v>289</v>
      </c>
      <c r="E660" s="107" t="s">
        <v>290</v>
      </c>
      <c r="F660" s="161">
        <v>45355</v>
      </c>
      <c r="G660" s="107">
        <f t="shared" si="25"/>
        <v>7</v>
      </c>
    </row>
    <row r="661" spans="1:7">
      <c r="A661" s="107">
        <v>14</v>
      </c>
      <c r="B661" s="107">
        <v>3</v>
      </c>
      <c r="C661" s="107">
        <v>5</v>
      </c>
      <c r="D661" s="107" t="s">
        <v>289</v>
      </c>
      <c r="E661" s="107" t="s">
        <v>290</v>
      </c>
      <c r="F661" s="161">
        <v>45354</v>
      </c>
      <c r="G661" s="107">
        <f t="shared" si="25"/>
        <v>6</v>
      </c>
    </row>
    <row r="662" spans="1:7">
      <c r="A662" s="107">
        <v>14</v>
      </c>
      <c r="B662" s="107">
        <v>3</v>
      </c>
      <c r="C662" s="107">
        <v>6</v>
      </c>
      <c r="D662" s="107" t="s">
        <v>289</v>
      </c>
      <c r="E662" s="107" t="s">
        <v>290</v>
      </c>
      <c r="F662" s="161">
        <v>45353</v>
      </c>
      <c r="G662" s="107">
        <f t="shared" si="25"/>
        <v>5</v>
      </c>
    </row>
    <row r="663" spans="1:7">
      <c r="A663" s="107">
        <v>14</v>
      </c>
      <c r="B663" s="107">
        <v>3</v>
      </c>
      <c r="C663" s="107">
        <v>7</v>
      </c>
      <c r="D663" s="107" t="s">
        <v>289</v>
      </c>
      <c r="E663" s="107" t="s">
        <v>290</v>
      </c>
      <c r="F663" s="161">
        <v>45353</v>
      </c>
      <c r="G663" s="107">
        <f t="shared" si="25"/>
        <v>5</v>
      </c>
    </row>
    <row r="664" spans="1:7">
      <c r="A664" s="107">
        <v>14</v>
      </c>
      <c r="B664" s="107">
        <v>3</v>
      </c>
      <c r="C664" s="107">
        <v>8</v>
      </c>
      <c r="D664" s="107" t="s">
        <v>289</v>
      </c>
      <c r="E664" s="107" t="s">
        <v>290</v>
      </c>
      <c r="F664" s="161">
        <v>45353</v>
      </c>
      <c r="G664" s="107">
        <f t="shared" si="25"/>
        <v>5</v>
      </c>
    </row>
    <row r="665" spans="1:7">
      <c r="A665" s="107">
        <v>14</v>
      </c>
      <c r="B665" s="107">
        <v>4</v>
      </c>
      <c r="C665" s="107">
        <v>1</v>
      </c>
      <c r="D665" s="107" t="s">
        <v>291</v>
      </c>
      <c r="E665" s="107" t="s">
        <v>292</v>
      </c>
      <c r="F665" s="161">
        <v>45353</v>
      </c>
      <c r="G665" s="107">
        <f t="shared" si="25"/>
        <v>5</v>
      </c>
    </row>
    <row r="666" spans="1:7">
      <c r="A666" s="107">
        <v>14</v>
      </c>
      <c r="B666" s="107">
        <v>4</v>
      </c>
      <c r="C666" s="107">
        <v>2</v>
      </c>
      <c r="D666" s="107" t="s">
        <v>291</v>
      </c>
      <c r="E666" s="107" t="s">
        <v>292</v>
      </c>
      <c r="F666" s="161">
        <v>45353</v>
      </c>
      <c r="G666" s="107">
        <f t="shared" si="25"/>
        <v>5</v>
      </c>
    </row>
    <row r="667" spans="1:7">
      <c r="A667" s="107">
        <v>14</v>
      </c>
      <c r="B667" s="107">
        <v>4</v>
      </c>
      <c r="C667" s="107">
        <v>3</v>
      </c>
      <c r="D667" s="107" t="s">
        <v>291</v>
      </c>
      <c r="E667" s="107" t="s">
        <v>292</v>
      </c>
      <c r="F667" s="161">
        <v>45353</v>
      </c>
      <c r="G667" s="107">
        <f t="shared" si="25"/>
        <v>5</v>
      </c>
    </row>
    <row r="668" spans="1:7">
      <c r="A668" s="107">
        <v>14</v>
      </c>
      <c r="B668" s="107">
        <v>4</v>
      </c>
      <c r="C668" s="107">
        <v>4</v>
      </c>
      <c r="D668" s="107" t="s">
        <v>291</v>
      </c>
      <c r="E668" s="107" t="s">
        <v>292</v>
      </c>
      <c r="F668" s="161">
        <v>45353</v>
      </c>
      <c r="G668" s="107">
        <f t="shared" si="25"/>
        <v>5</v>
      </c>
    </row>
    <row r="669" spans="1:7">
      <c r="A669" s="107">
        <v>14</v>
      </c>
      <c r="B669" s="107">
        <v>4</v>
      </c>
      <c r="C669" s="107">
        <v>5</v>
      </c>
      <c r="D669" s="107" t="s">
        <v>291</v>
      </c>
      <c r="E669" s="107" t="s">
        <v>292</v>
      </c>
      <c r="F669" s="161">
        <v>45353</v>
      </c>
      <c r="G669" s="107">
        <f t="shared" si="25"/>
        <v>5</v>
      </c>
    </row>
    <row r="670" spans="1:7">
      <c r="A670" s="107">
        <v>14</v>
      </c>
      <c r="B670" s="107">
        <v>4</v>
      </c>
      <c r="C670" s="107">
        <v>6</v>
      </c>
      <c r="D670" s="107" t="s">
        <v>291</v>
      </c>
      <c r="E670" s="107" t="s">
        <v>292</v>
      </c>
      <c r="F670" s="161">
        <v>45353</v>
      </c>
      <c r="G670" s="107">
        <f t="shared" si="25"/>
        <v>5</v>
      </c>
    </row>
    <row r="671" spans="1:7">
      <c r="A671" s="107">
        <v>14</v>
      </c>
      <c r="B671" s="107">
        <v>4</v>
      </c>
      <c r="C671" s="107">
        <v>7</v>
      </c>
      <c r="D671" s="107" t="s">
        <v>291</v>
      </c>
      <c r="E671" s="107" t="s">
        <v>292</v>
      </c>
      <c r="F671" s="161">
        <v>45353</v>
      </c>
      <c r="G671" s="107">
        <f t="shared" si="25"/>
        <v>5</v>
      </c>
    </row>
    <row r="672" spans="1:7">
      <c r="A672" s="107">
        <v>14</v>
      </c>
      <c r="B672" s="107">
        <v>4</v>
      </c>
      <c r="C672" s="107">
        <v>8</v>
      </c>
      <c r="D672" s="107" t="s">
        <v>291</v>
      </c>
      <c r="E672" s="107" t="s">
        <v>292</v>
      </c>
      <c r="F672" s="161">
        <v>45353</v>
      </c>
      <c r="G672" s="107">
        <f t="shared" si="25"/>
        <v>5</v>
      </c>
    </row>
    <row r="673" spans="1:7">
      <c r="A673" s="107">
        <v>14</v>
      </c>
      <c r="B673" s="107">
        <v>5</v>
      </c>
      <c r="C673" s="107">
        <v>1</v>
      </c>
      <c r="D673" s="107" t="s">
        <v>293</v>
      </c>
      <c r="E673" s="107" t="s">
        <v>294</v>
      </c>
      <c r="F673" s="161">
        <v>45354</v>
      </c>
      <c r="G673" s="107">
        <f t="shared" si="25"/>
        <v>6</v>
      </c>
    </row>
    <row r="674" spans="1:7">
      <c r="A674" s="107">
        <v>14</v>
      </c>
      <c r="B674" s="107">
        <v>5</v>
      </c>
      <c r="C674" s="107">
        <v>2</v>
      </c>
      <c r="D674" s="107" t="s">
        <v>293</v>
      </c>
      <c r="E674" s="107" t="s">
        <v>294</v>
      </c>
      <c r="F674" s="161">
        <v>45353</v>
      </c>
      <c r="G674" s="107">
        <f t="shared" si="25"/>
        <v>5</v>
      </c>
    </row>
    <row r="675" spans="1:7">
      <c r="A675" s="107">
        <v>14</v>
      </c>
      <c r="B675" s="107">
        <v>5</v>
      </c>
      <c r="C675" s="107">
        <v>3</v>
      </c>
      <c r="D675" s="107" t="s">
        <v>293</v>
      </c>
      <c r="E675" s="107" t="s">
        <v>294</v>
      </c>
      <c r="F675" s="161">
        <v>45353</v>
      </c>
      <c r="G675" s="107">
        <f t="shared" si="25"/>
        <v>5</v>
      </c>
    </row>
    <row r="676" spans="1:7">
      <c r="A676" s="107">
        <v>14</v>
      </c>
      <c r="B676" s="107">
        <v>5</v>
      </c>
      <c r="C676" s="107">
        <v>4</v>
      </c>
      <c r="D676" s="107" t="s">
        <v>293</v>
      </c>
      <c r="E676" s="107" t="s">
        <v>294</v>
      </c>
      <c r="F676" s="161">
        <v>45353</v>
      </c>
      <c r="G676" s="107">
        <f t="shared" si="25"/>
        <v>5</v>
      </c>
    </row>
    <row r="677" spans="1:7">
      <c r="A677" s="107">
        <v>14</v>
      </c>
      <c r="B677" s="107">
        <v>5</v>
      </c>
      <c r="C677" s="107">
        <v>5</v>
      </c>
      <c r="D677" s="107" t="s">
        <v>293</v>
      </c>
      <c r="E677" s="107" t="s">
        <v>294</v>
      </c>
      <c r="F677" s="161">
        <v>45353</v>
      </c>
      <c r="G677" s="107">
        <f t="shared" si="25"/>
        <v>5</v>
      </c>
    </row>
    <row r="678" spans="1:7">
      <c r="A678" s="107">
        <v>14</v>
      </c>
      <c r="B678" s="107">
        <v>5</v>
      </c>
      <c r="C678" s="107">
        <v>6</v>
      </c>
      <c r="D678" s="107" t="s">
        <v>293</v>
      </c>
      <c r="E678" s="107" t="s">
        <v>294</v>
      </c>
      <c r="F678" s="161">
        <v>45353</v>
      </c>
      <c r="G678" s="107">
        <f t="shared" si="25"/>
        <v>5</v>
      </c>
    </row>
    <row r="679" spans="1:7">
      <c r="A679" s="107">
        <v>14</v>
      </c>
      <c r="B679" s="107">
        <v>5</v>
      </c>
      <c r="C679" s="107">
        <v>7</v>
      </c>
      <c r="D679" s="107" t="s">
        <v>293</v>
      </c>
      <c r="E679" s="107" t="s">
        <v>294</v>
      </c>
      <c r="F679" s="161">
        <v>45353</v>
      </c>
      <c r="G679" s="107">
        <f t="shared" si="25"/>
        <v>5</v>
      </c>
    </row>
    <row r="680" spans="1:7">
      <c r="A680" s="107">
        <v>14</v>
      </c>
      <c r="B680" s="107">
        <v>5</v>
      </c>
      <c r="C680" s="107">
        <v>8</v>
      </c>
      <c r="D680" s="107" t="s">
        <v>293</v>
      </c>
      <c r="E680" s="107" t="s">
        <v>294</v>
      </c>
      <c r="F680" s="161">
        <v>45353</v>
      </c>
      <c r="G680" s="107">
        <f t="shared" si="25"/>
        <v>5</v>
      </c>
    </row>
    <row r="681" spans="1:7">
      <c r="A681" s="107">
        <v>14</v>
      </c>
      <c r="B681" s="107">
        <v>6</v>
      </c>
      <c r="C681" s="107">
        <v>1</v>
      </c>
      <c r="D681" s="107" t="s">
        <v>295</v>
      </c>
      <c r="E681" s="107" t="s">
        <v>296</v>
      </c>
      <c r="F681" s="161">
        <v>45354</v>
      </c>
      <c r="G681" s="107">
        <f t="shared" si="25"/>
        <v>6</v>
      </c>
    </row>
    <row r="682" spans="1:7">
      <c r="A682" s="107">
        <v>14</v>
      </c>
      <c r="B682" s="107">
        <v>6</v>
      </c>
      <c r="C682" s="107">
        <v>2</v>
      </c>
      <c r="D682" s="107" t="s">
        <v>295</v>
      </c>
      <c r="E682" s="107" t="s">
        <v>296</v>
      </c>
      <c r="F682" s="161">
        <v>45353</v>
      </c>
      <c r="G682" s="107">
        <f t="shared" si="25"/>
        <v>5</v>
      </c>
    </row>
    <row r="683" spans="1:7">
      <c r="A683" s="107">
        <v>14</v>
      </c>
      <c r="B683" s="107">
        <v>6</v>
      </c>
      <c r="C683" s="107">
        <v>3</v>
      </c>
      <c r="D683" s="107" t="s">
        <v>295</v>
      </c>
      <c r="E683" s="107" t="s">
        <v>296</v>
      </c>
      <c r="F683" s="161">
        <v>45353</v>
      </c>
      <c r="G683" s="107">
        <f t="shared" si="25"/>
        <v>5</v>
      </c>
    </row>
    <row r="684" spans="1:7">
      <c r="A684" s="107">
        <v>14</v>
      </c>
      <c r="B684" s="107">
        <v>6</v>
      </c>
      <c r="C684" s="107">
        <v>4</v>
      </c>
      <c r="D684" s="107" t="s">
        <v>295</v>
      </c>
      <c r="E684" s="107" t="s">
        <v>296</v>
      </c>
      <c r="F684" s="161">
        <v>45353</v>
      </c>
      <c r="G684" s="107">
        <f t="shared" si="25"/>
        <v>5</v>
      </c>
    </row>
    <row r="685" spans="1:7">
      <c r="A685" s="107">
        <v>14</v>
      </c>
      <c r="B685" s="107">
        <v>6</v>
      </c>
      <c r="C685" s="107">
        <v>5</v>
      </c>
      <c r="D685" s="107" t="s">
        <v>295</v>
      </c>
      <c r="E685" s="107" t="s">
        <v>296</v>
      </c>
      <c r="F685" s="161">
        <v>45353</v>
      </c>
      <c r="G685" s="107">
        <f t="shared" si="25"/>
        <v>5</v>
      </c>
    </row>
    <row r="686" spans="1:7">
      <c r="A686" s="107">
        <v>14</v>
      </c>
      <c r="B686" s="107">
        <v>6</v>
      </c>
      <c r="C686" s="107">
        <v>6</v>
      </c>
      <c r="D686" s="107" t="s">
        <v>295</v>
      </c>
      <c r="E686" s="107" t="s">
        <v>296</v>
      </c>
      <c r="F686" s="161">
        <v>45354</v>
      </c>
      <c r="G686" s="107">
        <f t="shared" si="25"/>
        <v>6</v>
      </c>
    </row>
    <row r="687" spans="1:7">
      <c r="A687" s="107">
        <v>14</v>
      </c>
      <c r="B687" s="107">
        <v>6</v>
      </c>
      <c r="C687" s="107">
        <v>7</v>
      </c>
      <c r="D687" s="107" t="s">
        <v>295</v>
      </c>
      <c r="E687" s="107" t="s">
        <v>296</v>
      </c>
      <c r="F687" s="161">
        <v>45353</v>
      </c>
      <c r="G687" s="107">
        <f t="shared" si="25"/>
        <v>5</v>
      </c>
    </row>
    <row r="688" spans="1:7">
      <c r="A688" s="107">
        <v>14</v>
      </c>
      <c r="B688" s="107">
        <v>6</v>
      </c>
      <c r="C688" s="107">
        <v>8</v>
      </c>
      <c r="D688" s="107" t="s">
        <v>295</v>
      </c>
      <c r="E688" s="107" t="s">
        <v>296</v>
      </c>
      <c r="F688" s="161">
        <v>45353</v>
      </c>
      <c r="G688" s="107">
        <f t="shared" si="25"/>
        <v>5</v>
      </c>
    </row>
    <row r="690" spans="1:7">
      <c r="A690" s="107">
        <v>15</v>
      </c>
      <c r="B690" s="107">
        <v>1</v>
      </c>
      <c r="C690" s="107">
        <v>1</v>
      </c>
      <c r="D690" s="107" t="s">
        <v>297</v>
      </c>
      <c r="E690" s="107" t="s">
        <v>298</v>
      </c>
      <c r="F690" s="161">
        <v>45353</v>
      </c>
      <c r="G690" s="107">
        <f t="shared" ref="G690:G721" si="26">DATEDIF(G$2,F690,"d")</f>
        <v>5</v>
      </c>
    </row>
    <row r="691" spans="1:7">
      <c r="A691" s="107">
        <v>15</v>
      </c>
      <c r="B691" s="107">
        <v>1</v>
      </c>
      <c r="C691" s="107">
        <v>2</v>
      </c>
      <c r="D691" s="107" t="s">
        <v>297</v>
      </c>
      <c r="E691" s="107" t="s">
        <v>298</v>
      </c>
      <c r="F691" s="161">
        <v>45353</v>
      </c>
      <c r="G691" s="107">
        <f t="shared" si="26"/>
        <v>5</v>
      </c>
    </row>
    <row r="692" spans="1:7">
      <c r="A692" s="107">
        <v>15</v>
      </c>
      <c r="B692" s="107">
        <v>1</v>
      </c>
      <c r="C692" s="107">
        <v>3</v>
      </c>
      <c r="D692" s="107" t="s">
        <v>297</v>
      </c>
      <c r="E692" s="107" t="s">
        <v>298</v>
      </c>
      <c r="F692" s="161">
        <v>45353</v>
      </c>
      <c r="G692" s="107">
        <f t="shared" si="26"/>
        <v>5</v>
      </c>
    </row>
    <row r="693" spans="1:7">
      <c r="A693" s="107">
        <v>15</v>
      </c>
      <c r="B693" s="107">
        <v>1</v>
      </c>
      <c r="C693" s="107">
        <v>4</v>
      </c>
      <c r="D693" s="107" t="s">
        <v>297</v>
      </c>
      <c r="E693" s="107" t="s">
        <v>298</v>
      </c>
      <c r="F693" s="161">
        <v>45353</v>
      </c>
      <c r="G693" s="107">
        <f t="shared" si="26"/>
        <v>5</v>
      </c>
    </row>
    <row r="694" spans="1:7">
      <c r="A694" s="107">
        <v>15</v>
      </c>
      <c r="B694" s="107">
        <v>1</v>
      </c>
      <c r="C694" s="107">
        <v>5</v>
      </c>
      <c r="D694" s="107" t="s">
        <v>297</v>
      </c>
      <c r="E694" s="107" t="s">
        <v>298</v>
      </c>
      <c r="F694" s="161">
        <v>45353</v>
      </c>
      <c r="G694" s="107">
        <f t="shared" si="26"/>
        <v>5</v>
      </c>
    </row>
    <row r="695" spans="1:7">
      <c r="A695" s="107">
        <v>15</v>
      </c>
      <c r="B695" s="107">
        <v>1</v>
      </c>
      <c r="C695" s="107">
        <v>6</v>
      </c>
      <c r="D695" s="107" t="s">
        <v>297</v>
      </c>
      <c r="E695" s="107" t="s">
        <v>298</v>
      </c>
      <c r="F695" s="161">
        <v>45353</v>
      </c>
      <c r="G695" s="107">
        <f t="shared" si="26"/>
        <v>5</v>
      </c>
    </row>
    <row r="696" spans="1:7">
      <c r="A696" s="107">
        <v>15</v>
      </c>
      <c r="B696" s="107">
        <v>1</v>
      </c>
      <c r="C696" s="107">
        <v>7</v>
      </c>
      <c r="D696" s="107" t="s">
        <v>297</v>
      </c>
      <c r="E696" s="107" t="s">
        <v>298</v>
      </c>
      <c r="F696" s="107"/>
      <c r="G696" s="107"/>
    </row>
    <row r="697" spans="1:7">
      <c r="A697" s="107">
        <v>15</v>
      </c>
      <c r="B697" s="107">
        <v>1</v>
      </c>
      <c r="C697" s="107">
        <v>8</v>
      </c>
      <c r="D697" s="107" t="s">
        <v>297</v>
      </c>
      <c r="E697" s="107" t="s">
        <v>298</v>
      </c>
      <c r="F697" s="161">
        <v>45353</v>
      </c>
      <c r="G697" s="107">
        <f t="shared" si="26"/>
        <v>5</v>
      </c>
    </row>
    <row r="698" spans="1:7">
      <c r="A698" s="107">
        <v>15</v>
      </c>
      <c r="B698" s="107">
        <v>2</v>
      </c>
      <c r="C698" s="107">
        <v>1</v>
      </c>
      <c r="D698" s="107" t="s">
        <v>299</v>
      </c>
      <c r="E698" s="107" t="s">
        <v>300</v>
      </c>
      <c r="F698" s="161">
        <v>45353</v>
      </c>
      <c r="G698" s="107">
        <f t="shared" si="26"/>
        <v>5</v>
      </c>
    </row>
    <row r="699" spans="1:7">
      <c r="A699" s="107">
        <v>15</v>
      </c>
      <c r="B699" s="107">
        <v>2</v>
      </c>
      <c r="C699" s="107">
        <v>2</v>
      </c>
      <c r="D699" s="107" t="s">
        <v>299</v>
      </c>
      <c r="E699" s="107" t="s">
        <v>300</v>
      </c>
      <c r="F699" s="161">
        <v>45353</v>
      </c>
      <c r="G699" s="107">
        <f t="shared" si="26"/>
        <v>5</v>
      </c>
    </row>
    <row r="700" spans="1:7">
      <c r="A700" s="107">
        <v>15</v>
      </c>
      <c r="B700" s="107">
        <v>2</v>
      </c>
      <c r="C700" s="107">
        <v>3</v>
      </c>
      <c r="D700" s="107" t="s">
        <v>299</v>
      </c>
      <c r="E700" s="107" t="s">
        <v>300</v>
      </c>
      <c r="F700" s="161">
        <v>45353</v>
      </c>
      <c r="G700" s="107">
        <f t="shared" si="26"/>
        <v>5</v>
      </c>
    </row>
    <row r="701" spans="1:7">
      <c r="A701" s="107">
        <v>15</v>
      </c>
      <c r="B701" s="107">
        <v>2</v>
      </c>
      <c r="C701" s="107">
        <v>4</v>
      </c>
      <c r="D701" s="107" t="s">
        <v>299</v>
      </c>
      <c r="E701" s="107" t="s">
        <v>300</v>
      </c>
      <c r="F701" s="161">
        <v>45352</v>
      </c>
      <c r="G701" s="107">
        <f t="shared" si="26"/>
        <v>4</v>
      </c>
    </row>
    <row r="702" spans="1:7">
      <c r="A702" s="107">
        <v>15</v>
      </c>
      <c r="B702" s="107">
        <v>2</v>
      </c>
      <c r="C702" s="107">
        <v>5</v>
      </c>
      <c r="D702" s="107" t="s">
        <v>299</v>
      </c>
      <c r="E702" s="107" t="s">
        <v>300</v>
      </c>
      <c r="F702" s="161">
        <v>45353</v>
      </c>
      <c r="G702" s="107">
        <f t="shared" si="26"/>
        <v>5</v>
      </c>
    </row>
    <row r="703" spans="1:7">
      <c r="A703" s="107">
        <v>15</v>
      </c>
      <c r="B703" s="107">
        <v>2</v>
      </c>
      <c r="C703" s="107">
        <v>6</v>
      </c>
      <c r="D703" s="107" t="s">
        <v>299</v>
      </c>
      <c r="E703" s="107" t="s">
        <v>300</v>
      </c>
      <c r="F703" s="161">
        <v>45353</v>
      </c>
      <c r="G703" s="107">
        <f t="shared" si="26"/>
        <v>5</v>
      </c>
    </row>
    <row r="704" spans="1:7">
      <c r="A704" s="107">
        <v>15</v>
      </c>
      <c r="B704" s="107">
        <v>2</v>
      </c>
      <c r="C704" s="107">
        <v>7</v>
      </c>
      <c r="D704" s="107" t="s">
        <v>299</v>
      </c>
      <c r="E704" s="107" t="s">
        <v>300</v>
      </c>
      <c r="F704" s="161">
        <v>45353</v>
      </c>
      <c r="G704" s="107">
        <f t="shared" si="26"/>
        <v>5</v>
      </c>
    </row>
    <row r="705" spans="1:7">
      <c r="A705" s="107">
        <v>15</v>
      </c>
      <c r="B705" s="107">
        <v>2</v>
      </c>
      <c r="C705" s="107">
        <v>8</v>
      </c>
      <c r="D705" s="107" t="s">
        <v>299</v>
      </c>
      <c r="E705" s="107" t="s">
        <v>300</v>
      </c>
      <c r="F705" s="161">
        <v>45352</v>
      </c>
      <c r="G705" s="107">
        <f t="shared" si="26"/>
        <v>4</v>
      </c>
    </row>
    <row r="706" spans="1:7">
      <c r="A706" s="107">
        <v>15</v>
      </c>
      <c r="B706" s="107">
        <v>3</v>
      </c>
      <c r="C706" s="107">
        <v>1</v>
      </c>
      <c r="D706" s="107" t="s">
        <v>301</v>
      </c>
      <c r="E706" s="107" t="s">
        <v>302</v>
      </c>
      <c r="F706" s="161">
        <v>45353</v>
      </c>
      <c r="G706" s="107">
        <f t="shared" si="26"/>
        <v>5</v>
      </c>
    </row>
    <row r="707" spans="1:7">
      <c r="A707" s="107">
        <v>15</v>
      </c>
      <c r="B707" s="107">
        <v>3</v>
      </c>
      <c r="C707" s="107">
        <v>2</v>
      </c>
      <c r="D707" s="107" t="s">
        <v>301</v>
      </c>
      <c r="E707" s="107" t="s">
        <v>302</v>
      </c>
      <c r="F707" s="161">
        <v>45353</v>
      </c>
      <c r="G707" s="107">
        <f t="shared" si="26"/>
        <v>5</v>
      </c>
    </row>
    <row r="708" spans="1:7">
      <c r="A708" s="107">
        <v>15</v>
      </c>
      <c r="B708" s="107">
        <v>3</v>
      </c>
      <c r="C708" s="107">
        <v>3</v>
      </c>
      <c r="D708" s="107" t="s">
        <v>301</v>
      </c>
      <c r="E708" s="107" t="s">
        <v>302</v>
      </c>
      <c r="F708" s="161">
        <v>45353</v>
      </c>
      <c r="G708" s="107">
        <f t="shared" si="26"/>
        <v>5</v>
      </c>
    </row>
    <row r="709" spans="1:7">
      <c r="A709" s="107">
        <v>15</v>
      </c>
      <c r="B709" s="107">
        <v>3</v>
      </c>
      <c r="C709" s="107">
        <v>4</v>
      </c>
      <c r="D709" s="107" t="s">
        <v>301</v>
      </c>
      <c r="E709" s="107" t="s">
        <v>302</v>
      </c>
      <c r="F709" s="161">
        <v>45353</v>
      </c>
      <c r="G709" s="107">
        <f t="shared" si="26"/>
        <v>5</v>
      </c>
    </row>
    <row r="710" spans="1:7">
      <c r="A710" s="107">
        <v>15</v>
      </c>
      <c r="B710" s="107">
        <v>3</v>
      </c>
      <c r="C710" s="107">
        <v>5</v>
      </c>
      <c r="D710" s="107" t="s">
        <v>301</v>
      </c>
      <c r="E710" s="107" t="s">
        <v>302</v>
      </c>
      <c r="F710" s="161">
        <v>45353</v>
      </c>
      <c r="G710" s="107">
        <f t="shared" si="26"/>
        <v>5</v>
      </c>
    </row>
    <row r="711" spans="1:7">
      <c r="A711" s="107">
        <v>15</v>
      </c>
      <c r="B711" s="107">
        <v>3</v>
      </c>
      <c r="C711" s="107">
        <v>6</v>
      </c>
      <c r="D711" s="107" t="s">
        <v>301</v>
      </c>
      <c r="E711" s="107" t="s">
        <v>302</v>
      </c>
      <c r="F711" s="161">
        <v>45353</v>
      </c>
      <c r="G711" s="107">
        <f t="shared" si="26"/>
        <v>5</v>
      </c>
    </row>
    <row r="712" spans="1:7">
      <c r="A712" s="107">
        <v>15</v>
      </c>
      <c r="B712" s="107">
        <v>3</v>
      </c>
      <c r="C712" s="107">
        <v>7</v>
      </c>
      <c r="D712" s="107" t="s">
        <v>301</v>
      </c>
      <c r="E712" s="107" t="s">
        <v>302</v>
      </c>
      <c r="F712" s="161">
        <v>45353</v>
      </c>
      <c r="G712" s="107">
        <f t="shared" si="26"/>
        <v>5</v>
      </c>
    </row>
    <row r="713" spans="1:7">
      <c r="A713" s="107">
        <v>15</v>
      </c>
      <c r="B713" s="107">
        <v>3</v>
      </c>
      <c r="C713" s="107">
        <v>8</v>
      </c>
      <c r="D713" s="107" t="s">
        <v>301</v>
      </c>
      <c r="E713" s="107" t="s">
        <v>302</v>
      </c>
      <c r="F713" s="161">
        <v>45353</v>
      </c>
      <c r="G713" s="107">
        <f t="shared" si="26"/>
        <v>5</v>
      </c>
    </row>
    <row r="714" spans="1:7">
      <c r="A714" s="107">
        <v>15</v>
      </c>
      <c r="B714" s="107">
        <v>4</v>
      </c>
      <c r="C714" s="107">
        <v>1</v>
      </c>
      <c r="D714" s="107" t="s">
        <v>303</v>
      </c>
      <c r="E714" s="107" t="s">
        <v>304</v>
      </c>
      <c r="F714" s="161">
        <v>45352</v>
      </c>
      <c r="G714" s="107">
        <f t="shared" si="26"/>
        <v>4</v>
      </c>
    </row>
    <row r="715" spans="1:7">
      <c r="A715" s="107">
        <v>15</v>
      </c>
      <c r="B715" s="107">
        <v>4</v>
      </c>
      <c r="C715" s="107">
        <v>2</v>
      </c>
      <c r="D715" s="107" t="s">
        <v>303</v>
      </c>
      <c r="E715" s="107" t="s">
        <v>304</v>
      </c>
      <c r="F715" s="161">
        <v>45353</v>
      </c>
      <c r="G715" s="107">
        <f t="shared" si="26"/>
        <v>5</v>
      </c>
    </row>
    <row r="716" spans="1:7">
      <c r="A716" s="107">
        <v>15</v>
      </c>
      <c r="B716" s="107">
        <v>4</v>
      </c>
      <c r="C716" s="107">
        <v>3</v>
      </c>
      <c r="D716" s="107" t="s">
        <v>303</v>
      </c>
      <c r="E716" s="107" t="s">
        <v>304</v>
      </c>
      <c r="F716" s="161">
        <v>45353</v>
      </c>
      <c r="G716" s="107">
        <f t="shared" si="26"/>
        <v>5</v>
      </c>
    </row>
    <row r="717" spans="1:7">
      <c r="A717" s="107">
        <v>15</v>
      </c>
      <c r="B717" s="107">
        <v>4</v>
      </c>
      <c r="C717" s="107">
        <v>4</v>
      </c>
      <c r="D717" s="107" t="s">
        <v>303</v>
      </c>
      <c r="E717" s="107" t="s">
        <v>304</v>
      </c>
      <c r="F717" s="161">
        <v>45353</v>
      </c>
      <c r="G717" s="107">
        <f t="shared" si="26"/>
        <v>5</v>
      </c>
    </row>
    <row r="718" spans="1:7">
      <c r="A718" s="107">
        <v>15</v>
      </c>
      <c r="B718" s="107">
        <v>4</v>
      </c>
      <c r="C718" s="107">
        <v>5</v>
      </c>
      <c r="D718" s="107" t="s">
        <v>303</v>
      </c>
      <c r="E718" s="107" t="s">
        <v>304</v>
      </c>
      <c r="F718" s="161">
        <v>45353</v>
      </c>
      <c r="G718" s="107">
        <f t="shared" si="26"/>
        <v>5</v>
      </c>
    </row>
    <row r="719" spans="1:7">
      <c r="A719" s="107">
        <v>15</v>
      </c>
      <c r="B719" s="107">
        <v>4</v>
      </c>
      <c r="C719" s="107">
        <v>6</v>
      </c>
      <c r="D719" s="107" t="s">
        <v>303</v>
      </c>
      <c r="E719" s="107" t="s">
        <v>304</v>
      </c>
      <c r="F719" s="161">
        <v>45353</v>
      </c>
      <c r="G719" s="107">
        <f t="shared" si="26"/>
        <v>5</v>
      </c>
    </row>
    <row r="720" spans="1:7">
      <c r="A720" s="107">
        <v>15</v>
      </c>
      <c r="B720" s="107">
        <v>4</v>
      </c>
      <c r="C720" s="107">
        <v>7</v>
      </c>
      <c r="D720" s="107" t="s">
        <v>303</v>
      </c>
      <c r="E720" s="107" t="s">
        <v>304</v>
      </c>
      <c r="F720" s="161">
        <v>45352</v>
      </c>
      <c r="G720" s="107">
        <f t="shared" si="26"/>
        <v>4</v>
      </c>
    </row>
    <row r="721" spans="1:7">
      <c r="A721" s="107">
        <v>15</v>
      </c>
      <c r="B721" s="107">
        <v>4</v>
      </c>
      <c r="C721" s="107">
        <v>8</v>
      </c>
      <c r="D721" s="107" t="s">
        <v>303</v>
      </c>
      <c r="E721" s="107" t="s">
        <v>304</v>
      </c>
      <c r="F721" s="161">
        <v>45353</v>
      </c>
      <c r="G721" s="107">
        <f t="shared" si="26"/>
        <v>5</v>
      </c>
    </row>
    <row r="722" spans="1:7">
      <c r="A722" s="107">
        <v>15</v>
      </c>
      <c r="B722" s="107">
        <v>5</v>
      </c>
      <c r="C722" s="107">
        <v>1</v>
      </c>
      <c r="D722" s="107" t="s">
        <v>305</v>
      </c>
      <c r="E722" s="107" t="s">
        <v>306</v>
      </c>
      <c r="F722" s="161">
        <v>45353</v>
      </c>
      <c r="G722" s="107">
        <f t="shared" ref="G722:G753" si="27">DATEDIF(G$2,F722,"d")</f>
        <v>5</v>
      </c>
    </row>
    <row r="723" spans="1:7">
      <c r="A723" s="107">
        <v>15</v>
      </c>
      <c r="B723" s="107">
        <v>5</v>
      </c>
      <c r="C723" s="107">
        <v>2</v>
      </c>
      <c r="D723" s="107" t="s">
        <v>305</v>
      </c>
      <c r="E723" s="107" t="s">
        <v>306</v>
      </c>
      <c r="F723" s="161">
        <v>45353</v>
      </c>
      <c r="G723" s="107">
        <f t="shared" si="27"/>
        <v>5</v>
      </c>
    </row>
    <row r="724" spans="1:7">
      <c r="A724" s="107">
        <v>15</v>
      </c>
      <c r="B724" s="107">
        <v>5</v>
      </c>
      <c r="C724" s="107">
        <v>3</v>
      </c>
      <c r="D724" s="107" t="s">
        <v>305</v>
      </c>
      <c r="E724" s="107" t="s">
        <v>306</v>
      </c>
      <c r="F724" s="161">
        <v>45353</v>
      </c>
      <c r="G724" s="107">
        <f t="shared" si="27"/>
        <v>5</v>
      </c>
    </row>
    <row r="725" spans="1:7">
      <c r="A725" s="107">
        <v>15</v>
      </c>
      <c r="B725" s="107">
        <v>5</v>
      </c>
      <c r="C725" s="107">
        <v>4</v>
      </c>
      <c r="D725" s="107" t="s">
        <v>305</v>
      </c>
      <c r="E725" s="107" t="s">
        <v>306</v>
      </c>
      <c r="F725" s="161">
        <v>45353</v>
      </c>
      <c r="G725" s="107">
        <f t="shared" si="27"/>
        <v>5</v>
      </c>
    </row>
    <row r="726" spans="1:7">
      <c r="A726" s="107">
        <v>15</v>
      </c>
      <c r="B726" s="107">
        <v>5</v>
      </c>
      <c r="C726" s="107">
        <v>5</v>
      </c>
      <c r="D726" s="107" t="s">
        <v>305</v>
      </c>
      <c r="E726" s="107" t="s">
        <v>306</v>
      </c>
      <c r="F726" s="161">
        <v>45353</v>
      </c>
      <c r="G726" s="107">
        <f t="shared" si="27"/>
        <v>5</v>
      </c>
    </row>
    <row r="727" spans="1:7">
      <c r="A727" s="107">
        <v>15</v>
      </c>
      <c r="B727" s="107">
        <v>5</v>
      </c>
      <c r="C727" s="107">
        <v>6</v>
      </c>
      <c r="D727" s="107" t="s">
        <v>305</v>
      </c>
      <c r="E727" s="107" t="s">
        <v>306</v>
      </c>
      <c r="F727" s="161">
        <v>45353</v>
      </c>
      <c r="G727" s="107">
        <f t="shared" si="27"/>
        <v>5</v>
      </c>
    </row>
    <row r="728" spans="1:7">
      <c r="A728" s="107">
        <v>15</v>
      </c>
      <c r="B728" s="107">
        <v>5</v>
      </c>
      <c r="C728" s="107">
        <v>7</v>
      </c>
      <c r="D728" s="107" t="s">
        <v>305</v>
      </c>
      <c r="E728" s="107" t="s">
        <v>306</v>
      </c>
      <c r="F728" s="161">
        <v>45353</v>
      </c>
      <c r="G728" s="107">
        <f t="shared" si="27"/>
        <v>5</v>
      </c>
    </row>
    <row r="729" spans="1:7">
      <c r="A729" s="107">
        <v>15</v>
      </c>
      <c r="B729" s="107">
        <v>5</v>
      </c>
      <c r="C729" s="107">
        <v>8</v>
      </c>
      <c r="D729" s="107" t="s">
        <v>305</v>
      </c>
      <c r="E729" s="107" t="s">
        <v>306</v>
      </c>
      <c r="F729" s="161">
        <v>45353</v>
      </c>
      <c r="G729" s="107">
        <f t="shared" si="27"/>
        <v>5</v>
      </c>
    </row>
    <row r="730" spans="1:7">
      <c r="A730" s="107">
        <v>15</v>
      </c>
      <c r="B730" s="107">
        <v>6</v>
      </c>
      <c r="C730" s="107">
        <v>1</v>
      </c>
      <c r="D730" s="107" t="s">
        <v>307</v>
      </c>
      <c r="E730" s="107" t="s">
        <v>308</v>
      </c>
      <c r="F730" s="161">
        <v>45353</v>
      </c>
      <c r="G730" s="107">
        <f t="shared" si="27"/>
        <v>5</v>
      </c>
    </row>
    <row r="731" spans="1:7">
      <c r="A731" s="107">
        <v>15</v>
      </c>
      <c r="B731" s="107">
        <v>6</v>
      </c>
      <c r="C731" s="107">
        <v>2</v>
      </c>
      <c r="D731" s="107" t="s">
        <v>307</v>
      </c>
      <c r="E731" s="107" t="s">
        <v>308</v>
      </c>
      <c r="F731" s="161">
        <v>45353</v>
      </c>
      <c r="G731" s="107">
        <f t="shared" si="27"/>
        <v>5</v>
      </c>
    </row>
    <row r="732" spans="1:7">
      <c r="A732" s="107">
        <v>15</v>
      </c>
      <c r="B732" s="107">
        <v>6</v>
      </c>
      <c r="C732" s="107">
        <v>3</v>
      </c>
      <c r="D732" s="107" t="s">
        <v>307</v>
      </c>
      <c r="E732" s="107" t="s">
        <v>308</v>
      </c>
      <c r="F732" s="161">
        <v>45353</v>
      </c>
      <c r="G732" s="107">
        <f t="shared" si="27"/>
        <v>5</v>
      </c>
    </row>
    <row r="733" spans="1:7">
      <c r="A733" s="107">
        <v>15</v>
      </c>
      <c r="B733" s="107">
        <v>6</v>
      </c>
      <c r="C733" s="107">
        <v>4</v>
      </c>
      <c r="D733" s="107" t="s">
        <v>307</v>
      </c>
      <c r="E733" s="107" t="s">
        <v>308</v>
      </c>
      <c r="F733" s="161">
        <v>45353</v>
      </c>
      <c r="G733" s="107">
        <f t="shared" si="27"/>
        <v>5</v>
      </c>
    </row>
    <row r="734" spans="1:7">
      <c r="A734" s="107">
        <v>15</v>
      </c>
      <c r="B734" s="107">
        <v>6</v>
      </c>
      <c r="C734" s="107">
        <v>5</v>
      </c>
      <c r="D734" s="107" t="s">
        <v>307</v>
      </c>
      <c r="E734" s="107" t="s">
        <v>308</v>
      </c>
      <c r="F734" s="161">
        <v>45353</v>
      </c>
      <c r="G734" s="107">
        <f t="shared" si="27"/>
        <v>5</v>
      </c>
    </row>
    <row r="735" spans="1:7">
      <c r="A735" s="107">
        <v>15</v>
      </c>
      <c r="B735" s="107">
        <v>6</v>
      </c>
      <c r="C735" s="107">
        <v>6</v>
      </c>
      <c r="D735" s="107" t="s">
        <v>307</v>
      </c>
      <c r="E735" s="107" t="s">
        <v>308</v>
      </c>
      <c r="F735" s="161">
        <v>45353</v>
      </c>
      <c r="G735" s="107">
        <f t="shared" si="27"/>
        <v>5</v>
      </c>
    </row>
    <row r="736" spans="1:7">
      <c r="A736" s="107">
        <v>15</v>
      </c>
      <c r="B736" s="107">
        <v>6</v>
      </c>
      <c r="C736" s="107">
        <v>7</v>
      </c>
      <c r="D736" s="107" t="s">
        <v>307</v>
      </c>
      <c r="E736" s="107" t="s">
        <v>308</v>
      </c>
      <c r="F736" s="161">
        <v>45353</v>
      </c>
      <c r="G736" s="107">
        <f t="shared" si="27"/>
        <v>5</v>
      </c>
    </row>
    <row r="737" spans="1:7">
      <c r="A737" s="107">
        <v>15</v>
      </c>
      <c r="B737" s="107">
        <v>6</v>
      </c>
      <c r="C737" s="107">
        <v>8</v>
      </c>
      <c r="D737" s="107" t="s">
        <v>307</v>
      </c>
      <c r="E737" s="107" t="s">
        <v>308</v>
      </c>
      <c r="F737" s="161">
        <v>45353</v>
      </c>
      <c r="G737" s="107">
        <f t="shared" si="27"/>
        <v>5</v>
      </c>
    </row>
    <row r="739" spans="1:7">
      <c r="A739" s="107">
        <v>16</v>
      </c>
      <c r="B739" s="107">
        <v>1</v>
      </c>
      <c r="C739" s="107">
        <v>1</v>
      </c>
      <c r="D739" s="107" t="s">
        <v>309</v>
      </c>
      <c r="E739" s="107" t="s">
        <v>310</v>
      </c>
      <c r="F739" s="161">
        <v>45353</v>
      </c>
      <c r="G739" s="107">
        <f t="shared" si="27"/>
        <v>5</v>
      </c>
    </row>
    <row r="740" spans="1:7">
      <c r="A740" s="107">
        <v>16</v>
      </c>
      <c r="B740" s="107">
        <v>1</v>
      </c>
      <c r="C740" s="107">
        <v>2</v>
      </c>
      <c r="D740" s="107" t="s">
        <v>309</v>
      </c>
      <c r="E740" s="107" t="s">
        <v>310</v>
      </c>
      <c r="F740" s="161">
        <v>45353</v>
      </c>
      <c r="G740" s="107">
        <f t="shared" si="27"/>
        <v>5</v>
      </c>
    </row>
    <row r="741" spans="1:7">
      <c r="A741" s="107">
        <v>16</v>
      </c>
      <c r="B741" s="107">
        <v>1</v>
      </c>
      <c r="C741" s="107">
        <v>3</v>
      </c>
      <c r="D741" s="107" t="s">
        <v>309</v>
      </c>
      <c r="E741" s="107" t="s">
        <v>310</v>
      </c>
      <c r="F741" s="161">
        <v>45353</v>
      </c>
      <c r="G741" s="107">
        <f t="shared" si="27"/>
        <v>5</v>
      </c>
    </row>
    <row r="742" spans="1:7">
      <c r="A742" s="107">
        <v>16</v>
      </c>
      <c r="B742" s="107">
        <v>1</v>
      </c>
      <c r="C742" s="107">
        <v>4</v>
      </c>
      <c r="D742" s="107" t="s">
        <v>309</v>
      </c>
      <c r="E742" s="107" t="s">
        <v>310</v>
      </c>
      <c r="F742" s="161">
        <v>45353</v>
      </c>
      <c r="G742" s="107">
        <f t="shared" si="27"/>
        <v>5</v>
      </c>
    </row>
    <row r="743" spans="1:7">
      <c r="A743" s="107">
        <v>16</v>
      </c>
      <c r="B743" s="107">
        <v>1</v>
      </c>
      <c r="C743" s="107">
        <v>5</v>
      </c>
      <c r="D743" s="107" t="s">
        <v>309</v>
      </c>
      <c r="E743" s="107" t="s">
        <v>310</v>
      </c>
      <c r="F743" s="161">
        <v>45353</v>
      </c>
      <c r="G743" s="107">
        <f t="shared" si="27"/>
        <v>5</v>
      </c>
    </row>
    <row r="744" spans="1:7">
      <c r="A744" s="107">
        <v>16</v>
      </c>
      <c r="B744" s="107">
        <v>1</v>
      </c>
      <c r="C744" s="107">
        <v>6</v>
      </c>
      <c r="D744" s="107" t="s">
        <v>309</v>
      </c>
      <c r="E744" s="107" t="s">
        <v>310</v>
      </c>
      <c r="F744" s="161">
        <v>45353</v>
      </c>
      <c r="G744" s="107">
        <f t="shared" si="27"/>
        <v>5</v>
      </c>
    </row>
    <row r="745" spans="1:7">
      <c r="A745" s="107">
        <v>16</v>
      </c>
      <c r="B745" s="107">
        <v>1</v>
      </c>
      <c r="C745" s="107">
        <v>7</v>
      </c>
      <c r="D745" s="107" t="s">
        <v>309</v>
      </c>
      <c r="E745" s="107" t="s">
        <v>310</v>
      </c>
      <c r="F745" s="161">
        <v>45353</v>
      </c>
      <c r="G745" s="107">
        <f t="shared" si="27"/>
        <v>5</v>
      </c>
    </row>
    <row r="746" spans="1:7">
      <c r="A746" s="107">
        <v>16</v>
      </c>
      <c r="B746" s="107">
        <v>1</v>
      </c>
      <c r="C746" s="107">
        <v>8</v>
      </c>
      <c r="D746" s="107" t="s">
        <v>309</v>
      </c>
      <c r="E746" s="107" t="s">
        <v>310</v>
      </c>
      <c r="F746" s="161">
        <v>45353</v>
      </c>
      <c r="G746" s="107">
        <f t="shared" si="27"/>
        <v>5</v>
      </c>
    </row>
    <row r="747" spans="1:7">
      <c r="A747" s="107">
        <v>16</v>
      </c>
      <c r="B747" s="107">
        <v>2</v>
      </c>
      <c r="C747" s="107">
        <v>1</v>
      </c>
      <c r="D747" s="107" t="s">
        <v>311</v>
      </c>
      <c r="E747" s="107" t="s">
        <v>312</v>
      </c>
      <c r="F747" s="161">
        <v>45353</v>
      </c>
      <c r="G747" s="107">
        <f t="shared" si="27"/>
        <v>5</v>
      </c>
    </row>
    <row r="748" spans="1:7">
      <c r="A748" s="107">
        <v>16</v>
      </c>
      <c r="B748" s="107">
        <v>2</v>
      </c>
      <c r="C748" s="107">
        <v>2</v>
      </c>
      <c r="D748" s="107" t="s">
        <v>311</v>
      </c>
      <c r="E748" s="107" t="s">
        <v>312</v>
      </c>
      <c r="F748" s="161">
        <v>45353</v>
      </c>
      <c r="G748" s="107">
        <f t="shared" si="27"/>
        <v>5</v>
      </c>
    </row>
    <row r="749" spans="1:7">
      <c r="A749" s="107">
        <v>16</v>
      </c>
      <c r="B749" s="107">
        <v>2</v>
      </c>
      <c r="C749" s="107">
        <v>3</v>
      </c>
      <c r="D749" s="107" t="s">
        <v>311</v>
      </c>
      <c r="E749" s="107" t="s">
        <v>312</v>
      </c>
      <c r="F749" s="161">
        <v>45353</v>
      </c>
      <c r="G749" s="107">
        <f t="shared" si="27"/>
        <v>5</v>
      </c>
    </row>
    <row r="750" spans="1:7">
      <c r="A750" s="107">
        <v>16</v>
      </c>
      <c r="B750" s="107">
        <v>2</v>
      </c>
      <c r="C750" s="107">
        <v>4</v>
      </c>
      <c r="D750" s="107" t="s">
        <v>311</v>
      </c>
      <c r="E750" s="107" t="s">
        <v>312</v>
      </c>
      <c r="F750" s="161">
        <v>45353</v>
      </c>
      <c r="G750" s="107">
        <f t="shared" si="27"/>
        <v>5</v>
      </c>
    </row>
    <row r="751" spans="1:7">
      <c r="A751" s="107">
        <v>16</v>
      </c>
      <c r="B751" s="107">
        <v>2</v>
      </c>
      <c r="C751" s="107">
        <v>5</v>
      </c>
      <c r="D751" s="107" t="s">
        <v>311</v>
      </c>
      <c r="E751" s="107" t="s">
        <v>312</v>
      </c>
      <c r="F751" s="161">
        <v>45354</v>
      </c>
      <c r="G751" s="107">
        <f t="shared" si="27"/>
        <v>6</v>
      </c>
    </row>
    <row r="752" spans="1:7">
      <c r="A752" s="107">
        <v>16</v>
      </c>
      <c r="B752" s="107">
        <v>2</v>
      </c>
      <c r="C752" s="107">
        <v>6</v>
      </c>
      <c r="D752" s="107" t="s">
        <v>311</v>
      </c>
      <c r="E752" s="107" t="s">
        <v>312</v>
      </c>
      <c r="F752" s="161">
        <v>45353</v>
      </c>
      <c r="G752" s="107">
        <f t="shared" si="27"/>
        <v>5</v>
      </c>
    </row>
    <row r="753" spans="1:7">
      <c r="A753" s="107">
        <v>16</v>
      </c>
      <c r="B753" s="107">
        <v>2</v>
      </c>
      <c r="C753" s="107">
        <v>7</v>
      </c>
      <c r="D753" s="107" t="s">
        <v>311</v>
      </c>
      <c r="E753" s="107" t="s">
        <v>312</v>
      </c>
      <c r="F753" s="161">
        <v>45353</v>
      </c>
      <c r="G753" s="107">
        <f t="shared" si="27"/>
        <v>5</v>
      </c>
    </row>
    <row r="754" spans="1:7">
      <c r="A754" s="107">
        <v>16</v>
      </c>
      <c r="B754" s="107">
        <v>2</v>
      </c>
      <c r="C754" s="107">
        <v>8</v>
      </c>
      <c r="D754" s="107" t="s">
        <v>311</v>
      </c>
      <c r="E754" s="107" t="s">
        <v>312</v>
      </c>
      <c r="F754" s="161">
        <v>45353</v>
      </c>
      <c r="G754" s="107">
        <f t="shared" ref="G754:G785" si="28">DATEDIF(G$2,F754,"d")</f>
        <v>5</v>
      </c>
    </row>
    <row r="755" spans="1:7">
      <c r="A755" s="107">
        <v>16</v>
      </c>
      <c r="B755" s="107">
        <v>3</v>
      </c>
      <c r="C755" s="107">
        <v>1</v>
      </c>
      <c r="D755" s="107" t="s">
        <v>313</v>
      </c>
      <c r="E755" s="107" t="s">
        <v>314</v>
      </c>
      <c r="F755" s="161">
        <v>45353</v>
      </c>
      <c r="G755" s="107">
        <f t="shared" si="28"/>
        <v>5</v>
      </c>
    </row>
    <row r="756" spans="1:7">
      <c r="A756" s="107">
        <v>16</v>
      </c>
      <c r="B756" s="107">
        <v>3</v>
      </c>
      <c r="C756" s="107">
        <v>2</v>
      </c>
      <c r="D756" s="107" t="s">
        <v>313</v>
      </c>
      <c r="E756" s="107" t="s">
        <v>314</v>
      </c>
      <c r="F756" s="161">
        <v>45353</v>
      </c>
      <c r="G756" s="107">
        <f t="shared" si="28"/>
        <v>5</v>
      </c>
    </row>
    <row r="757" spans="1:7">
      <c r="A757" s="107">
        <v>16</v>
      </c>
      <c r="B757" s="107">
        <v>3</v>
      </c>
      <c r="C757" s="107">
        <v>3</v>
      </c>
      <c r="D757" s="107" t="s">
        <v>313</v>
      </c>
      <c r="E757" s="107" t="s">
        <v>314</v>
      </c>
      <c r="F757" s="161">
        <v>45353</v>
      </c>
      <c r="G757" s="107">
        <f t="shared" si="28"/>
        <v>5</v>
      </c>
    </row>
    <row r="758" spans="1:7">
      <c r="A758" s="107">
        <v>16</v>
      </c>
      <c r="B758" s="107">
        <v>3</v>
      </c>
      <c r="C758" s="107">
        <v>4</v>
      </c>
      <c r="D758" s="107" t="s">
        <v>313</v>
      </c>
      <c r="E758" s="107" t="s">
        <v>314</v>
      </c>
      <c r="F758" s="161">
        <v>45353</v>
      </c>
      <c r="G758" s="107">
        <f t="shared" si="28"/>
        <v>5</v>
      </c>
    </row>
    <row r="759" spans="1:7">
      <c r="A759" s="107">
        <v>16</v>
      </c>
      <c r="B759" s="107">
        <v>3</v>
      </c>
      <c r="C759" s="107">
        <v>5</v>
      </c>
      <c r="D759" s="107" t="s">
        <v>313</v>
      </c>
      <c r="E759" s="107" t="s">
        <v>314</v>
      </c>
      <c r="F759" s="161">
        <v>45354</v>
      </c>
      <c r="G759" s="107">
        <f t="shared" si="28"/>
        <v>6</v>
      </c>
    </row>
    <row r="760" spans="1:7">
      <c r="A760" s="107">
        <v>16</v>
      </c>
      <c r="B760" s="107">
        <v>3</v>
      </c>
      <c r="C760" s="107">
        <v>6</v>
      </c>
      <c r="D760" s="107" t="s">
        <v>313</v>
      </c>
      <c r="E760" s="107" t="s">
        <v>314</v>
      </c>
      <c r="F760" s="161">
        <v>45353</v>
      </c>
      <c r="G760" s="107">
        <f t="shared" si="28"/>
        <v>5</v>
      </c>
    </row>
    <row r="761" spans="1:7">
      <c r="A761" s="107">
        <v>16</v>
      </c>
      <c r="B761" s="107">
        <v>3</v>
      </c>
      <c r="C761" s="107">
        <v>7</v>
      </c>
      <c r="D761" s="107" t="s">
        <v>313</v>
      </c>
      <c r="E761" s="107" t="s">
        <v>314</v>
      </c>
      <c r="F761" s="161">
        <v>45353</v>
      </c>
      <c r="G761" s="107">
        <f t="shared" si="28"/>
        <v>5</v>
      </c>
    </row>
    <row r="762" spans="1:7">
      <c r="A762" s="107">
        <v>16</v>
      </c>
      <c r="B762" s="107">
        <v>3</v>
      </c>
      <c r="C762" s="107">
        <v>8</v>
      </c>
      <c r="D762" s="107" t="s">
        <v>313</v>
      </c>
      <c r="E762" s="107" t="s">
        <v>314</v>
      </c>
      <c r="F762" s="161">
        <v>45353</v>
      </c>
      <c r="G762" s="107">
        <f t="shared" si="28"/>
        <v>5</v>
      </c>
    </row>
    <row r="763" spans="1:7">
      <c r="A763" s="107">
        <v>16</v>
      </c>
      <c r="B763" s="107">
        <v>4</v>
      </c>
      <c r="C763" s="107">
        <v>1</v>
      </c>
      <c r="D763" s="107" t="s">
        <v>315</v>
      </c>
      <c r="E763" s="107" t="s">
        <v>316</v>
      </c>
      <c r="F763" s="161">
        <v>45353</v>
      </c>
      <c r="G763" s="107">
        <f t="shared" si="28"/>
        <v>5</v>
      </c>
    </row>
    <row r="764" spans="1:7">
      <c r="A764" s="107">
        <v>16</v>
      </c>
      <c r="B764" s="107">
        <v>4</v>
      </c>
      <c r="C764" s="107">
        <v>2</v>
      </c>
      <c r="D764" s="107" t="s">
        <v>315</v>
      </c>
      <c r="E764" s="107" t="s">
        <v>316</v>
      </c>
      <c r="F764" s="161">
        <v>45353</v>
      </c>
      <c r="G764" s="107">
        <f t="shared" si="28"/>
        <v>5</v>
      </c>
    </row>
    <row r="765" spans="1:7">
      <c r="A765" s="107">
        <v>16</v>
      </c>
      <c r="B765" s="107">
        <v>4</v>
      </c>
      <c r="C765" s="107">
        <v>3</v>
      </c>
      <c r="D765" s="107" t="s">
        <v>315</v>
      </c>
      <c r="E765" s="107" t="s">
        <v>316</v>
      </c>
      <c r="F765" s="161">
        <v>45353</v>
      </c>
      <c r="G765" s="107">
        <f t="shared" si="28"/>
        <v>5</v>
      </c>
    </row>
    <row r="766" spans="1:7">
      <c r="A766" s="107">
        <v>16</v>
      </c>
      <c r="B766" s="107">
        <v>4</v>
      </c>
      <c r="C766" s="107">
        <v>4</v>
      </c>
      <c r="D766" s="107" t="s">
        <v>315</v>
      </c>
      <c r="E766" s="107" t="s">
        <v>316</v>
      </c>
      <c r="F766" s="161">
        <v>45353</v>
      </c>
      <c r="G766" s="107">
        <f t="shared" si="28"/>
        <v>5</v>
      </c>
    </row>
    <row r="767" spans="1:7">
      <c r="A767" s="107">
        <v>16</v>
      </c>
      <c r="B767" s="107">
        <v>4</v>
      </c>
      <c r="C767" s="107">
        <v>5</v>
      </c>
      <c r="D767" s="107" t="s">
        <v>315</v>
      </c>
      <c r="E767" s="107" t="s">
        <v>316</v>
      </c>
      <c r="F767" s="161">
        <v>45353</v>
      </c>
      <c r="G767" s="107">
        <f t="shared" si="28"/>
        <v>5</v>
      </c>
    </row>
    <row r="768" spans="1:7">
      <c r="A768" s="107">
        <v>16</v>
      </c>
      <c r="B768" s="107">
        <v>4</v>
      </c>
      <c r="C768" s="107">
        <v>6</v>
      </c>
      <c r="D768" s="107" t="s">
        <v>315</v>
      </c>
      <c r="E768" s="107" t="s">
        <v>316</v>
      </c>
      <c r="F768" s="161">
        <v>45353</v>
      </c>
      <c r="G768" s="107">
        <f t="shared" si="28"/>
        <v>5</v>
      </c>
    </row>
    <row r="769" spans="1:7">
      <c r="A769" s="107">
        <v>16</v>
      </c>
      <c r="B769" s="107">
        <v>4</v>
      </c>
      <c r="C769" s="107">
        <v>7</v>
      </c>
      <c r="D769" s="107" t="s">
        <v>315</v>
      </c>
      <c r="E769" s="107" t="s">
        <v>316</v>
      </c>
      <c r="F769" s="161">
        <v>45353</v>
      </c>
      <c r="G769" s="107">
        <f t="shared" si="28"/>
        <v>5</v>
      </c>
    </row>
    <row r="770" spans="1:7">
      <c r="A770" s="107">
        <v>16</v>
      </c>
      <c r="B770" s="107">
        <v>4</v>
      </c>
      <c r="C770" s="107">
        <v>8</v>
      </c>
      <c r="D770" s="107" t="s">
        <v>315</v>
      </c>
      <c r="E770" s="107" t="s">
        <v>316</v>
      </c>
      <c r="F770" s="161">
        <v>45353</v>
      </c>
      <c r="G770" s="107">
        <f t="shared" si="28"/>
        <v>5</v>
      </c>
    </row>
    <row r="771" spans="1:7">
      <c r="A771" s="107">
        <v>16</v>
      </c>
      <c r="B771" s="107">
        <v>5</v>
      </c>
      <c r="C771" s="107">
        <v>1</v>
      </c>
      <c r="D771" s="107" t="s">
        <v>317</v>
      </c>
      <c r="E771" s="107" t="s">
        <v>318</v>
      </c>
      <c r="F771" s="161">
        <v>45354</v>
      </c>
      <c r="G771" s="107">
        <f t="shared" si="28"/>
        <v>6</v>
      </c>
    </row>
    <row r="772" spans="1:7">
      <c r="A772" s="107">
        <v>16</v>
      </c>
      <c r="B772" s="107">
        <v>5</v>
      </c>
      <c r="C772" s="107">
        <v>2</v>
      </c>
      <c r="D772" s="107" t="s">
        <v>317</v>
      </c>
      <c r="E772" s="107" t="s">
        <v>318</v>
      </c>
      <c r="F772" s="161">
        <v>45353</v>
      </c>
      <c r="G772" s="107">
        <f t="shared" si="28"/>
        <v>5</v>
      </c>
    </row>
    <row r="773" spans="1:7">
      <c r="A773" s="107">
        <v>16</v>
      </c>
      <c r="B773" s="107">
        <v>5</v>
      </c>
      <c r="C773" s="107">
        <v>3</v>
      </c>
      <c r="D773" s="107" t="s">
        <v>317</v>
      </c>
      <c r="E773" s="107" t="s">
        <v>318</v>
      </c>
      <c r="F773" s="161">
        <v>45353</v>
      </c>
      <c r="G773" s="107">
        <f t="shared" si="28"/>
        <v>5</v>
      </c>
    </row>
    <row r="774" spans="1:7">
      <c r="A774" s="107">
        <v>16</v>
      </c>
      <c r="B774" s="107">
        <v>5</v>
      </c>
      <c r="C774" s="107">
        <v>4</v>
      </c>
      <c r="D774" s="107" t="s">
        <v>317</v>
      </c>
      <c r="E774" s="107" t="s">
        <v>318</v>
      </c>
      <c r="F774" s="161">
        <v>45353</v>
      </c>
      <c r="G774" s="107">
        <f t="shared" si="28"/>
        <v>5</v>
      </c>
    </row>
    <row r="775" spans="1:7">
      <c r="A775" s="107">
        <v>16</v>
      </c>
      <c r="B775" s="107">
        <v>5</v>
      </c>
      <c r="C775" s="107">
        <v>5</v>
      </c>
      <c r="D775" s="107" t="s">
        <v>317</v>
      </c>
      <c r="E775" s="107" t="s">
        <v>318</v>
      </c>
      <c r="F775" s="161">
        <v>45353</v>
      </c>
      <c r="G775" s="107">
        <f t="shared" si="28"/>
        <v>5</v>
      </c>
    </row>
    <row r="776" spans="1:7">
      <c r="A776" s="107">
        <v>16</v>
      </c>
      <c r="B776" s="107">
        <v>5</v>
      </c>
      <c r="C776" s="107">
        <v>6</v>
      </c>
      <c r="D776" s="107" t="s">
        <v>317</v>
      </c>
      <c r="E776" s="107" t="s">
        <v>318</v>
      </c>
      <c r="F776" s="161">
        <v>45353</v>
      </c>
      <c r="G776" s="107">
        <f t="shared" si="28"/>
        <v>5</v>
      </c>
    </row>
    <row r="777" spans="1:7">
      <c r="A777" s="107">
        <v>16</v>
      </c>
      <c r="B777" s="107">
        <v>5</v>
      </c>
      <c r="C777" s="107">
        <v>7</v>
      </c>
      <c r="D777" s="107" t="s">
        <v>317</v>
      </c>
      <c r="E777" s="107" t="s">
        <v>318</v>
      </c>
      <c r="F777" s="161">
        <v>45354</v>
      </c>
      <c r="G777" s="107">
        <f t="shared" si="28"/>
        <v>6</v>
      </c>
    </row>
    <row r="778" spans="1:7">
      <c r="A778" s="107">
        <v>16</v>
      </c>
      <c r="B778" s="107">
        <v>5</v>
      </c>
      <c r="C778" s="107">
        <v>8</v>
      </c>
      <c r="D778" s="107" t="s">
        <v>317</v>
      </c>
      <c r="E778" s="107" t="s">
        <v>318</v>
      </c>
      <c r="F778" s="161">
        <v>45353</v>
      </c>
      <c r="G778" s="107">
        <f t="shared" si="28"/>
        <v>5</v>
      </c>
    </row>
    <row r="779" spans="1:7">
      <c r="A779" s="107">
        <v>16</v>
      </c>
      <c r="B779" s="107">
        <v>6</v>
      </c>
      <c r="C779" s="107">
        <v>1</v>
      </c>
      <c r="D779" s="107" t="s">
        <v>319</v>
      </c>
      <c r="E779" s="107" t="s">
        <v>320</v>
      </c>
      <c r="F779" s="161">
        <v>45353</v>
      </c>
      <c r="G779" s="107">
        <f t="shared" si="28"/>
        <v>5</v>
      </c>
    </row>
    <row r="780" spans="1:7">
      <c r="A780" s="107">
        <v>16</v>
      </c>
      <c r="B780" s="107">
        <v>6</v>
      </c>
      <c r="C780" s="107">
        <v>2</v>
      </c>
      <c r="D780" s="107" t="s">
        <v>319</v>
      </c>
      <c r="E780" s="107" t="s">
        <v>320</v>
      </c>
      <c r="F780" s="161">
        <v>45353</v>
      </c>
      <c r="G780" s="107">
        <f t="shared" si="28"/>
        <v>5</v>
      </c>
    </row>
    <row r="781" spans="1:7">
      <c r="A781" s="107">
        <v>16</v>
      </c>
      <c r="B781" s="107">
        <v>6</v>
      </c>
      <c r="C781" s="107">
        <v>3</v>
      </c>
      <c r="D781" s="107" t="s">
        <v>319</v>
      </c>
      <c r="E781" s="107" t="s">
        <v>320</v>
      </c>
      <c r="F781" s="161">
        <v>45353</v>
      </c>
      <c r="G781" s="107">
        <f t="shared" si="28"/>
        <v>5</v>
      </c>
    </row>
    <row r="782" spans="1:7">
      <c r="A782" s="107">
        <v>16</v>
      </c>
      <c r="B782" s="107">
        <v>6</v>
      </c>
      <c r="C782" s="107">
        <v>4</v>
      </c>
      <c r="D782" s="107" t="s">
        <v>319</v>
      </c>
      <c r="E782" s="107" t="s">
        <v>320</v>
      </c>
      <c r="F782" s="161">
        <v>45353</v>
      </c>
      <c r="G782" s="107">
        <f t="shared" si="28"/>
        <v>5</v>
      </c>
    </row>
    <row r="783" spans="1:7">
      <c r="A783" s="107">
        <v>16</v>
      </c>
      <c r="B783" s="107">
        <v>6</v>
      </c>
      <c r="C783" s="107">
        <v>5</v>
      </c>
      <c r="D783" s="107" t="s">
        <v>319</v>
      </c>
      <c r="E783" s="107" t="s">
        <v>320</v>
      </c>
      <c r="F783" s="161">
        <v>45353</v>
      </c>
      <c r="G783" s="107">
        <f t="shared" si="28"/>
        <v>5</v>
      </c>
    </row>
    <row r="784" spans="1:7">
      <c r="A784" s="107">
        <v>16</v>
      </c>
      <c r="B784" s="107">
        <v>6</v>
      </c>
      <c r="C784" s="107">
        <v>6</v>
      </c>
      <c r="D784" s="107" t="s">
        <v>319</v>
      </c>
      <c r="E784" s="107" t="s">
        <v>320</v>
      </c>
      <c r="F784" s="161">
        <v>45353</v>
      </c>
      <c r="G784" s="107">
        <f t="shared" si="28"/>
        <v>5</v>
      </c>
    </row>
    <row r="785" spans="1:7">
      <c r="A785" s="107">
        <v>16</v>
      </c>
      <c r="B785" s="107">
        <v>6</v>
      </c>
      <c r="C785" s="107">
        <v>7</v>
      </c>
      <c r="D785" s="107" t="s">
        <v>319</v>
      </c>
      <c r="E785" s="107" t="s">
        <v>320</v>
      </c>
      <c r="F785" s="161">
        <v>45354</v>
      </c>
      <c r="G785" s="107">
        <f t="shared" si="28"/>
        <v>6</v>
      </c>
    </row>
    <row r="786" spans="1:7">
      <c r="A786" s="107">
        <v>16</v>
      </c>
      <c r="B786" s="107">
        <v>6</v>
      </c>
      <c r="C786" s="107">
        <v>8</v>
      </c>
      <c r="D786" s="107" t="s">
        <v>319</v>
      </c>
      <c r="E786" s="107" t="s">
        <v>320</v>
      </c>
      <c r="F786" s="161">
        <v>45353</v>
      </c>
      <c r="G786" s="107">
        <f t="shared" ref="G786" si="29">DATEDIF(G$2,F786,"d")</f>
        <v>5</v>
      </c>
    </row>
    <row r="788" spans="1:7">
      <c r="A788" s="107">
        <v>17</v>
      </c>
      <c r="B788" s="107">
        <v>1</v>
      </c>
      <c r="C788" s="107">
        <v>1</v>
      </c>
      <c r="D788" s="107" t="s">
        <v>321</v>
      </c>
      <c r="E788" s="107" t="s">
        <v>322</v>
      </c>
      <c r="F788" s="161">
        <v>45353</v>
      </c>
      <c r="G788" s="107">
        <f t="shared" ref="G788:G825" si="30">DATEDIF(G$2,F788,"d")</f>
        <v>5</v>
      </c>
    </row>
    <row r="789" spans="1:7">
      <c r="A789" s="107">
        <v>17</v>
      </c>
      <c r="B789" s="107">
        <v>1</v>
      </c>
      <c r="C789" s="107">
        <v>2</v>
      </c>
      <c r="D789" s="107" t="s">
        <v>321</v>
      </c>
      <c r="E789" s="107" t="s">
        <v>322</v>
      </c>
      <c r="F789" s="161">
        <v>45353</v>
      </c>
      <c r="G789" s="107">
        <f t="shared" si="30"/>
        <v>5</v>
      </c>
    </row>
    <row r="790" spans="1:7">
      <c r="A790" s="107">
        <v>17</v>
      </c>
      <c r="B790" s="107">
        <v>1</v>
      </c>
      <c r="C790" s="107">
        <v>3</v>
      </c>
      <c r="D790" s="107" t="s">
        <v>321</v>
      </c>
      <c r="E790" s="107" t="s">
        <v>322</v>
      </c>
      <c r="F790" s="161">
        <v>45353</v>
      </c>
      <c r="G790" s="107">
        <f t="shared" si="30"/>
        <v>5</v>
      </c>
    </row>
    <row r="791" spans="1:7">
      <c r="A791" s="107">
        <v>17</v>
      </c>
      <c r="B791" s="107">
        <v>1</v>
      </c>
      <c r="C791" s="107">
        <v>4</v>
      </c>
      <c r="D791" s="107" t="s">
        <v>321</v>
      </c>
      <c r="E791" s="107" t="s">
        <v>322</v>
      </c>
      <c r="F791" s="161">
        <v>45353</v>
      </c>
      <c r="G791" s="107">
        <f t="shared" si="30"/>
        <v>5</v>
      </c>
    </row>
    <row r="792" spans="1:7">
      <c r="A792" s="107">
        <v>17</v>
      </c>
      <c r="B792" s="107">
        <v>1</v>
      </c>
      <c r="C792" s="107">
        <v>5</v>
      </c>
      <c r="D792" s="107" t="s">
        <v>321</v>
      </c>
      <c r="E792" s="107" t="s">
        <v>322</v>
      </c>
      <c r="F792" s="161">
        <v>45353</v>
      </c>
      <c r="G792" s="107">
        <f t="shared" si="30"/>
        <v>5</v>
      </c>
    </row>
    <row r="793" spans="1:7">
      <c r="A793" s="107">
        <v>17</v>
      </c>
      <c r="B793" s="107">
        <v>1</v>
      </c>
      <c r="C793" s="107">
        <v>6</v>
      </c>
      <c r="D793" s="107" t="s">
        <v>321</v>
      </c>
      <c r="E793" s="107" t="s">
        <v>322</v>
      </c>
      <c r="F793" s="161">
        <v>45353</v>
      </c>
      <c r="G793" s="107">
        <f t="shared" si="30"/>
        <v>5</v>
      </c>
    </row>
    <row r="794" spans="1:7">
      <c r="A794" s="107">
        <v>17</v>
      </c>
      <c r="B794" s="107">
        <v>1</v>
      </c>
      <c r="C794" s="107">
        <v>7</v>
      </c>
      <c r="D794" s="107" t="s">
        <v>321</v>
      </c>
      <c r="E794" s="107" t="s">
        <v>322</v>
      </c>
      <c r="F794" s="161">
        <v>45353</v>
      </c>
      <c r="G794" s="107">
        <f t="shared" si="30"/>
        <v>5</v>
      </c>
    </row>
    <row r="795" spans="1:7">
      <c r="A795" s="107">
        <v>17</v>
      </c>
      <c r="B795" s="107">
        <v>1</v>
      </c>
      <c r="C795" s="107">
        <v>8</v>
      </c>
      <c r="D795" s="107" t="s">
        <v>321</v>
      </c>
      <c r="E795" s="107" t="s">
        <v>322</v>
      </c>
      <c r="F795" s="161">
        <v>45353</v>
      </c>
      <c r="G795" s="107">
        <f t="shared" si="30"/>
        <v>5</v>
      </c>
    </row>
    <row r="796" spans="1:7">
      <c r="A796" s="107">
        <v>17</v>
      </c>
      <c r="B796" s="107">
        <v>2</v>
      </c>
      <c r="C796" s="107">
        <v>1</v>
      </c>
      <c r="D796" s="107" t="s">
        <v>323</v>
      </c>
      <c r="E796" s="107" t="s">
        <v>324</v>
      </c>
      <c r="F796" s="161">
        <v>45357</v>
      </c>
      <c r="G796" s="107">
        <f t="shared" si="30"/>
        <v>9</v>
      </c>
    </row>
    <row r="797" spans="1:7">
      <c r="A797" s="107">
        <v>17</v>
      </c>
      <c r="B797" s="107">
        <v>2</v>
      </c>
      <c r="C797" s="107">
        <v>2</v>
      </c>
      <c r="D797" s="107" t="s">
        <v>323</v>
      </c>
      <c r="E797" s="107" t="s">
        <v>324</v>
      </c>
      <c r="F797" s="161">
        <v>45353</v>
      </c>
      <c r="G797" s="107">
        <f t="shared" si="30"/>
        <v>5</v>
      </c>
    </row>
    <row r="798" spans="1:7">
      <c r="A798" s="107">
        <v>17</v>
      </c>
      <c r="B798" s="107">
        <v>2</v>
      </c>
      <c r="C798" s="107">
        <v>3</v>
      </c>
      <c r="D798" s="107" t="s">
        <v>323</v>
      </c>
      <c r="E798" s="107" t="s">
        <v>324</v>
      </c>
      <c r="F798" s="161">
        <v>45354</v>
      </c>
      <c r="G798" s="107">
        <f t="shared" si="30"/>
        <v>6</v>
      </c>
    </row>
    <row r="799" spans="1:7">
      <c r="A799" s="107">
        <v>17</v>
      </c>
      <c r="B799" s="107">
        <v>2</v>
      </c>
      <c r="C799" s="107">
        <v>4</v>
      </c>
      <c r="D799" s="107" t="s">
        <v>323</v>
      </c>
      <c r="E799" s="107" t="s">
        <v>324</v>
      </c>
      <c r="F799" s="161">
        <v>45353</v>
      </c>
      <c r="G799" s="107">
        <f t="shared" si="30"/>
        <v>5</v>
      </c>
    </row>
    <row r="800" spans="1:7">
      <c r="A800" s="107">
        <v>17</v>
      </c>
      <c r="B800" s="107">
        <v>2</v>
      </c>
      <c r="C800" s="107">
        <v>5</v>
      </c>
      <c r="D800" s="107" t="s">
        <v>323</v>
      </c>
      <c r="E800" s="107" t="s">
        <v>324</v>
      </c>
      <c r="F800" s="161">
        <v>45354</v>
      </c>
      <c r="G800" s="107">
        <f t="shared" si="30"/>
        <v>6</v>
      </c>
    </row>
    <row r="801" spans="1:7">
      <c r="A801" s="107">
        <v>17</v>
      </c>
      <c r="B801" s="107">
        <v>2</v>
      </c>
      <c r="C801" s="107">
        <v>6</v>
      </c>
      <c r="D801" s="107" t="s">
        <v>323</v>
      </c>
      <c r="E801" s="107" t="s">
        <v>324</v>
      </c>
      <c r="F801" s="161">
        <v>45355</v>
      </c>
      <c r="G801" s="107">
        <f t="shared" si="30"/>
        <v>7</v>
      </c>
    </row>
    <row r="802" spans="1:7">
      <c r="A802" s="107">
        <v>17</v>
      </c>
      <c r="B802" s="107">
        <v>2</v>
      </c>
      <c r="C802" s="107">
        <v>7</v>
      </c>
      <c r="D802" s="107" t="s">
        <v>323</v>
      </c>
      <c r="E802" s="107" t="s">
        <v>324</v>
      </c>
      <c r="F802" s="161">
        <v>45353</v>
      </c>
      <c r="G802" s="107">
        <f t="shared" si="30"/>
        <v>5</v>
      </c>
    </row>
    <row r="803" spans="1:7">
      <c r="A803" s="107">
        <v>17</v>
      </c>
      <c r="B803" s="107">
        <v>2</v>
      </c>
      <c r="C803" s="107">
        <v>8</v>
      </c>
      <c r="D803" s="107" t="s">
        <v>323</v>
      </c>
      <c r="E803" s="107" t="s">
        <v>324</v>
      </c>
      <c r="F803" s="161">
        <v>45354</v>
      </c>
      <c r="G803" s="107">
        <f t="shared" si="30"/>
        <v>6</v>
      </c>
    </row>
    <row r="804" spans="1:7">
      <c r="A804" s="107">
        <v>17</v>
      </c>
      <c r="B804" s="107">
        <v>3</v>
      </c>
      <c r="C804" s="107">
        <v>1</v>
      </c>
      <c r="D804" s="107" t="s">
        <v>325</v>
      </c>
      <c r="E804" s="107" t="s">
        <v>326</v>
      </c>
      <c r="F804" s="161">
        <v>45353</v>
      </c>
      <c r="G804" s="107">
        <f t="shared" si="30"/>
        <v>5</v>
      </c>
    </row>
    <row r="805" spans="1:7">
      <c r="A805" s="107">
        <v>17</v>
      </c>
      <c r="B805" s="107">
        <v>3</v>
      </c>
      <c r="C805" s="107">
        <v>2</v>
      </c>
      <c r="D805" s="107" t="s">
        <v>325</v>
      </c>
      <c r="E805" s="107" t="s">
        <v>326</v>
      </c>
      <c r="F805" s="161">
        <v>45353</v>
      </c>
      <c r="G805" s="107">
        <f t="shared" si="30"/>
        <v>5</v>
      </c>
    </row>
    <row r="806" spans="1:7">
      <c r="A806" s="107">
        <v>17</v>
      </c>
      <c r="B806" s="107">
        <v>3</v>
      </c>
      <c r="C806" s="107">
        <v>3</v>
      </c>
      <c r="D806" s="107" t="s">
        <v>325</v>
      </c>
      <c r="E806" s="107" t="s">
        <v>326</v>
      </c>
      <c r="F806" s="161">
        <v>45353</v>
      </c>
      <c r="G806" s="107">
        <f t="shared" si="30"/>
        <v>5</v>
      </c>
    </row>
    <row r="807" spans="1:7">
      <c r="A807" s="107">
        <v>17</v>
      </c>
      <c r="B807" s="107">
        <v>3</v>
      </c>
      <c r="C807" s="107">
        <v>4</v>
      </c>
      <c r="D807" s="107" t="s">
        <v>325</v>
      </c>
      <c r="E807" s="107" t="s">
        <v>326</v>
      </c>
      <c r="F807" s="161">
        <v>45353</v>
      </c>
      <c r="G807" s="107">
        <f t="shared" si="30"/>
        <v>5</v>
      </c>
    </row>
    <row r="808" spans="1:7">
      <c r="A808" s="107">
        <v>17</v>
      </c>
      <c r="B808" s="107">
        <v>3</v>
      </c>
      <c r="C808" s="107">
        <v>5</v>
      </c>
      <c r="D808" s="107" t="s">
        <v>325</v>
      </c>
      <c r="E808" s="107" t="s">
        <v>326</v>
      </c>
      <c r="F808" s="161">
        <v>45353</v>
      </c>
      <c r="G808" s="107">
        <f t="shared" si="30"/>
        <v>5</v>
      </c>
    </row>
    <row r="809" spans="1:7">
      <c r="A809" s="107">
        <v>17</v>
      </c>
      <c r="B809" s="107">
        <v>3</v>
      </c>
      <c r="C809" s="107">
        <v>6</v>
      </c>
      <c r="D809" s="107" t="s">
        <v>325</v>
      </c>
      <c r="E809" s="107" t="s">
        <v>326</v>
      </c>
      <c r="F809" s="161">
        <v>45353</v>
      </c>
      <c r="G809" s="107">
        <f t="shared" si="30"/>
        <v>5</v>
      </c>
    </row>
    <row r="810" spans="1:7">
      <c r="A810" s="107">
        <v>17</v>
      </c>
      <c r="B810" s="107">
        <v>3</v>
      </c>
      <c r="C810" s="107">
        <v>7</v>
      </c>
      <c r="D810" s="107" t="s">
        <v>325</v>
      </c>
      <c r="E810" s="107" t="s">
        <v>326</v>
      </c>
      <c r="F810" s="161">
        <v>45353</v>
      </c>
      <c r="G810" s="107">
        <f t="shared" si="30"/>
        <v>5</v>
      </c>
    </row>
    <row r="811" spans="1:7">
      <c r="A811" s="107">
        <v>17</v>
      </c>
      <c r="B811" s="107">
        <v>3</v>
      </c>
      <c r="C811" s="107">
        <v>8</v>
      </c>
      <c r="D811" s="107" t="s">
        <v>325</v>
      </c>
      <c r="E811" s="107" t="s">
        <v>326</v>
      </c>
      <c r="F811" s="161">
        <v>45354</v>
      </c>
      <c r="G811" s="107">
        <f t="shared" si="30"/>
        <v>6</v>
      </c>
    </row>
    <row r="812" spans="1:7">
      <c r="A812" s="107">
        <v>17</v>
      </c>
      <c r="B812" s="107">
        <v>4</v>
      </c>
      <c r="C812" s="107">
        <v>1</v>
      </c>
      <c r="D812" s="107" t="s">
        <v>327</v>
      </c>
      <c r="E812" s="107" t="s">
        <v>328</v>
      </c>
      <c r="F812" s="161">
        <v>45353</v>
      </c>
      <c r="G812" s="107">
        <f t="shared" si="30"/>
        <v>5</v>
      </c>
    </row>
    <row r="813" spans="1:7">
      <c r="A813" s="107">
        <v>17</v>
      </c>
      <c r="B813" s="107">
        <v>4</v>
      </c>
      <c r="C813" s="107">
        <v>2</v>
      </c>
      <c r="D813" s="107" t="s">
        <v>327</v>
      </c>
      <c r="E813" s="107" t="s">
        <v>328</v>
      </c>
      <c r="F813" s="161">
        <v>45353</v>
      </c>
      <c r="G813" s="107">
        <f t="shared" si="30"/>
        <v>5</v>
      </c>
    </row>
    <row r="814" spans="1:7">
      <c r="A814" s="107">
        <v>17</v>
      </c>
      <c r="B814" s="107">
        <v>4</v>
      </c>
      <c r="C814" s="107">
        <v>3</v>
      </c>
      <c r="D814" s="107" t="s">
        <v>327</v>
      </c>
      <c r="E814" s="107" t="s">
        <v>328</v>
      </c>
      <c r="F814" s="161">
        <v>45353</v>
      </c>
      <c r="G814" s="107">
        <f t="shared" si="30"/>
        <v>5</v>
      </c>
    </row>
    <row r="815" spans="1:7">
      <c r="A815" s="107">
        <v>17</v>
      </c>
      <c r="B815" s="107">
        <v>4</v>
      </c>
      <c r="C815" s="107">
        <v>4</v>
      </c>
      <c r="D815" s="107" t="s">
        <v>327</v>
      </c>
      <c r="E815" s="107" t="s">
        <v>328</v>
      </c>
      <c r="F815" s="161">
        <v>45353</v>
      </c>
      <c r="G815" s="107">
        <f t="shared" si="30"/>
        <v>5</v>
      </c>
    </row>
    <row r="816" spans="1:7">
      <c r="A816" s="107">
        <v>17</v>
      </c>
      <c r="B816" s="107">
        <v>4</v>
      </c>
      <c r="C816" s="107">
        <v>5</v>
      </c>
      <c r="D816" s="107" t="s">
        <v>327</v>
      </c>
      <c r="E816" s="107" t="s">
        <v>328</v>
      </c>
      <c r="F816" s="161">
        <v>45353</v>
      </c>
      <c r="G816" s="107">
        <f t="shared" si="30"/>
        <v>5</v>
      </c>
    </row>
    <row r="817" spans="1:7">
      <c r="A817" s="107">
        <v>17</v>
      </c>
      <c r="B817" s="107">
        <v>4</v>
      </c>
      <c r="C817" s="107">
        <v>6</v>
      </c>
      <c r="D817" s="107" t="s">
        <v>327</v>
      </c>
      <c r="E817" s="107" t="s">
        <v>328</v>
      </c>
      <c r="F817" s="161">
        <v>45353</v>
      </c>
      <c r="G817" s="107">
        <f t="shared" si="30"/>
        <v>5</v>
      </c>
    </row>
    <row r="818" spans="1:7">
      <c r="A818" s="107">
        <v>17</v>
      </c>
      <c r="B818" s="107">
        <v>4</v>
      </c>
      <c r="C818" s="107">
        <v>7</v>
      </c>
      <c r="D818" s="107" t="s">
        <v>327</v>
      </c>
      <c r="E818" s="107" t="s">
        <v>328</v>
      </c>
      <c r="F818" s="161">
        <v>45353</v>
      </c>
      <c r="G818" s="107">
        <f t="shared" si="30"/>
        <v>5</v>
      </c>
    </row>
    <row r="819" spans="1:7">
      <c r="A819" s="107">
        <v>17</v>
      </c>
      <c r="B819" s="107">
        <v>4</v>
      </c>
      <c r="C819" s="107">
        <v>8</v>
      </c>
      <c r="D819" s="107" t="s">
        <v>327</v>
      </c>
      <c r="E819" s="107" t="s">
        <v>328</v>
      </c>
      <c r="F819" s="161">
        <v>45353</v>
      </c>
      <c r="G819" s="107">
        <f t="shared" si="30"/>
        <v>5</v>
      </c>
    </row>
    <row r="820" spans="1:7">
      <c r="A820" s="107">
        <v>17</v>
      </c>
      <c r="B820" s="107">
        <v>5</v>
      </c>
      <c r="C820" s="107">
        <v>1</v>
      </c>
      <c r="D820" s="107" t="s">
        <v>329</v>
      </c>
      <c r="E820" s="107" t="s">
        <v>330</v>
      </c>
      <c r="F820" s="161">
        <v>45353</v>
      </c>
      <c r="G820" s="107">
        <f t="shared" si="30"/>
        <v>5</v>
      </c>
    </row>
    <row r="821" spans="1:7">
      <c r="A821" s="107">
        <v>17</v>
      </c>
      <c r="B821" s="107">
        <v>5</v>
      </c>
      <c r="C821" s="107">
        <v>2</v>
      </c>
      <c r="D821" s="107" t="s">
        <v>329</v>
      </c>
      <c r="E821" s="107" t="s">
        <v>330</v>
      </c>
      <c r="F821" s="161">
        <v>45353</v>
      </c>
      <c r="G821" s="107">
        <f t="shared" si="30"/>
        <v>5</v>
      </c>
    </row>
    <row r="822" spans="1:7">
      <c r="A822" s="107">
        <v>17</v>
      </c>
      <c r="B822" s="107">
        <v>5</v>
      </c>
      <c r="C822" s="107">
        <v>3</v>
      </c>
      <c r="D822" s="107" t="s">
        <v>329</v>
      </c>
      <c r="E822" s="107" t="s">
        <v>330</v>
      </c>
      <c r="F822" s="161">
        <v>45353</v>
      </c>
      <c r="G822" s="107">
        <f t="shared" si="30"/>
        <v>5</v>
      </c>
    </row>
    <row r="823" spans="1:7">
      <c r="A823" s="107">
        <v>17</v>
      </c>
      <c r="B823" s="107">
        <v>5</v>
      </c>
      <c r="C823" s="107">
        <v>4</v>
      </c>
      <c r="D823" s="107" t="s">
        <v>329</v>
      </c>
      <c r="E823" s="107" t="s">
        <v>330</v>
      </c>
      <c r="F823" s="161">
        <v>45353</v>
      </c>
      <c r="G823" s="107">
        <f t="shared" si="30"/>
        <v>5</v>
      </c>
    </row>
    <row r="824" spans="1:7">
      <c r="A824" s="107">
        <v>17</v>
      </c>
      <c r="B824" s="107">
        <v>5</v>
      </c>
      <c r="C824" s="107">
        <v>5</v>
      </c>
      <c r="D824" s="107" t="s">
        <v>329</v>
      </c>
      <c r="E824" s="107" t="s">
        <v>330</v>
      </c>
      <c r="F824" s="161">
        <v>45353</v>
      </c>
      <c r="G824" s="107">
        <f t="shared" si="30"/>
        <v>5</v>
      </c>
    </row>
    <row r="825" spans="1:7">
      <c r="A825" s="107">
        <v>17</v>
      </c>
      <c r="B825" s="107">
        <v>5</v>
      </c>
      <c r="C825" s="107">
        <v>6</v>
      </c>
      <c r="D825" s="107" t="s">
        <v>329</v>
      </c>
      <c r="E825" s="107" t="s">
        <v>330</v>
      </c>
      <c r="F825" s="161">
        <v>45353</v>
      </c>
      <c r="G825" s="107">
        <f t="shared" si="30"/>
        <v>5</v>
      </c>
    </row>
    <row r="826" spans="1:7">
      <c r="A826" s="107">
        <v>17</v>
      </c>
      <c r="B826" s="107">
        <v>5</v>
      </c>
      <c r="C826" s="107">
        <v>7</v>
      </c>
      <c r="D826" s="107" t="s">
        <v>329</v>
      </c>
      <c r="E826" s="107" t="s">
        <v>330</v>
      </c>
      <c r="F826" s="107"/>
      <c r="G826" s="107"/>
    </row>
    <row r="827" spans="1:7">
      <c r="A827" s="107">
        <v>17</v>
      </c>
      <c r="B827" s="107">
        <v>5</v>
      </c>
      <c r="C827" s="107">
        <v>8</v>
      </c>
      <c r="D827" s="107" t="s">
        <v>329</v>
      </c>
      <c r="E827" s="107" t="s">
        <v>330</v>
      </c>
      <c r="F827" s="161">
        <v>45353</v>
      </c>
      <c r="G827" s="107">
        <f t="shared" ref="G827:G835" si="31">DATEDIF(G$2,F827,"d")</f>
        <v>5</v>
      </c>
    </row>
    <row r="828" spans="1:7">
      <c r="A828" s="107">
        <v>17</v>
      </c>
      <c r="B828" s="107">
        <v>6</v>
      </c>
      <c r="C828" s="107">
        <v>1</v>
      </c>
      <c r="D828" s="107" t="s">
        <v>331</v>
      </c>
      <c r="E828" s="107" t="s">
        <v>332</v>
      </c>
      <c r="F828" s="161">
        <v>45353</v>
      </c>
      <c r="G828" s="107">
        <f t="shared" si="31"/>
        <v>5</v>
      </c>
    </row>
    <row r="829" spans="1:7">
      <c r="A829" s="107">
        <v>17</v>
      </c>
      <c r="B829" s="107">
        <v>6</v>
      </c>
      <c r="C829" s="107">
        <v>2</v>
      </c>
      <c r="D829" s="107" t="s">
        <v>331</v>
      </c>
      <c r="E829" s="107" t="s">
        <v>332</v>
      </c>
      <c r="F829" s="161">
        <v>45353</v>
      </c>
      <c r="G829" s="107">
        <f t="shared" si="31"/>
        <v>5</v>
      </c>
    </row>
    <row r="830" spans="1:7">
      <c r="A830" s="107">
        <v>17</v>
      </c>
      <c r="B830" s="107">
        <v>6</v>
      </c>
      <c r="C830" s="107">
        <v>3</v>
      </c>
      <c r="D830" s="107" t="s">
        <v>331</v>
      </c>
      <c r="E830" s="107" t="s">
        <v>332</v>
      </c>
      <c r="F830" s="161">
        <v>45353</v>
      </c>
      <c r="G830" s="107">
        <f t="shared" si="31"/>
        <v>5</v>
      </c>
    </row>
    <row r="831" spans="1:7">
      <c r="A831" s="107">
        <v>17</v>
      </c>
      <c r="B831" s="107">
        <v>6</v>
      </c>
      <c r="C831" s="107">
        <v>4</v>
      </c>
      <c r="D831" s="107" t="s">
        <v>331</v>
      </c>
      <c r="E831" s="107" t="s">
        <v>332</v>
      </c>
      <c r="F831" s="161">
        <v>45353</v>
      </c>
      <c r="G831" s="107">
        <f t="shared" si="31"/>
        <v>5</v>
      </c>
    </row>
    <row r="832" spans="1:7">
      <c r="A832" s="107">
        <v>17</v>
      </c>
      <c r="B832" s="107">
        <v>6</v>
      </c>
      <c r="C832" s="107">
        <v>5</v>
      </c>
      <c r="D832" s="107" t="s">
        <v>331</v>
      </c>
      <c r="E832" s="107" t="s">
        <v>332</v>
      </c>
      <c r="F832" s="161">
        <v>45353</v>
      </c>
      <c r="G832" s="107">
        <f t="shared" si="31"/>
        <v>5</v>
      </c>
    </row>
    <row r="833" spans="1:7">
      <c r="A833" s="107">
        <v>17</v>
      </c>
      <c r="B833" s="107">
        <v>6</v>
      </c>
      <c r="C833" s="107">
        <v>6</v>
      </c>
      <c r="D833" s="107" t="s">
        <v>331</v>
      </c>
      <c r="E833" s="107" t="s">
        <v>332</v>
      </c>
      <c r="F833" s="161">
        <v>45354</v>
      </c>
      <c r="G833" s="107">
        <f t="shared" si="31"/>
        <v>6</v>
      </c>
    </row>
    <row r="834" spans="1:7">
      <c r="A834" s="107">
        <v>17</v>
      </c>
      <c r="B834" s="107">
        <v>6</v>
      </c>
      <c r="C834" s="107">
        <v>7</v>
      </c>
      <c r="D834" s="107" t="s">
        <v>331</v>
      </c>
      <c r="E834" s="107" t="s">
        <v>332</v>
      </c>
      <c r="F834" s="161">
        <v>45353</v>
      </c>
      <c r="G834" s="107">
        <f t="shared" si="31"/>
        <v>5</v>
      </c>
    </row>
    <row r="835" spans="1:7">
      <c r="A835" s="107">
        <v>17</v>
      </c>
      <c r="B835" s="107">
        <v>6</v>
      </c>
      <c r="C835" s="107">
        <v>8</v>
      </c>
      <c r="D835" s="107" t="s">
        <v>331</v>
      </c>
      <c r="E835" s="107" t="s">
        <v>332</v>
      </c>
      <c r="F835" s="161">
        <v>45352</v>
      </c>
      <c r="G835" s="107">
        <f t="shared" si="31"/>
        <v>4</v>
      </c>
    </row>
    <row r="837" spans="1:7">
      <c r="A837" s="107">
        <v>18</v>
      </c>
      <c r="B837" s="107">
        <v>1</v>
      </c>
      <c r="C837" s="107">
        <v>1</v>
      </c>
      <c r="D837" s="107" t="s">
        <v>333</v>
      </c>
      <c r="E837" s="107" t="s">
        <v>334</v>
      </c>
      <c r="F837" s="161">
        <v>45352</v>
      </c>
      <c r="G837" s="107">
        <f t="shared" ref="G837:G884" si="32">DATEDIF(G$2,F837,"d")</f>
        <v>4</v>
      </c>
    </row>
    <row r="838" spans="1:7">
      <c r="A838" s="107">
        <v>18</v>
      </c>
      <c r="B838" s="107">
        <v>1</v>
      </c>
      <c r="C838" s="107">
        <v>2</v>
      </c>
      <c r="D838" s="107" t="s">
        <v>333</v>
      </c>
      <c r="E838" s="107" t="s">
        <v>334</v>
      </c>
      <c r="F838" s="161">
        <v>45353</v>
      </c>
      <c r="G838" s="107">
        <f t="shared" si="32"/>
        <v>5</v>
      </c>
    </row>
    <row r="839" spans="1:7">
      <c r="A839" s="107">
        <v>18</v>
      </c>
      <c r="B839" s="107">
        <v>1</v>
      </c>
      <c r="C839" s="107">
        <v>3</v>
      </c>
      <c r="D839" s="107" t="s">
        <v>333</v>
      </c>
      <c r="E839" s="107" t="s">
        <v>334</v>
      </c>
      <c r="F839" s="161">
        <v>45352</v>
      </c>
      <c r="G839" s="107">
        <f t="shared" si="32"/>
        <v>4</v>
      </c>
    </row>
    <row r="840" spans="1:7">
      <c r="A840" s="107">
        <v>18</v>
      </c>
      <c r="B840" s="107">
        <v>1</v>
      </c>
      <c r="C840" s="107">
        <v>4</v>
      </c>
      <c r="D840" s="107" t="s">
        <v>333</v>
      </c>
      <c r="E840" s="107" t="s">
        <v>334</v>
      </c>
      <c r="F840" s="161">
        <v>45353</v>
      </c>
      <c r="G840" s="107">
        <f t="shared" si="32"/>
        <v>5</v>
      </c>
    </row>
    <row r="841" spans="1:7">
      <c r="A841" s="107">
        <v>18</v>
      </c>
      <c r="B841" s="107">
        <v>1</v>
      </c>
      <c r="C841" s="107">
        <v>5</v>
      </c>
      <c r="D841" s="107" t="s">
        <v>333</v>
      </c>
      <c r="E841" s="107" t="s">
        <v>334</v>
      </c>
      <c r="F841" s="161">
        <v>45353</v>
      </c>
      <c r="G841" s="107">
        <f t="shared" si="32"/>
        <v>5</v>
      </c>
    </row>
    <row r="842" spans="1:7">
      <c r="A842" s="107">
        <v>18</v>
      </c>
      <c r="B842" s="107">
        <v>1</v>
      </c>
      <c r="C842" s="107">
        <v>6</v>
      </c>
      <c r="D842" s="107" t="s">
        <v>333</v>
      </c>
      <c r="E842" s="107" t="s">
        <v>334</v>
      </c>
      <c r="F842" s="161">
        <v>45353</v>
      </c>
      <c r="G842" s="107">
        <f t="shared" si="32"/>
        <v>5</v>
      </c>
    </row>
    <row r="843" spans="1:7">
      <c r="A843" s="107">
        <v>18</v>
      </c>
      <c r="B843" s="107">
        <v>1</v>
      </c>
      <c r="C843" s="107">
        <v>7</v>
      </c>
      <c r="D843" s="107" t="s">
        <v>333</v>
      </c>
      <c r="E843" s="107" t="s">
        <v>334</v>
      </c>
      <c r="F843" s="161">
        <v>45352</v>
      </c>
      <c r="G843" s="107">
        <f t="shared" si="32"/>
        <v>4</v>
      </c>
    </row>
    <row r="844" spans="1:7">
      <c r="A844" s="107">
        <v>18</v>
      </c>
      <c r="B844" s="107">
        <v>1</v>
      </c>
      <c r="C844" s="107">
        <v>8</v>
      </c>
      <c r="D844" s="107" t="s">
        <v>333</v>
      </c>
      <c r="E844" s="107" t="s">
        <v>334</v>
      </c>
      <c r="F844" s="161">
        <v>45353</v>
      </c>
      <c r="G844" s="107">
        <f t="shared" si="32"/>
        <v>5</v>
      </c>
    </row>
    <row r="845" spans="1:7">
      <c r="A845" s="107">
        <v>18</v>
      </c>
      <c r="B845" s="107">
        <v>2</v>
      </c>
      <c r="C845" s="107">
        <v>1</v>
      </c>
      <c r="D845" s="107" t="s">
        <v>335</v>
      </c>
      <c r="E845" s="107" t="s">
        <v>336</v>
      </c>
      <c r="F845" s="161">
        <v>45353</v>
      </c>
      <c r="G845" s="107">
        <f t="shared" si="32"/>
        <v>5</v>
      </c>
    </row>
    <row r="846" spans="1:7">
      <c r="A846" s="107">
        <v>18</v>
      </c>
      <c r="B846" s="107">
        <v>2</v>
      </c>
      <c r="C846" s="107">
        <v>2</v>
      </c>
      <c r="D846" s="107" t="s">
        <v>335</v>
      </c>
      <c r="E846" s="107" t="s">
        <v>336</v>
      </c>
      <c r="F846" s="161">
        <v>45353</v>
      </c>
      <c r="G846" s="107">
        <f t="shared" si="32"/>
        <v>5</v>
      </c>
    </row>
    <row r="847" spans="1:7">
      <c r="A847" s="107">
        <v>18</v>
      </c>
      <c r="B847" s="107">
        <v>2</v>
      </c>
      <c r="C847" s="107">
        <v>3</v>
      </c>
      <c r="D847" s="107" t="s">
        <v>335</v>
      </c>
      <c r="E847" s="107" t="s">
        <v>336</v>
      </c>
      <c r="F847" s="161">
        <v>45353</v>
      </c>
      <c r="G847" s="107">
        <f t="shared" si="32"/>
        <v>5</v>
      </c>
    </row>
    <row r="848" spans="1:7">
      <c r="A848" s="107">
        <v>18</v>
      </c>
      <c r="B848" s="107">
        <v>2</v>
      </c>
      <c r="C848" s="107">
        <v>4</v>
      </c>
      <c r="D848" s="107" t="s">
        <v>335</v>
      </c>
      <c r="E848" s="107" t="s">
        <v>336</v>
      </c>
      <c r="F848" s="161">
        <v>45353</v>
      </c>
      <c r="G848" s="107">
        <f t="shared" si="32"/>
        <v>5</v>
      </c>
    </row>
    <row r="849" spans="1:7">
      <c r="A849" s="107">
        <v>18</v>
      </c>
      <c r="B849" s="107">
        <v>2</v>
      </c>
      <c r="C849" s="107">
        <v>5</v>
      </c>
      <c r="D849" s="107" t="s">
        <v>335</v>
      </c>
      <c r="E849" s="107" t="s">
        <v>336</v>
      </c>
      <c r="F849" s="161">
        <v>45352</v>
      </c>
      <c r="G849" s="107">
        <f t="shared" si="32"/>
        <v>4</v>
      </c>
    </row>
    <row r="850" spans="1:7">
      <c r="A850" s="107">
        <v>18</v>
      </c>
      <c r="B850" s="107">
        <v>2</v>
      </c>
      <c r="C850" s="107">
        <v>6</v>
      </c>
      <c r="D850" s="107" t="s">
        <v>335</v>
      </c>
      <c r="E850" s="107" t="s">
        <v>336</v>
      </c>
      <c r="F850" s="161">
        <v>45353</v>
      </c>
      <c r="G850" s="107">
        <f t="shared" si="32"/>
        <v>5</v>
      </c>
    </row>
    <row r="851" spans="1:7">
      <c r="A851" s="107">
        <v>18</v>
      </c>
      <c r="B851" s="107">
        <v>2</v>
      </c>
      <c r="C851" s="107">
        <v>7</v>
      </c>
      <c r="D851" s="107" t="s">
        <v>335</v>
      </c>
      <c r="E851" s="107" t="s">
        <v>336</v>
      </c>
      <c r="F851" s="161">
        <v>45353</v>
      </c>
      <c r="G851" s="107">
        <f t="shared" si="32"/>
        <v>5</v>
      </c>
    </row>
    <row r="852" spans="1:7">
      <c r="A852" s="107">
        <v>18</v>
      </c>
      <c r="B852" s="107">
        <v>2</v>
      </c>
      <c r="C852" s="107">
        <v>8</v>
      </c>
      <c r="D852" s="107" t="s">
        <v>335</v>
      </c>
      <c r="E852" s="107" t="s">
        <v>336</v>
      </c>
      <c r="F852" s="161">
        <v>45353</v>
      </c>
      <c r="G852" s="107">
        <f t="shared" si="32"/>
        <v>5</v>
      </c>
    </row>
    <row r="853" spans="1:7">
      <c r="A853" s="107">
        <v>18</v>
      </c>
      <c r="B853" s="107">
        <v>3</v>
      </c>
      <c r="C853" s="107">
        <v>1</v>
      </c>
      <c r="D853" s="107" t="s">
        <v>337</v>
      </c>
      <c r="E853" s="107" t="s">
        <v>338</v>
      </c>
      <c r="F853" s="161">
        <v>45352</v>
      </c>
      <c r="G853" s="107">
        <f t="shared" si="32"/>
        <v>4</v>
      </c>
    </row>
    <row r="854" spans="1:7">
      <c r="A854" s="107">
        <v>18</v>
      </c>
      <c r="B854" s="107">
        <v>3</v>
      </c>
      <c r="C854" s="107">
        <v>2</v>
      </c>
      <c r="D854" s="107" t="s">
        <v>337</v>
      </c>
      <c r="E854" s="107" t="s">
        <v>338</v>
      </c>
      <c r="F854" s="161">
        <v>45353</v>
      </c>
      <c r="G854" s="107">
        <f t="shared" si="32"/>
        <v>5</v>
      </c>
    </row>
    <row r="855" spans="1:7">
      <c r="A855" s="107">
        <v>18</v>
      </c>
      <c r="B855" s="107">
        <v>3</v>
      </c>
      <c r="C855" s="107">
        <v>3</v>
      </c>
      <c r="D855" s="107" t="s">
        <v>337</v>
      </c>
      <c r="E855" s="107" t="s">
        <v>338</v>
      </c>
      <c r="F855" s="161">
        <v>45352</v>
      </c>
      <c r="G855" s="107">
        <f t="shared" si="32"/>
        <v>4</v>
      </c>
    </row>
    <row r="856" spans="1:7">
      <c r="A856" s="107">
        <v>18</v>
      </c>
      <c r="B856" s="107">
        <v>3</v>
      </c>
      <c r="C856" s="107">
        <v>4</v>
      </c>
      <c r="D856" s="107" t="s">
        <v>337</v>
      </c>
      <c r="E856" s="107" t="s">
        <v>338</v>
      </c>
      <c r="F856" s="161">
        <v>45353</v>
      </c>
      <c r="G856" s="107">
        <f t="shared" si="32"/>
        <v>5</v>
      </c>
    </row>
    <row r="857" spans="1:7">
      <c r="A857" s="107">
        <v>18</v>
      </c>
      <c r="B857" s="107">
        <v>3</v>
      </c>
      <c r="C857" s="107">
        <v>5</v>
      </c>
      <c r="D857" s="107" t="s">
        <v>337</v>
      </c>
      <c r="E857" s="107" t="s">
        <v>338</v>
      </c>
      <c r="F857" s="161">
        <v>45353</v>
      </c>
      <c r="G857" s="107">
        <f t="shared" si="32"/>
        <v>5</v>
      </c>
    </row>
    <row r="858" spans="1:7">
      <c r="A858" s="107">
        <v>18</v>
      </c>
      <c r="B858" s="107">
        <v>3</v>
      </c>
      <c r="C858" s="107">
        <v>6</v>
      </c>
      <c r="D858" s="107" t="s">
        <v>337</v>
      </c>
      <c r="E858" s="107" t="s">
        <v>338</v>
      </c>
      <c r="F858" s="161">
        <v>45353</v>
      </c>
      <c r="G858" s="107">
        <f t="shared" si="32"/>
        <v>5</v>
      </c>
    </row>
    <row r="859" spans="1:7">
      <c r="A859" s="107">
        <v>18</v>
      </c>
      <c r="B859" s="107">
        <v>3</v>
      </c>
      <c r="C859" s="107">
        <v>7</v>
      </c>
      <c r="D859" s="107" t="s">
        <v>337</v>
      </c>
      <c r="E859" s="107" t="s">
        <v>338</v>
      </c>
      <c r="F859" s="161">
        <v>45353</v>
      </c>
      <c r="G859" s="107">
        <f t="shared" si="32"/>
        <v>5</v>
      </c>
    </row>
    <row r="860" spans="1:7">
      <c r="A860" s="107">
        <v>18</v>
      </c>
      <c r="B860" s="107">
        <v>3</v>
      </c>
      <c r="C860" s="107">
        <v>8</v>
      </c>
      <c r="D860" s="107" t="s">
        <v>337</v>
      </c>
      <c r="E860" s="107" t="s">
        <v>338</v>
      </c>
      <c r="F860" s="161">
        <v>45353</v>
      </c>
      <c r="G860" s="107">
        <f t="shared" si="32"/>
        <v>5</v>
      </c>
    </row>
    <row r="861" spans="1:7">
      <c r="A861" s="107">
        <v>18</v>
      </c>
      <c r="B861" s="107">
        <v>4</v>
      </c>
      <c r="C861" s="107">
        <v>1</v>
      </c>
      <c r="D861" s="107" t="s">
        <v>339</v>
      </c>
      <c r="E861" s="107" t="s">
        <v>340</v>
      </c>
      <c r="F861" s="161">
        <v>45353</v>
      </c>
      <c r="G861" s="107">
        <f t="shared" si="32"/>
        <v>5</v>
      </c>
    </row>
    <row r="862" spans="1:7">
      <c r="A862" s="107">
        <v>18</v>
      </c>
      <c r="B862" s="107">
        <v>4</v>
      </c>
      <c r="C862" s="107">
        <v>2</v>
      </c>
      <c r="D862" s="107" t="s">
        <v>339</v>
      </c>
      <c r="E862" s="107" t="s">
        <v>340</v>
      </c>
      <c r="F862" s="161">
        <v>45353</v>
      </c>
      <c r="G862" s="107">
        <f t="shared" si="32"/>
        <v>5</v>
      </c>
    </row>
    <row r="863" spans="1:7">
      <c r="A863" s="107">
        <v>18</v>
      </c>
      <c r="B863" s="107">
        <v>4</v>
      </c>
      <c r="C863" s="107">
        <v>3</v>
      </c>
      <c r="D863" s="107" t="s">
        <v>339</v>
      </c>
      <c r="E863" s="107" t="s">
        <v>340</v>
      </c>
      <c r="F863" s="161">
        <v>45352</v>
      </c>
      <c r="G863" s="107">
        <f t="shared" si="32"/>
        <v>4</v>
      </c>
    </row>
    <row r="864" spans="1:7">
      <c r="A864" s="107">
        <v>18</v>
      </c>
      <c r="B864" s="107">
        <v>4</v>
      </c>
      <c r="C864" s="107">
        <v>4</v>
      </c>
      <c r="D864" s="107" t="s">
        <v>339</v>
      </c>
      <c r="E864" s="107" t="s">
        <v>340</v>
      </c>
      <c r="F864" s="161">
        <v>45352</v>
      </c>
      <c r="G864" s="107">
        <f t="shared" si="32"/>
        <v>4</v>
      </c>
    </row>
    <row r="865" spans="1:7">
      <c r="A865" s="107">
        <v>18</v>
      </c>
      <c r="B865" s="107">
        <v>4</v>
      </c>
      <c r="C865" s="107">
        <v>5</v>
      </c>
      <c r="D865" s="107" t="s">
        <v>339</v>
      </c>
      <c r="E865" s="107" t="s">
        <v>340</v>
      </c>
      <c r="F865" s="161">
        <v>45353</v>
      </c>
      <c r="G865" s="107">
        <f t="shared" si="32"/>
        <v>5</v>
      </c>
    </row>
    <row r="866" spans="1:7">
      <c r="A866" s="107">
        <v>18</v>
      </c>
      <c r="B866" s="107">
        <v>4</v>
      </c>
      <c r="C866" s="107">
        <v>6</v>
      </c>
      <c r="D866" s="107" t="s">
        <v>339</v>
      </c>
      <c r="E866" s="107" t="s">
        <v>340</v>
      </c>
      <c r="F866" s="161">
        <v>45352</v>
      </c>
      <c r="G866" s="107">
        <f t="shared" si="32"/>
        <v>4</v>
      </c>
    </row>
    <row r="867" spans="1:7">
      <c r="A867" s="107">
        <v>18</v>
      </c>
      <c r="B867" s="107">
        <v>4</v>
      </c>
      <c r="C867" s="107">
        <v>7</v>
      </c>
      <c r="D867" s="107" t="s">
        <v>339</v>
      </c>
      <c r="E867" s="107" t="s">
        <v>340</v>
      </c>
      <c r="F867" s="161">
        <v>45352</v>
      </c>
      <c r="G867" s="107">
        <f t="shared" si="32"/>
        <v>4</v>
      </c>
    </row>
    <row r="868" spans="1:7">
      <c r="A868" s="107">
        <v>18</v>
      </c>
      <c r="B868" s="107">
        <v>4</v>
      </c>
      <c r="C868" s="107">
        <v>8</v>
      </c>
      <c r="D868" s="107" t="s">
        <v>339</v>
      </c>
      <c r="E868" s="107" t="s">
        <v>340</v>
      </c>
      <c r="F868" s="161">
        <v>45352</v>
      </c>
      <c r="G868" s="107">
        <f t="shared" si="32"/>
        <v>4</v>
      </c>
    </row>
    <row r="869" spans="1:7">
      <c r="A869" s="107">
        <v>18</v>
      </c>
      <c r="B869" s="107">
        <v>5</v>
      </c>
      <c r="C869" s="107">
        <v>1</v>
      </c>
      <c r="D869" s="107" t="s">
        <v>341</v>
      </c>
      <c r="E869" s="107" t="s">
        <v>342</v>
      </c>
      <c r="F869" s="161">
        <v>45353</v>
      </c>
      <c r="G869" s="107">
        <f t="shared" si="32"/>
        <v>5</v>
      </c>
    </row>
    <row r="870" spans="1:7">
      <c r="A870" s="107">
        <v>18</v>
      </c>
      <c r="B870" s="107">
        <v>5</v>
      </c>
      <c r="C870" s="107">
        <v>2</v>
      </c>
      <c r="D870" s="107" t="s">
        <v>341</v>
      </c>
      <c r="E870" s="107" t="s">
        <v>342</v>
      </c>
      <c r="F870" s="161">
        <v>45352</v>
      </c>
      <c r="G870" s="107">
        <f t="shared" si="32"/>
        <v>4</v>
      </c>
    </row>
    <row r="871" spans="1:7">
      <c r="A871" s="107">
        <v>18</v>
      </c>
      <c r="B871" s="107">
        <v>5</v>
      </c>
      <c r="C871" s="107">
        <v>3</v>
      </c>
      <c r="D871" s="107" t="s">
        <v>341</v>
      </c>
      <c r="E871" s="107" t="s">
        <v>342</v>
      </c>
      <c r="F871" s="161">
        <v>45353</v>
      </c>
      <c r="G871" s="107">
        <f t="shared" si="32"/>
        <v>5</v>
      </c>
    </row>
    <row r="872" spans="1:7">
      <c r="A872" s="107">
        <v>18</v>
      </c>
      <c r="B872" s="107">
        <v>5</v>
      </c>
      <c r="C872" s="107">
        <v>4</v>
      </c>
      <c r="D872" s="107" t="s">
        <v>341</v>
      </c>
      <c r="E872" s="107" t="s">
        <v>342</v>
      </c>
      <c r="F872" s="161">
        <v>45353</v>
      </c>
      <c r="G872" s="107">
        <f t="shared" si="32"/>
        <v>5</v>
      </c>
    </row>
    <row r="873" spans="1:7">
      <c r="A873" s="107">
        <v>18</v>
      </c>
      <c r="B873" s="107">
        <v>5</v>
      </c>
      <c r="C873" s="107">
        <v>5</v>
      </c>
      <c r="D873" s="107" t="s">
        <v>341</v>
      </c>
      <c r="E873" s="107" t="s">
        <v>342</v>
      </c>
      <c r="F873" s="161">
        <v>45353</v>
      </c>
      <c r="G873" s="107">
        <f t="shared" si="32"/>
        <v>5</v>
      </c>
    </row>
    <row r="874" spans="1:7">
      <c r="A874" s="107">
        <v>18</v>
      </c>
      <c r="B874" s="107">
        <v>5</v>
      </c>
      <c r="C874" s="107">
        <v>6</v>
      </c>
      <c r="D874" s="107" t="s">
        <v>341</v>
      </c>
      <c r="E874" s="107" t="s">
        <v>342</v>
      </c>
      <c r="F874" s="161">
        <v>45352</v>
      </c>
      <c r="G874" s="107">
        <f t="shared" si="32"/>
        <v>4</v>
      </c>
    </row>
    <row r="875" spans="1:7">
      <c r="A875" s="107">
        <v>18</v>
      </c>
      <c r="B875" s="107">
        <v>5</v>
      </c>
      <c r="C875" s="107">
        <v>7</v>
      </c>
      <c r="D875" s="107" t="s">
        <v>341</v>
      </c>
      <c r="E875" s="107" t="s">
        <v>342</v>
      </c>
      <c r="F875" s="161">
        <v>45352</v>
      </c>
      <c r="G875" s="107">
        <f t="shared" si="32"/>
        <v>4</v>
      </c>
    </row>
    <row r="876" spans="1:7">
      <c r="A876" s="107">
        <v>18</v>
      </c>
      <c r="B876" s="107">
        <v>5</v>
      </c>
      <c r="C876" s="107">
        <v>8</v>
      </c>
      <c r="D876" s="107" t="s">
        <v>341</v>
      </c>
      <c r="E876" s="107" t="s">
        <v>342</v>
      </c>
      <c r="F876" s="161">
        <v>45352</v>
      </c>
      <c r="G876" s="107">
        <f t="shared" si="32"/>
        <v>4</v>
      </c>
    </row>
    <row r="877" spans="1:7">
      <c r="A877" s="107">
        <v>18</v>
      </c>
      <c r="B877" s="107">
        <v>6</v>
      </c>
      <c r="C877" s="107">
        <v>1</v>
      </c>
      <c r="D877" s="107" t="s">
        <v>343</v>
      </c>
      <c r="E877" s="107" t="s">
        <v>344</v>
      </c>
      <c r="F877" s="161">
        <v>45352</v>
      </c>
      <c r="G877" s="107">
        <f t="shared" si="32"/>
        <v>4</v>
      </c>
    </row>
    <row r="878" spans="1:7">
      <c r="A878" s="107">
        <v>18</v>
      </c>
      <c r="B878" s="107">
        <v>6</v>
      </c>
      <c r="C878" s="107">
        <v>2</v>
      </c>
      <c r="D878" s="107" t="s">
        <v>343</v>
      </c>
      <c r="E878" s="107" t="s">
        <v>344</v>
      </c>
      <c r="F878" s="161">
        <v>45352</v>
      </c>
      <c r="G878" s="107">
        <f t="shared" si="32"/>
        <v>4</v>
      </c>
    </row>
    <row r="879" spans="1:7">
      <c r="A879" s="107">
        <v>18</v>
      </c>
      <c r="B879" s="107">
        <v>6</v>
      </c>
      <c r="C879" s="107">
        <v>3</v>
      </c>
      <c r="D879" s="107" t="s">
        <v>343</v>
      </c>
      <c r="E879" s="107" t="s">
        <v>344</v>
      </c>
      <c r="F879" s="161">
        <v>45352</v>
      </c>
      <c r="G879" s="107">
        <f t="shared" si="32"/>
        <v>4</v>
      </c>
    </row>
    <row r="880" spans="1:7">
      <c r="A880" s="107">
        <v>18</v>
      </c>
      <c r="B880" s="107">
        <v>6</v>
      </c>
      <c r="C880" s="107">
        <v>4</v>
      </c>
      <c r="D880" s="107" t="s">
        <v>343</v>
      </c>
      <c r="E880" s="107" t="s">
        <v>344</v>
      </c>
      <c r="F880" s="161">
        <v>45353</v>
      </c>
      <c r="G880" s="107">
        <f t="shared" si="32"/>
        <v>5</v>
      </c>
    </row>
    <row r="881" spans="1:7">
      <c r="A881" s="107">
        <v>18</v>
      </c>
      <c r="B881" s="107">
        <v>6</v>
      </c>
      <c r="C881" s="107">
        <v>5</v>
      </c>
      <c r="D881" s="107" t="s">
        <v>343</v>
      </c>
      <c r="E881" s="107" t="s">
        <v>344</v>
      </c>
      <c r="F881" s="161">
        <v>45353</v>
      </c>
      <c r="G881" s="107">
        <f t="shared" si="32"/>
        <v>5</v>
      </c>
    </row>
    <row r="882" spans="1:7">
      <c r="A882" s="107">
        <v>18</v>
      </c>
      <c r="B882" s="107">
        <v>6</v>
      </c>
      <c r="C882" s="107">
        <v>6</v>
      </c>
      <c r="D882" s="107" t="s">
        <v>343</v>
      </c>
      <c r="E882" s="107" t="s">
        <v>344</v>
      </c>
      <c r="F882" s="161">
        <v>45352</v>
      </c>
      <c r="G882" s="107">
        <f t="shared" si="32"/>
        <v>4</v>
      </c>
    </row>
    <row r="883" spans="1:7">
      <c r="A883" s="107">
        <v>18</v>
      </c>
      <c r="B883" s="107">
        <v>6</v>
      </c>
      <c r="C883" s="107">
        <v>7</v>
      </c>
      <c r="D883" s="107" t="s">
        <v>343</v>
      </c>
      <c r="E883" s="107" t="s">
        <v>344</v>
      </c>
      <c r="F883" s="161">
        <v>45352</v>
      </c>
      <c r="G883" s="107">
        <f t="shared" si="32"/>
        <v>4</v>
      </c>
    </row>
    <row r="884" spans="1:7">
      <c r="A884" s="107">
        <v>18</v>
      </c>
      <c r="B884" s="107">
        <v>6</v>
      </c>
      <c r="C884" s="107">
        <v>8</v>
      </c>
      <c r="D884" s="107" t="s">
        <v>343</v>
      </c>
      <c r="E884" s="107" t="s">
        <v>344</v>
      </c>
      <c r="F884" s="161">
        <v>45352</v>
      </c>
      <c r="G884" s="107">
        <f t="shared" si="32"/>
        <v>4</v>
      </c>
    </row>
    <row r="886" spans="1:7">
      <c r="A886" s="107">
        <v>19</v>
      </c>
      <c r="B886" s="107">
        <v>1</v>
      </c>
      <c r="C886" s="107">
        <v>1</v>
      </c>
      <c r="D886" s="107" t="s">
        <v>345</v>
      </c>
      <c r="E886" s="107" t="s">
        <v>346</v>
      </c>
      <c r="F886" s="161">
        <v>45354</v>
      </c>
      <c r="G886" s="107">
        <f t="shared" ref="G886:G933" si="33">DATEDIF(G$2,F886,"d")</f>
        <v>6</v>
      </c>
    </row>
    <row r="887" spans="1:7">
      <c r="A887" s="107">
        <v>19</v>
      </c>
      <c r="B887" s="107">
        <v>1</v>
      </c>
      <c r="C887" s="107">
        <v>2</v>
      </c>
      <c r="D887" s="107" t="s">
        <v>345</v>
      </c>
      <c r="E887" s="107" t="s">
        <v>346</v>
      </c>
      <c r="F887" s="161">
        <v>45353</v>
      </c>
      <c r="G887" s="107">
        <f t="shared" si="33"/>
        <v>5</v>
      </c>
    </row>
    <row r="888" spans="1:7">
      <c r="A888" s="107">
        <v>19</v>
      </c>
      <c r="B888" s="107">
        <v>1</v>
      </c>
      <c r="C888" s="107">
        <v>3</v>
      </c>
      <c r="D888" s="107" t="s">
        <v>345</v>
      </c>
      <c r="E888" s="107" t="s">
        <v>346</v>
      </c>
      <c r="F888" s="161">
        <v>45353</v>
      </c>
      <c r="G888" s="107">
        <f t="shared" si="33"/>
        <v>5</v>
      </c>
    </row>
    <row r="889" spans="1:7">
      <c r="A889" s="107">
        <v>19</v>
      </c>
      <c r="B889" s="107">
        <v>1</v>
      </c>
      <c r="C889" s="107">
        <v>4</v>
      </c>
      <c r="D889" s="107" t="s">
        <v>345</v>
      </c>
      <c r="E889" s="107" t="s">
        <v>346</v>
      </c>
      <c r="F889" s="161">
        <v>45353</v>
      </c>
      <c r="G889" s="107">
        <f t="shared" si="33"/>
        <v>5</v>
      </c>
    </row>
    <row r="890" spans="1:7">
      <c r="A890" s="107">
        <v>19</v>
      </c>
      <c r="B890" s="107">
        <v>1</v>
      </c>
      <c r="C890" s="107">
        <v>5</v>
      </c>
      <c r="D890" s="107" t="s">
        <v>345</v>
      </c>
      <c r="E890" s="107" t="s">
        <v>346</v>
      </c>
      <c r="F890" s="161">
        <v>45353</v>
      </c>
      <c r="G890" s="107">
        <f t="shared" si="33"/>
        <v>5</v>
      </c>
    </row>
    <row r="891" spans="1:7">
      <c r="A891" s="107">
        <v>19</v>
      </c>
      <c r="B891" s="107">
        <v>1</v>
      </c>
      <c r="C891" s="107">
        <v>6</v>
      </c>
      <c r="D891" s="107" t="s">
        <v>345</v>
      </c>
      <c r="E891" s="107" t="s">
        <v>346</v>
      </c>
      <c r="F891" s="161">
        <v>45353</v>
      </c>
      <c r="G891" s="107">
        <f t="shared" si="33"/>
        <v>5</v>
      </c>
    </row>
    <row r="892" spans="1:7">
      <c r="A892" s="107">
        <v>19</v>
      </c>
      <c r="B892" s="107">
        <v>1</v>
      </c>
      <c r="C892" s="107">
        <v>7</v>
      </c>
      <c r="D892" s="107" t="s">
        <v>345</v>
      </c>
      <c r="E892" s="107" t="s">
        <v>346</v>
      </c>
      <c r="F892" s="161">
        <v>45353</v>
      </c>
      <c r="G892" s="107">
        <f t="shared" si="33"/>
        <v>5</v>
      </c>
    </row>
    <row r="893" spans="1:7">
      <c r="A893" s="107">
        <v>19</v>
      </c>
      <c r="B893" s="107">
        <v>1</v>
      </c>
      <c r="C893" s="107">
        <v>8</v>
      </c>
      <c r="D893" s="107" t="s">
        <v>345</v>
      </c>
      <c r="E893" s="107" t="s">
        <v>346</v>
      </c>
      <c r="F893" s="161">
        <v>45353</v>
      </c>
      <c r="G893" s="107">
        <f t="shared" si="33"/>
        <v>5</v>
      </c>
    </row>
    <row r="894" spans="1:7">
      <c r="A894" s="107">
        <v>19</v>
      </c>
      <c r="B894" s="107">
        <v>2</v>
      </c>
      <c r="C894" s="107">
        <v>1</v>
      </c>
      <c r="D894" s="107" t="s">
        <v>347</v>
      </c>
      <c r="E894" s="107" t="s">
        <v>348</v>
      </c>
      <c r="F894" s="161">
        <v>45355</v>
      </c>
      <c r="G894" s="107">
        <f t="shared" si="33"/>
        <v>7</v>
      </c>
    </row>
    <row r="895" spans="1:7">
      <c r="A895" s="107">
        <v>19</v>
      </c>
      <c r="B895" s="107">
        <v>2</v>
      </c>
      <c r="C895" s="107">
        <v>2</v>
      </c>
      <c r="D895" s="107" t="s">
        <v>347</v>
      </c>
      <c r="E895" s="107" t="s">
        <v>348</v>
      </c>
      <c r="F895" s="161">
        <v>45353</v>
      </c>
      <c r="G895" s="107">
        <f t="shared" si="33"/>
        <v>5</v>
      </c>
    </row>
    <row r="896" spans="1:7">
      <c r="A896" s="107">
        <v>19</v>
      </c>
      <c r="B896" s="107">
        <v>2</v>
      </c>
      <c r="C896" s="107">
        <v>3</v>
      </c>
      <c r="D896" s="107" t="s">
        <v>347</v>
      </c>
      <c r="E896" s="107" t="s">
        <v>348</v>
      </c>
      <c r="F896" s="161">
        <v>45353</v>
      </c>
      <c r="G896" s="107">
        <f t="shared" si="33"/>
        <v>5</v>
      </c>
    </row>
    <row r="897" spans="1:7">
      <c r="A897" s="107">
        <v>19</v>
      </c>
      <c r="B897" s="107">
        <v>2</v>
      </c>
      <c r="C897" s="107">
        <v>4</v>
      </c>
      <c r="D897" s="107" t="s">
        <v>347</v>
      </c>
      <c r="E897" s="107" t="s">
        <v>348</v>
      </c>
      <c r="F897" s="161">
        <v>45353</v>
      </c>
      <c r="G897" s="107">
        <f t="shared" si="33"/>
        <v>5</v>
      </c>
    </row>
    <row r="898" spans="1:7">
      <c r="A898" s="107">
        <v>19</v>
      </c>
      <c r="B898" s="107">
        <v>2</v>
      </c>
      <c r="C898" s="107">
        <v>5</v>
      </c>
      <c r="D898" s="107" t="s">
        <v>347</v>
      </c>
      <c r="E898" s="107" t="s">
        <v>348</v>
      </c>
      <c r="F898" s="161">
        <v>45353</v>
      </c>
      <c r="G898" s="107">
        <f t="shared" si="33"/>
        <v>5</v>
      </c>
    </row>
    <row r="899" spans="1:7">
      <c r="A899" s="107">
        <v>19</v>
      </c>
      <c r="B899" s="107">
        <v>2</v>
      </c>
      <c r="C899" s="107">
        <v>6</v>
      </c>
      <c r="D899" s="107" t="s">
        <v>347</v>
      </c>
      <c r="E899" s="107" t="s">
        <v>348</v>
      </c>
      <c r="F899" s="161">
        <v>45353</v>
      </c>
      <c r="G899" s="107">
        <f t="shared" si="33"/>
        <v>5</v>
      </c>
    </row>
    <row r="900" spans="1:7">
      <c r="A900" s="107">
        <v>19</v>
      </c>
      <c r="B900" s="107">
        <v>2</v>
      </c>
      <c r="C900" s="107">
        <v>7</v>
      </c>
      <c r="D900" s="107" t="s">
        <v>347</v>
      </c>
      <c r="E900" s="107" t="s">
        <v>348</v>
      </c>
      <c r="F900" s="161">
        <v>45353</v>
      </c>
      <c r="G900" s="107">
        <f t="shared" si="33"/>
        <v>5</v>
      </c>
    </row>
    <row r="901" spans="1:7">
      <c r="A901" s="107">
        <v>19</v>
      </c>
      <c r="B901" s="107">
        <v>2</v>
      </c>
      <c r="C901" s="107">
        <v>8</v>
      </c>
      <c r="D901" s="107" t="s">
        <v>347</v>
      </c>
      <c r="E901" s="107" t="s">
        <v>348</v>
      </c>
      <c r="F901" s="161">
        <v>45353</v>
      </c>
      <c r="G901" s="107">
        <f t="shared" si="33"/>
        <v>5</v>
      </c>
    </row>
    <row r="902" spans="1:7">
      <c r="A902" s="107">
        <v>19</v>
      </c>
      <c r="B902" s="107">
        <v>3</v>
      </c>
      <c r="C902" s="107">
        <v>1</v>
      </c>
      <c r="D902" s="107" t="s">
        <v>349</v>
      </c>
      <c r="E902" s="107" t="s">
        <v>350</v>
      </c>
      <c r="F902" s="161">
        <v>45354</v>
      </c>
      <c r="G902" s="107">
        <f t="shared" si="33"/>
        <v>6</v>
      </c>
    </row>
    <row r="903" spans="1:7">
      <c r="A903" s="107">
        <v>19</v>
      </c>
      <c r="B903" s="107">
        <v>3</v>
      </c>
      <c r="C903" s="107">
        <v>2</v>
      </c>
      <c r="D903" s="107" t="s">
        <v>349</v>
      </c>
      <c r="E903" s="107" t="s">
        <v>350</v>
      </c>
      <c r="F903" s="161">
        <v>45353</v>
      </c>
      <c r="G903" s="107">
        <f t="shared" si="33"/>
        <v>5</v>
      </c>
    </row>
    <row r="904" spans="1:7">
      <c r="A904" s="107">
        <v>19</v>
      </c>
      <c r="B904" s="107">
        <v>3</v>
      </c>
      <c r="C904" s="107">
        <v>3</v>
      </c>
      <c r="D904" s="107" t="s">
        <v>349</v>
      </c>
      <c r="E904" s="107" t="s">
        <v>350</v>
      </c>
      <c r="F904" s="161">
        <v>45354</v>
      </c>
      <c r="G904" s="107">
        <f t="shared" si="33"/>
        <v>6</v>
      </c>
    </row>
    <row r="905" spans="1:7">
      <c r="A905" s="107">
        <v>19</v>
      </c>
      <c r="B905" s="107">
        <v>3</v>
      </c>
      <c r="C905" s="107">
        <v>4</v>
      </c>
      <c r="D905" s="107" t="s">
        <v>349</v>
      </c>
      <c r="E905" s="107" t="s">
        <v>350</v>
      </c>
      <c r="F905" s="161">
        <v>45353</v>
      </c>
      <c r="G905" s="107">
        <f t="shared" si="33"/>
        <v>5</v>
      </c>
    </row>
    <row r="906" spans="1:7">
      <c r="A906" s="107">
        <v>19</v>
      </c>
      <c r="B906" s="107">
        <v>3</v>
      </c>
      <c r="C906" s="107">
        <v>5</v>
      </c>
      <c r="D906" s="107" t="s">
        <v>349</v>
      </c>
      <c r="E906" s="107" t="s">
        <v>350</v>
      </c>
      <c r="F906" s="161">
        <v>45353</v>
      </c>
      <c r="G906" s="107">
        <f t="shared" si="33"/>
        <v>5</v>
      </c>
    </row>
    <row r="907" spans="1:7">
      <c r="A907" s="107">
        <v>19</v>
      </c>
      <c r="B907" s="107">
        <v>3</v>
      </c>
      <c r="C907" s="107">
        <v>6</v>
      </c>
      <c r="D907" s="107" t="s">
        <v>349</v>
      </c>
      <c r="E907" s="107" t="s">
        <v>350</v>
      </c>
      <c r="F907" s="161">
        <v>45353</v>
      </c>
      <c r="G907" s="107">
        <f t="shared" si="33"/>
        <v>5</v>
      </c>
    </row>
    <row r="908" spans="1:7">
      <c r="A908" s="107">
        <v>19</v>
      </c>
      <c r="B908" s="107">
        <v>3</v>
      </c>
      <c r="C908" s="107">
        <v>7</v>
      </c>
      <c r="D908" s="107" t="s">
        <v>349</v>
      </c>
      <c r="E908" s="107" t="s">
        <v>350</v>
      </c>
      <c r="F908" s="161">
        <v>45353</v>
      </c>
      <c r="G908" s="107">
        <f t="shared" si="33"/>
        <v>5</v>
      </c>
    </row>
    <row r="909" spans="1:7">
      <c r="A909" s="107">
        <v>19</v>
      </c>
      <c r="B909" s="107">
        <v>3</v>
      </c>
      <c r="C909" s="107">
        <v>8</v>
      </c>
      <c r="D909" s="107" t="s">
        <v>349</v>
      </c>
      <c r="E909" s="107" t="s">
        <v>350</v>
      </c>
      <c r="F909" s="161">
        <v>45355</v>
      </c>
      <c r="G909" s="107">
        <f t="shared" si="33"/>
        <v>7</v>
      </c>
    </row>
    <row r="910" spans="1:7">
      <c r="A910" s="107">
        <v>19</v>
      </c>
      <c r="B910" s="107">
        <v>4</v>
      </c>
      <c r="C910" s="107">
        <v>1</v>
      </c>
      <c r="D910" s="107" t="s">
        <v>351</v>
      </c>
      <c r="E910" s="107" t="s">
        <v>352</v>
      </c>
      <c r="F910" s="161">
        <v>45353</v>
      </c>
      <c r="G910" s="107">
        <f t="shared" si="33"/>
        <v>5</v>
      </c>
    </row>
    <row r="911" spans="1:7">
      <c r="A911" s="107">
        <v>19</v>
      </c>
      <c r="B911" s="107">
        <v>4</v>
      </c>
      <c r="C911" s="107">
        <v>2</v>
      </c>
      <c r="D911" s="107" t="s">
        <v>351</v>
      </c>
      <c r="E911" s="107" t="s">
        <v>352</v>
      </c>
      <c r="F911" s="161">
        <v>45353</v>
      </c>
      <c r="G911" s="107">
        <f t="shared" si="33"/>
        <v>5</v>
      </c>
    </row>
    <row r="912" spans="1:7">
      <c r="A912" s="107">
        <v>19</v>
      </c>
      <c r="B912" s="107">
        <v>4</v>
      </c>
      <c r="C912" s="107">
        <v>3</v>
      </c>
      <c r="D912" s="107" t="s">
        <v>351</v>
      </c>
      <c r="E912" s="107" t="s">
        <v>352</v>
      </c>
      <c r="F912" s="161">
        <v>45353</v>
      </c>
      <c r="G912" s="107">
        <f t="shared" si="33"/>
        <v>5</v>
      </c>
    </row>
    <row r="913" spans="1:7">
      <c r="A913" s="107">
        <v>19</v>
      </c>
      <c r="B913" s="107">
        <v>4</v>
      </c>
      <c r="C913" s="107">
        <v>4</v>
      </c>
      <c r="D913" s="107" t="s">
        <v>351</v>
      </c>
      <c r="E913" s="107" t="s">
        <v>352</v>
      </c>
      <c r="F913" s="161">
        <v>45353</v>
      </c>
      <c r="G913" s="107">
        <f t="shared" si="33"/>
        <v>5</v>
      </c>
    </row>
    <row r="914" spans="1:7">
      <c r="A914" s="107">
        <v>19</v>
      </c>
      <c r="B914" s="107">
        <v>4</v>
      </c>
      <c r="C914" s="107">
        <v>5</v>
      </c>
      <c r="D914" s="107" t="s">
        <v>351</v>
      </c>
      <c r="E914" s="107" t="s">
        <v>352</v>
      </c>
      <c r="F914" s="161">
        <v>45353</v>
      </c>
      <c r="G914" s="107">
        <f t="shared" si="33"/>
        <v>5</v>
      </c>
    </row>
    <row r="915" spans="1:7">
      <c r="A915" s="107">
        <v>19</v>
      </c>
      <c r="B915" s="107">
        <v>4</v>
      </c>
      <c r="C915" s="107">
        <v>6</v>
      </c>
      <c r="D915" s="107" t="s">
        <v>351</v>
      </c>
      <c r="E915" s="107" t="s">
        <v>352</v>
      </c>
      <c r="F915" s="161">
        <v>45354</v>
      </c>
      <c r="G915" s="107">
        <f t="shared" si="33"/>
        <v>6</v>
      </c>
    </row>
    <row r="916" spans="1:7">
      <c r="A916" s="107">
        <v>19</v>
      </c>
      <c r="B916" s="107">
        <v>4</v>
      </c>
      <c r="C916" s="107">
        <v>7</v>
      </c>
      <c r="D916" s="107" t="s">
        <v>351</v>
      </c>
      <c r="E916" s="107" t="s">
        <v>352</v>
      </c>
      <c r="F916" s="161">
        <v>45353</v>
      </c>
      <c r="G916" s="107">
        <f t="shared" si="33"/>
        <v>5</v>
      </c>
    </row>
    <row r="917" spans="1:7">
      <c r="A917" s="107">
        <v>19</v>
      </c>
      <c r="B917" s="107">
        <v>4</v>
      </c>
      <c r="C917" s="107">
        <v>8</v>
      </c>
      <c r="D917" s="107" t="s">
        <v>351</v>
      </c>
      <c r="E917" s="107" t="s">
        <v>352</v>
      </c>
      <c r="F917" s="161">
        <v>45353</v>
      </c>
      <c r="G917" s="107">
        <f t="shared" si="33"/>
        <v>5</v>
      </c>
    </row>
    <row r="918" spans="1:7">
      <c r="A918" s="107">
        <v>19</v>
      </c>
      <c r="B918" s="107">
        <v>5</v>
      </c>
      <c r="C918" s="107">
        <v>1</v>
      </c>
      <c r="D918" s="107" t="s">
        <v>353</v>
      </c>
      <c r="E918" s="107" t="s">
        <v>354</v>
      </c>
      <c r="F918" s="161">
        <v>45353</v>
      </c>
      <c r="G918" s="107">
        <f t="shared" si="33"/>
        <v>5</v>
      </c>
    </row>
    <row r="919" spans="1:7">
      <c r="A919" s="107">
        <v>19</v>
      </c>
      <c r="B919" s="107">
        <v>5</v>
      </c>
      <c r="C919" s="107">
        <v>2</v>
      </c>
      <c r="D919" s="107" t="s">
        <v>353</v>
      </c>
      <c r="E919" s="107" t="s">
        <v>354</v>
      </c>
      <c r="F919" s="161">
        <v>45353</v>
      </c>
      <c r="G919" s="107">
        <f t="shared" si="33"/>
        <v>5</v>
      </c>
    </row>
    <row r="920" spans="1:7">
      <c r="A920" s="107">
        <v>19</v>
      </c>
      <c r="B920" s="107">
        <v>5</v>
      </c>
      <c r="C920" s="107">
        <v>3</v>
      </c>
      <c r="D920" s="107" t="s">
        <v>353</v>
      </c>
      <c r="E920" s="107" t="s">
        <v>354</v>
      </c>
      <c r="F920" s="161">
        <v>45353</v>
      </c>
      <c r="G920" s="107">
        <f t="shared" si="33"/>
        <v>5</v>
      </c>
    </row>
    <row r="921" spans="1:7">
      <c r="A921" s="107">
        <v>19</v>
      </c>
      <c r="B921" s="107">
        <v>5</v>
      </c>
      <c r="C921" s="107">
        <v>4</v>
      </c>
      <c r="D921" s="107" t="s">
        <v>353</v>
      </c>
      <c r="E921" s="107" t="s">
        <v>354</v>
      </c>
      <c r="F921" s="161">
        <v>45353</v>
      </c>
      <c r="G921" s="107">
        <f t="shared" si="33"/>
        <v>5</v>
      </c>
    </row>
    <row r="922" spans="1:7">
      <c r="A922" s="107">
        <v>19</v>
      </c>
      <c r="B922" s="107">
        <v>5</v>
      </c>
      <c r="C922" s="107">
        <v>5</v>
      </c>
      <c r="D922" s="107" t="s">
        <v>353</v>
      </c>
      <c r="E922" s="107" t="s">
        <v>354</v>
      </c>
      <c r="F922" s="161">
        <v>45353</v>
      </c>
      <c r="G922" s="107">
        <f t="shared" si="33"/>
        <v>5</v>
      </c>
    </row>
    <row r="923" spans="1:7">
      <c r="A923" s="107">
        <v>19</v>
      </c>
      <c r="B923" s="107">
        <v>5</v>
      </c>
      <c r="C923" s="107">
        <v>6</v>
      </c>
      <c r="D923" s="107" t="s">
        <v>353</v>
      </c>
      <c r="E923" s="107" t="s">
        <v>354</v>
      </c>
      <c r="F923" s="161">
        <v>45353</v>
      </c>
      <c r="G923" s="107">
        <f t="shared" si="33"/>
        <v>5</v>
      </c>
    </row>
    <row r="924" spans="1:7">
      <c r="A924" s="107">
        <v>19</v>
      </c>
      <c r="B924" s="107">
        <v>5</v>
      </c>
      <c r="C924" s="107">
        <v>7</v>
      </c>
      <c r="D924" s="107" t="s">
        <v>353</v>
      </c>
      <c r="E924" s="107" t="s">
        <v>354</v>
      </c>
      <c r="F924" s="161">
        <v>45353</v>
      </c>
      <c r="G924" s="107">
        <f t="shared" si="33"/>
        <v>5</v>
      </c>
    </row>
    <row r="925" spans="1:7">
      <c r="A925" s="107">
        <v>19</v>
      </c>
      <c r="B925" s="107">
        <v>5</v>
      </c>
      <c r="C925" s="107">
        <v>8</v>
      </c>
      <c r="D925" s="107" t="s">
        <v>353</v>
      </c>
      <c r="E925" s="107" t="s">
        <v>354</v>
      </c>
      <c r="F925" s="161">
        <v>45353</v>
      </c>
      <c r="G925" s="107">
        <f t="shared" si="33"/>
        <v>5</v>
      </c>
    </row>
    <row r="926" spans="1:7">
      <c r="A926" s="107">
        <v>19</v>
      </c>
      <c r="B926" s="107">
        <v>6</v>
      </c>
      <c r="C926" s="107">
        <v>1</v>
      </c>
      <c r="D926" s="107" t="s">
        <v>355</v>
      </c>
      <c r="E926" s="107" t="s">
        <v>356</v>
      </c>
      <c r="F926" s="161">
        <v>45353</v>
      </c>
      <c r="G926" s="107">
        <f t="shared" si="33"/>
        <v>5</v>
      </c>
    </row>
    <row r="927" spans="1:7">
      <c r="A927" s="107">
        <v>19</v>
      </c>
      <c r="B927" s="107">
        <v>6</v>
      </c>
      <c r="C927" s="107">
        <v>2</v>
      </c>
      <c r="D927" s="107" t="s">
        <v>355</v>
      </c>
      <c r="E927" s="107" t="s">
        <v>356</v>
      </c>
      <c r="F927" s="161">
        <v>45360</v>
      </c>
      <c r="G927" s="107">
        <f t="shared" si="33"/>
        <v>12</v>
      </c>
    </row>
    <row r="928" spans="1:7">
      <c r="A928" s="107">
        <v>19</v>
      </c>
      <c r="B928" s="107">
        <v>6</v>
      </c>
      <c r="C928" s="107">
        <v>3</v>
      </c>
      <c r="D928" s="107" t="s">
        <v>355</v>
      </c>
      <c r="E928" s="107" t="s">
        <v>356</v>
      </c>
      <c r="F928" s="161">
        <v>45353</v>
      </c>
      <c r="G928" s="107">
        <f t="shared" si="33"/>
        <v>5</v>
      </c>
    </row>
    <row r="929" spans="1:7">
      <c r="A929" s="107">
        <v>19</v>
      </c>
      <c r="B929" s="107">
        <v>6</v>
      </c>
      <c r="C929" s="107">
        <v>4</v>
      </c>
      <c r="D929" s="107" t="s">
        <v>355</v>
      </c>
      <c r="E929" s="107" t="s">
        <v>356</v>
      </c>
      <c r="F929" s="161">
        <v>45353</v>
      </c>
      <c r="G929" s="107">
        <f t="shared" si="33"/>
        <v>5</v>
      </c>
    </row>
    <row r="930" spans="1:7">
      <c r="A930" s="107">
        <v>19</v>
      </c>
      <c r="B930" s="107">
        <v>6</v>
      </c>
      <c r="C930" s="107">
        <v>5</v>
      </c>
      <c r="D930" s="107" t="s">
        <v>355</v>
      </c>
      <c r="E930" s="107" t="s">
        <v>356</v>
      </c>
      <c r="F930" s="161">
        <v>45354</v>
      </c>
      <c r="G930" s="107">
        <f t="shared" si="33"/>
        <v>6</v>
      </c>
    </row>
    <row r="931" spans="1:7">
      <c r="A931" s="107">
        <v>19</v>
      </c>
      <c r="B931" s="107">
        <v>6</v>
      </c>
      <c r="C931" s="107">
        <v>6</v>
      </c>
      <c r="D931" s="107" t="s">
        <v>355</v>
      </c>
      <c r="E931" s="107" t="s">
        <v>356</v>
      </c>
      <c r="F931" s="161">
        <v>45353</v>
      </c>
      <c r="G931" s="107">
        <f t="shared" si="33"/>
        <v>5</v>
      </c>
    </row>
    <row r="932" spans="1:7">
      <c r="A932" s="107">
        <v>19</v>
      </c>
      <c r="B932" s="107">
        <v>6</v>
      </c>
      <c r="C932" s="107">
        <v>7</v>
      </c>
      <c r="D932" s="107" t="s">
        <v>355</v>
      </c>
      <c r="E932" s="107" t="s">
        <v>356</v>
      </c>
      <c r="F932" s="161">
        <v>45353</v>
      </c>
      <c r="G932" s="107">
        <f t="shared" si="33"/>
        <v>5</v>
      </c>
    </row>
    <row r="933" spans="1:7">
      <c r="A933" s="107">
        <v>19</v>
      </c>
      <c r="B933" s="107">
        <v>6</v>
      </c>
      <c r="C933" s="107">
        <v>8</v>
      </c>
      <c r="D933" s="107" t="s">
        <v>355</v>
      </c>
      <c r="E933" s="107" t="s">
        <v>356</v>
      </c>
      <c r="F933" s="161">
        <v>45354</v>
      </c>
      <c r="G933" s="107">
        <f t="shared" si="33"/>
        <v>6</v>
      </c>
    </row>
    <row r="935" spans="1:7">
      <c r="A935" s="107">
        <v>20</v>
      </c>
      <c r="B935" s="107">
        <v>1</v>
      </c>
      <c r="C935" s="107">
        <v>1</v>
      </c>
      <c r="D935" s="107" t="s">
        <v>357</v>
      </c>
      <c r="E935" s="107" t="s">
        <v>358</v>
      </c>
      <c r="F935" s="161">
        <v>45354</v>
      </c>
      <c r="G935" s="107">
        <f t="shared" ref="G935:G982" si="34">DATEDIF(G$2,F935,"d")</f>
        <v>6</v>
      </c>
    </row>
    <row r="936" spans="1:7">
      <c r="A936" s="107">
        <v>20</v>
      </c>
      <c r="B936" s="107">
        <v>1</v>
      </c>
      <c r="C936" s="107">
        <v>2</v>
      </c>
      <c r="D936" s="107" t="s">
        <v>357</v>
      </c>
      <c r="E936" s="107" t="s">
        <v>358</v>
      </c>
      <c r="F936" s="161">
        <v>45353</v>
      </c>
      <c r="G936" s="107">
        <f t="shared" si="34"/>
        <v>5</v>
      </c>
    </row>
    <row r="937" spans="1:7">
      <c r="A937" s="107">
        <v>20</v>
      </c>
      <c r="B937" s="107">
        <v>1</v>
      </c>
      <c r="C937" s="107">
        <v>3</v>
      </c>
      <c r="D937" s="107" t="s">
        <v>357</v>
      </c>
      <c r="E937" s="107" t="s">
        <v>358</v>
      </c>
      <c r="F937" s="161">
        <v>45353</v>
      </c>
      <c r="G937" s="107">
        <f t="shared" si="34"/>
        <v>5</v>
      </c>
    </row>
    <row r="938" spans="1:7">
      <c r="A938" s="107">
        <v>20</v>
      </c>
      <c r="B938" s="107">
        <v>1</v>
      </c>
      <c r="C938" s="107">
        <v>4</v>
      </c>
      <c r="D938" s="107" t="s">
        <v>357</v>
      </c>
      <c r="E938" s="107" t="s">
        <v>358</v>
      </c>
      <c r="F938" s="161">
        <v>45353</v>
      </c>
      <c r="G938" s="107">
        <f t="shared" si="34"/>
        <v>5</v>
      </c>
    </row>
    <row r="939" spans="1:7">
      <c r="A939" s="107">
        <v>20</v>
      </c>
      <c r="B939" s="107">
        <v>1</v>
      </c>
      <c r="C939" s="107">
        <v>5</v>
      </c>
      <c r="D939" s="107" t="s">
        <v>357</v>
      </c>
      <c r="E939" s="107" t="s">
        <v>358</v>
      </c>
      <c r="F939" s="161">
        <v>45353</v>
      </c>
      <c r="G939" s="107">
        <f t="shared" si="34"/>
        <v>5</v>
      </c>
    </row>
    <row r="940" spans="1:7">
      <c r="A940" s="107">
        <v>20</v>
      </c>
      <c r="B940" s="107">
        <v>1</v>
      </c>
      <c r="C940" s="107">
        <v>6</v>
      </c>
      <c r="D940" s="107" t="s">
        <v>357</v>
      </c>
      <c r="E940" s="107" t="s">
        <v>358</v>
      </c>
      <c r="F940" s="161">
        <v>45353</v>
      </c>
      <c r="G940" s="107">
        <f t="shared" si="34"/>
        <v>5</v>
      </c>
    </row>
    <row r="941" spans="1:7">
      <c r="A941" s="107">
        <v>20</v>
      </c>
      <c r="B941" s="107">
        <v>1</v>
      </c>
      <c r="C941" s="107">
        <v>7</v>
      </c>
      <c r="D941" s="107" t="s">
        <v>357</v>
      </c>
      <c r="E941" s="107" t="s">
        <v>358</v>
      </c>
      <c r="F941" s="161">
        <v>45353</v>
      </c>
      <c r="G941" s="107">
        <f t="shared" si="34"/>
        <v>5</v>
      </c>
    </row>
    <row r="942" spans="1:7">
      <c r="A942" s="107">
        <v>20</v>
      </c>
      <c r="B942" s="107">
        <v>1</v>
      </c>
      <c r="C942" s="107">
        <v>8</v>
      </c>
      <c r="D942" s="107" t="s">
        <v>357</v>
      </c>
      <c r="E942" s="107" t="s">
        <v>358</v>
      </c>
      <c r="F942" s="161">
        <v>45354</v>
      </c>
      <c r="G942" s="107">
        <f t="shared" si="34"/>
        <v>6</v>
      </c>
    </row>
    <row r="943" spans="1:7">
      <c r="A943" s="107">
        <v>20</v>
      </c>
      <c r="B943" s="107">
        <v>2</v>
      </c>
      <c r="C943" s="107">
        <v>1</v>
      </c>
      <c r="D943" s="107" t="s">
        <v>359</v>
      </c>
      <c r="E943" s="107" t="s">
        <v>360</v>
      </c>
      <c r="F943" s="161">
        <v>45353</v>
      </c>
      <c r="G943" s="107">
        <f t="shared" si="34"/>
        <v>5</v>
      </c>
    </row>
    <row r="944" spans="1:7">
      <c r="A944" s="107">
        <v>20</v>
      </c>
      <c r="B944" s="107">
        <v>2</v>
      </c>
      <c r="C944" s="107">
        <v>2</v>
      </c>
      <c r="D944" s="107" t="s">
        <v>359</v>
      </c>
      <c r="E944" s="107" t="s">
        <v>360</v>
      </c>
      <c r="F944" s="161">
        <v>45353</v>
      </c>
      <c r="G944" s="107">
        <f t="shared" si="34"/>
        <v>5</v>
      </c>
    </row>
    <row r="945" spans="1:7">
      <c r="A945" s="107">
        <v>20</v>
      </c>
      <c r="B945" s="107">
        <v>2</v>
      </c>
      <c r="C945" s="107">
        <v>3</v>
      </c>
      <c r="D945" s="107" t="s">
        <v>359</v>
      </c>
      <c r="E945" s="107" t="s">
        <v>360</v>
      </c>
      <c r="F945" s="161">
        <v>45353</v>
      </c>
      <c r="G945" s="107">
        <f t="shared" si="34"/>
        <v>5</v>
      </c>
    </row>
    <row r="946" spans="1:7">
      <c r="A946" s="107">
        <v>20</v>
      </c>
      <c r="B946" s="107">
        <v>2</v>
      </c>
      <c r="C946" s="107">
        <v>4</v>
      </c>
      <c r="D946" s="107" t="s">
        <v>359</v>
      </c>
      <c r="E946" s="107" t="s">
        <v>360</v>
      </c>
      <c r="F946" s="161">
        <v>45353</v>
      </c>
      <c r="G946" s="107">
        <f t="shared" si="34"/>
        <v>5</v>
      </c>
    </row>
    <row r="947" spans="1:7">
      <c r="A947" s="107">
        <v>20</v>
      </c>
      <c r="B947" s="107">
        <v>2</v>
      </c>
      <c r="C947" s="107">
        <v>5</v>
      </c>
      <c r="D947" s="107" t="s">
        <v>359</v>
      </c>
      <c r="E947" s="107" t="s">
        <v>360</v>
      </c>
      <c r="F947" s="161">
        <v>45353</v>
      </c>
      <c r="G947" s="107">
        <f t="shared" si="34"/>
        <v>5</v>
      </c>
    </row>
    <row r="948" spans="1:7">
      <c r="A948" s="107">
        <v>20</v>
      </c>
      <c r="B948" s="107">
        <v>2</v>
      </c>
      <c r="C948" s="107">
        <v>6</v>
      </c>
      <c r="D948" s="107" t="s">
        <v>359</v>
      </c>
      <c r="E948" s="107" t="s">
        <v>360</v>
      </c>
      <c r="F948" s="161">
        <v>45352</v>
      </c>
      <c r="G948" s="107">
        <f t="shared" si="34"/>
        <v>4</v>
      </c>
    </row>
    <row r="949" spans="1:7">
      <c r="A949" s="107">
        <v>20</v>
      </c>
      <c r="B949" s="107">
        <v>2</v>
      </c>
      <c r="C949" s="107">
        <v>7</v>
      </c>
      <c r="D949" s="107" t="s">
        <v>359</v>
      </c>
      <c r="E949" s="107" t="s">
        <v>360</v>
      </c>
      <c r="F949" s="161">
        <v>45353</v>
      </c>
      <c r="G949" s="107">
        <f t="shared" si="34"/>
        <v>5</v>
      </c>
    </row>
    <row r="950" spans="1:7">
      <c r="A950" s="107">
        <v>20</v>
      </c>
      <c r="B950" s="107">
        <v>2</v>
      </c>
      <c r="C950" s="107">
        <v>8</v>
      </c>
      <c r="D950" s="107" t="s">
        <v>359</v>
      </c>
      <c r="E950" s="107" t="s">
        <v>360</v>
      </c>
      <c r="F950" s="161">
        <v>45353</v>
      </c>
      <c r="G950" s="107">
        <f t="shared" si="34"/>
        <v>5</v>
      </c>
    </row>
    <row r="951" spans="1:7">
      <c r="A951" s="107">
        <v>20</v>
      </c>
      <c r="B951" s="107">
        <v>3</v>
      </c>
      <c r="C951" s="107">
        <v>1</v>
      </c>
      <c r="D951" s="107" t="s">
        <v>361</v>
      </c>
      <c r="E951" s="107" t="s">
        <v>362</v>
      </c>
      <c r="F951" s="161">
        <v>45353</v>
      </c>
      <c r="G951" s="107">
        <f t="shared" si="34"/>
        <v>5</v>
      </c>
    </row>
    <row r="952" spans="1:7">
      <c r="A952" s="107">
        <v>20</v>
      </c>
      <c r="B952" s="107">
        <v>3</v>
      </c>
      <c r="C952" s="107">
        <v>2</v>
      </c>
      <c r="D952" s="107" t="s">
        <v>361</v>
      </c>
      <c r="E952" s="107" t="s">
        <v>362</v>
      </c>
      <c r="F952" s="161">
        <v>45353</v>
      </c>
      <c r="G952" s="107">
        <f t="shared" si="34"/>
        <v>5</v>
      </c>
    </row>
    <row r="953" spans="1:7">
      <c r="A953" s="107">
        <v>20</v>
      </c>
      <c r="B953" s="107">
        <v>3</v>
      </c>
      <c r="C953" s="107">
        <v>3</v>
      </c>
      <c r="D953" s="107" t="s">
        <v>361</v>
      </c>
      <c r="E953" s="107" t="s">
        <v>362</v>
      </c>
      <c r="F953" s="161">
        <v>45353</v>
      </c>
      <c r="G953" s="107">
        <f t="shared" si="34"/>
        <v>5</v>
      </c>
    </row>
    <row r="954" spans="1:7">
      <c r="A954" s="107">
        <v>20</v>
      </c>
      <c r="B954" s="107">
        <v>3</v>
      </c>
      <c r="C954" s="107">
        <v>4</v>
      </c>
      <c r="D954" s="107" t="s">
        <v>361</v>
      </c>
      <c r="E954" s="107" t="s">
        <v>362</v>
      </c>
      <c r="F954" s="161">
        <v>45353</v>
      </c>
      <c r="G954" s="107">
        <f t="shared" si="34"/>
        <v>5</v>
      </c>
    </row>
    <row r="955" spans="1:7">
      <c r="A955" s="107">
        <v>20</v>
      </c>
      <c r="B955" s="107">
        <v>3</v>
      </c>
      <c r="C955" s="107">
        <v>5</v>
      </c>
      <c r="D955" s="107" t="s">
        <v>361</v>
      </c>
      <c r="E955" s="107" t="s">
        <v>362</v>
      </c>
      <c r="F955" s="161">
        <v>45353</v>
      </c>
      <c r="G955" s="107">
        <f t="shared" si="34"/>
        <v>5</v>
      </c>
    </row>
    <row r="956" spans="1:7">
      <c r="A956" s="107">
        <v>20</v>
      </c>
      <c r="B956" s="107">
        <v>3</v>
      </c>
      <c r="C956" s="107">
        <v>6</v>
      </c>
      <c r="D956" s="107" t="s">
        <v>361</v>
      </c>
      <c r="E956" s="107" t="s">
        <v>362</v>
      </c>
      <c r="F956" s="161">
        <v>45353</v>
      </c>
      <c r="G956" s="107">
        <f t="shared" si="34"/>
        <v>5</v>
      </c>
    </row>
    <row r="957" spans="1:7">
      <c r="A957" s="107">
        <v>20</v>
      </c>
      <c r="B957" s="107">
        <v>3</v>
      </c>
      <c r="C957" s="107">
        <v>7</v>
      </c>
      <c r="D957" s="107" t="s">
        <v>361</v>
      </c>
      <c r="E957" s="107" t="s">
        <v>362</v>
      </c>
      <c r="F957" s="161">
        <v>45353</v>
      </c>
      <c r="G957" s="107">
        <f t="shared" si="34"/>
        <v>5</v>
      </c>
    </row>
    <row r="958" spans="1:7">
      <c r="A958" s="107">
        <v>20</v>
      </c>
      <c r="B958" s="107">
        <v>3</v>
      </c>
      <c r="C958" s="107">
        <v>8</v>
      </c>
      <c r="D958" s="107" t="s">
        <v>361</v>
      </c>
      <c r="E958" s="107" t="s">
        <v>362</v>
      </c>
      <c r="F958" s="161">
        <v>45353</v>
      </c>
      <c r="G958" s="107">
        <f t="shared" si="34"/>
        <v>5</v>
      </c>
    </row>
    <row r="959" spans="1:7">
      <c r="A959" s="107">
        <v>20</v>
      </c>
      <c r="B959" s="107">
        <v>4</v>
      </c>
      <c r="C959" s="107">
        <v>1</v>
      </c>
      <c r="D959" s="107" t="s">
        <v>363</v>
      </c>
      <c r="E959" s="107" t="s">
        <v>364</v>
      </c>
      <c r="F959" s="161">
        <v>45353</v>
      </c>
      <c r="G959" s="107">
        <f t="shared" si="34"/>
        <v>5</v>
      </c>
    </row>
    <row r="960" spans="1:7">
      <c r="A960" s="107">
        <v>20</v>
      </c>
      <c r="B960" s="107">
        <v>4</v>
      </c>
      <c r="C960" s="107">
        <v>2</v>
      </c>
      <c r="D960" s="107" t="s">
        <v>363</v>
      </c>
      <c r="E960" s="107" t="s">
        <v>364</v>
      </c>
      <c r="F960" s="161">
        <v>45353</v>
      </c>
      <c r="G960" s="107">
        <f t="shared" si="34"/>
        <v>5</v>
      </c>
    </row>
    <row r="961" spans="1:7">
      <c r="A961" s="107">
        <v>20</v>
      </c>
      <c r="B961" s="107">
        <v>4</v>
      </c>
      <c r="C961" s="107">
        <v>3</v>
      </c>
      <c r="D961" s="107" t="s">
        <v>363</v>
      </c>
      <c r="E961" s="107" t="s">
        <v>364</v>
      </c>
      <c r="F961" s="161">
        <v>45353</v>
      </c>
      <c r="G961" s="107">
        <f t="shared" si="34"/>
        <v>5</v>
      </c>
    </row>
    <row r="962" spans="1:7">
      <c r="A962" s="107">
        <v>20</v>
      </c>
      <c r="B962" s="107">
        <v>4</v>
      </c>
      <c r="C962" s="107">
        <v>4</v>
      </c>
      <c r="D962" s="107" t="s">
        <v>363</v>
      </c>
      <c r="E962" s="107" t="s">
        <v>364</v>
      </c>
      <c r="F962" s="161">
        <v>45353</v>
      </c>
      <c r="G962" s="107">
        <f t="shared" si="34"/>
        <v>5</v>
      </c>
    </row>
    <row r="963" spans="1:7">
      <c r="A963" s="107">
        <v>20</v>
      </c>
      <c r="B963" s="107">
        <v>4</v>
      </c>
      <c r="C963" s="107">
        <v>5</v>
      </c>
      <c r="D963" s="107" t="s">
        <v>363</v>
      </c>
      <c r="E963" s="107" t="s">
        <v>364</v>
      </c>
      <c r="F963" s="161">
        <v>45353</v>
      </c>
      <c r="G963" s="107">
        <f t="shared" si="34"/>
        <v>5</v>
      </c>
    </row>
    <row r="964" spans="1:7">
      <c r="A964" s="107">
        <v>20</v>
      </c>
      <c r="B964" s="107">
        <v>4</v>
      </c>
      <c r="C964" s="107">
        <v>6</v>
      </c>
      <c r="D964" s="107" t="s">
        <v>363</v>
      </c>
      <c r="E964" s="107" t="s">
        <v>364</v>
      </c>
      <c r="F964" s="161">
        <v>45354</v>
      </c>
      <c r="G964" s="107">
        <f t="shared" si="34"/>
        <v>6</v>
      </c>
    </row>
    <row r="965" spans="1:7">
      <c r="A965" s="107">
        <v>20</v>
      </c>
      <c r="B965" s="107">
        <v>4</v>
      </c>
      <c r="C965" s="107">
        <v>7</v>
      </c>
      <c r="D965" s="107" t="s">
        <v>363</v>
      </c>
      <c r="E965" s="107" t="s">
        <v>364</v>
      </c>
      <c r="F965" s="161">
        <v>45353</v>
      </c>
      <c r="G965" s="107">
        <f t="shared" si="34"/>
        <v>5</v>
      </c>
    </row>
    <row r="966" spans="1:7">
      <c r="A966" s="107">
        <v>20</v>
      </c>
      <c r="B966" s="107">
        <v>4</v>
      </c>
      <c r="C966" s="107">
        <v>8</v>
      </c>
      <c r="D966" s="107" t="s">
        <v>363</v>
      </c>
      <c r="E966" s="107" t="s">
        <v>364</v>
      </c>
      <c r="F966" s="161">
        <v>45353</v>
      </c>
      <c r="G966" s="107">
        <f t="shared" si="34"/>
        <v>5</v>
      </c>
    </row>
    <row r="967" spans="1:7">
      <c r="A967" s="107">
        <v>20</v>
      </c>
      <c r="B967" s="107">
        <v>5</v>
      </c>
      <c r="C967" s="107">
        <v>1</v>
      </c>
      <c r="D967" s="107" t="s">
        <v>365</v>
      </c>
      <c r="E967" s="107" t="s">
        <v>366</v>
      </c>
      <c r="F967" s="161">
        <v>45353</v>
      </c>
      <c r="G967" s="107">
        <f t="shared" si="34"/>
        <v>5</v>
      </c>
    </row>
    <row r="968" spans="1:7">
      <c r="A968" s="107">
        <v>20</v>
      </c>
      <c r="B968" s="107">
        <v>5</v>
      </c>
      <c r="C968" s="107">
        <v>2</v>
      </c>
      <c r="D968" s="107" t="s">
        <v>365</v>
      </c>
      <c r="E968" s="107" t="s">
        <v>366</v>
      </c>
      <c r="F968" s="161">
        <v>45353</v>
      </c>
      <c r="G968" s="107">
        <f t="shared" si="34"/>
        <v>5</v>
      </c>
    </row>
    <row r="969" spans="1:7">
      <c r="A969" s="107">
        <v>20</v>
      </c>
      <c r="B969" s="107">
        <v>5</v>
      </c>
      <c r="C969" s="107">
        <v>3</v>
      </c>
      <c r="D969" s="107" t="s">
        <v>365</v>
      </c>
      <c r="E969" s="107" t="s">
        <v>366</v>
      </c>
      <c r="F969" s="161">
        <v>45353</v>
      </c>
      <c r="G969" s="107">
        <f t="shared" si="34"/>
        <v>5</v>
      </c>
    </row>
    <row r="970" spans="1:7">
      <c r="A970" s="107">
        <v>20</v>
      </c>
      <c r="B970" s="107">
        <v>5</v>
      </c>
      <c r="C970" s="107">
        <v>4</v>
      </c>
      <c r="D970" s="107" t="s">
        <v>365</v>
      </c>
      <c r="E970" s="107" t="s">
        <v>366</v>
      </c>
      <c r="F970" s="161">
        <v>45352</v>
      </c>
      <c r="G970" s="107">
        <f t="shared" si="34"/>
        <v>4</v>
      </c>
    </row>
    <row r="971" spans="1:7">
      <c r="A971" s="107">
        <v>20</v>
      </c>
      <c r="B971" s="107">
        <v>5</v>
      </c>
      <c r="C971" s="107">
        <v>5</v>
      </c>
      <c r="D971" s="107" t="s">
        <v>365</v>
      </c>
      <c r="E971" s="107" t="s">
        <v>366</v>
      </c>
      <c r="F971" s="161">
        <v>45353</v>
      </c>
      <c r="G971" s="107">
        <f t="shared" si="34"/>
        <v>5</v>
      </c>
    </row>
    <row r="972" spans="1:7">
      <c r="A972" s="107">
        <v>20</v>
      </c>
      <c r="B972" s="107">
        <v>5</v>
      </c>
      <c r="C972" s="107">
        <v>6</v>
      </c>
      <c r="D972" s="107" t="s">
        <v>365</v>
      </c>
      <c r="E972" s="107" t="s">
        <v>366</v>
      </c>
      <c r="F972" s="161">
        <v>45353</v>
      </c>
      <c r="G972" s="107">
        <f t="shared" si="34"/>
        <v>5</v>
      </c>
    </row>
    <row r="973" spans="1:7">
      <c r="A973" s="107">
        <v>20</v>
      </c>
      <c r="B973" s="107">
        <v>5</v>
      </c>
      <c r="C973" s="107">
        <v>7</v>
      </c>
      <c r="D973" s="107" t="s">
        <v>365</v>
      </c>
      <c r="E973" s="107" t="s">
        <v>366</v>
      </c>
      <c r="F973" s="161">
        <v>45352</v>
      </c>
      <c r="G973" s="107">
        <f t="shared" si="34"/>
        <v>4</v>
      </c>
    </row>
    <row r="974" spans="1:7">
      <c r="A974" s="107">
        <v>20</v>
      </c>
      <c r="B974" s="107">
        <v>5</v>
      </c>
      <c r="C974" s="107">
        <v>8</v>
      </c>
      <c r="D974" s="107" t="s">
        <v>365</v>
      </c>
      <c r="E974" s="107" t="s">
        <v>366</v>
      </c>
      <c r="F974" s="161">
        <v>45353</v>
      </c>
      <c r="G974" s="107">
        <f t="shared" si="34"/>
        <v>5</v>
      </c>
    </row>
    <row r="975" spans="1:7">
      <c r="A975" s="107">
        <v>20</v>
      </c>
      <c r="B975" s="107">
        <v>6</v>
      </c>
      <c r="C975" s="107">
        <v>1</v>
      </c>
      <c r="D975" s="107" t="s">
        <v>367</v>
      </c>
      <c r="E975" s="107" t="s">
        <v>368</v>
      </c>
      <c r="F975" s="161">
        <v>45353</v>
      </c>
      <c r="G975" s="107">
        <f t="shared" si="34"/>
        <v>5</v>
      </c>
    </row>
    <row r="976" spans="1:7">
      <c r="A976" s="107">
        <v>20</v>
      </c>
      <c r="B976" s="107">
        <v>6</v>
      </c>
      <c r="C976" s="107">
        <v>2</v>
      </c>
      <c r="D976" s="107" t="s">
        <v>367</v>
      </c>
      <c r="E976" s="107" t="s">
        <v>368</v>
      </c>
      <c r="F976" s="161">
        <v>45352</v>
      </c>
      <c r="G976" s="107">
        <f t="shared" si="34"/>
        <v>4</v>
      </c>
    </row>
    <row r="977" spans="1:7">
      <c r="A977" s="107">
        <v>20</v>
      </c>
      <c r="B977" s="107">
        <v>6</v>
      </c>
      <c r="C977" s="107">
        <v>3</v>
      </c>
      <c r="D977" s="107" t="s">
        <v>367</v>
      </c>
      <c r="E977" s="107" t="s">
        <v>368</v>
      </c>
      <c r="F977" s="161">
        <v>45353</v>
      </c>
      <c r="G977" s="107">
        <f t="shared" si="34"/>
        <v>5</v>
      </c>
    </row>
    <row r="978" spans="1:7">
      <c r="A978" s="107">
        <v>20</v>
      </c>
      <c r="B978" s="107">
        <v>6</v>
      </c>
      <c r="C978" s="107">
        <v>4</v>
      </c>
      <c r="D978" s="107" t="s">
        <v>367</v>
      </c>
      <c r="E978" s="107" t="s">
        <v>368</v>
      </c>
      <c r="F978" s="161">
        <v>45353</v>
      </c>
      <c r="G978" s="107">
        <f t="shared" si="34"/>
        <v>5</v>
      </c>
    </row>
    <row r="979" spans="1:7">
      <c r="A979" s="107">
        <v>20</v>
      </c>
      <c r="B979" s="107">
        <v>6</v>
      </c>
      <c r="C979" s="107">
        <v>5</v>
      </c>
      <c r="D979" s="107" t="s">
        <v>367</v>
      </c>
      <c r="E979" s="107" t="s">
        <v>368</v>
      </c>
      <c r="F979" s="161">
        <v>45353</v>
      </c>
      <c r="G979" s="107">
        <f t="shared" si="34"/>
        <v>5</v>
      </c>
    </row>
    <row r="980" spans="1:7">
      <c r="A980" s="107">
        <v>20</v>
      </c>
      <c r="B980" s="107">
        <v>6</v>
      </c>
      <c r="C980" s="107">
        <v>6</v>
      </c>
      <c r="D980" s="107" t="s">
        <v>367</v>
      </c>
      <c r="E980" s="107" t="s">
        <v>368</v>
      </c>
      <c r="F980" s="161">
        <v>45353</v>
      </c>
      <c r="G980" s="107">
        <f t="shared" si="34"/>
        <v>5</v>
      </c>
    </row>
    <row r="981" spans="1:7">
      <c r="A981" s="107">
        <v>20</v>
      </c>
      <c r="B981" s="107">
        <v>6</v>
      </c>
      <c r="C981" s="107">
        <v>7</v>
      </c>
      <c r="D981" s="107" t="s">
        <v>367</v>
      </c>
      <c r="E981" s="107" t="s">
        <v>368</v>
      </c>
      <c r="F981" s="161">
        <v>45353</v>
      </c>
      <c r="G981" s="107">
        <f t="shared" si="34"/>
        <v>5</v>
      </c>
    </row>
    <row r="982" spans="1:7">
      <c r="A982" s="107">
        <v>20</v>
      </c>
      <c r="B982" s="107">
        <v>6</v>
      </c>
      <c r="C982" s="107">
        <v>8</v>
      </c>
      <c r="D982" s="107" t="s">
        <v>367</v>
      </c>
      <c r="E982" s="107" t="s">
        <v>368</v>
      </c>
      <c r="F982" s="161">
        <v>45353</v>
      </c>
      <c r="G982" s="107">
        <f t="shared" si="34"/>
        <v>5</v>
      </c>
    </row>
    <row r="984" spans="1:7">
      <c r="A984" s="107">
        <v>21</v>
      </c>
      <c r="B984" s="107">
        <v>1</v>
      </c>
      <c r="C984" s="107">
        <v>1</v>
      </c>
      <c r="D984" s="107" t="s">
        <v>369</v>
      </c>
      <c r="E984" s="107" t="s">
        <v>370</v>
      </c>
      <c r="F984" s="161">
        <v>45353</v>
      </c>
      <c r="G984" s="107">
        <f t="shared" ref="G984:G1009" si="35">DATEDIF(G$2,F984,"d")</f>
        <v>5</v>
      </c>
    </row>
    <row r="985" spans="1:7">
      <c r="A985" s="107">
        <v>21</v>
      </c>
      <c r="B985" s="107">
        <v>1</v>
      </c>
      <c r="C985" s="107">
        <v>2</v>
      </c>
      <c r="D985" s="107" t="s">
        <v>369</v>
      </c>
      <c r="E985" s="107" t="s">
        <v>370</v>
      </c>
      <c r="F985" s="161">
        <v>45353</v>
      </c>
      <c r="G985" s="107">
        <f t="shared" si="35"/>
        <v>5</v>
      </c>
    </row>
    <row r="986" spans="1:7">
      <c r="A986" s="107">
        <v>21</v>
      </c>
      <c r="B986" s="107">
        <v>1</v>
      </c>
      <c r="C986" s="107">
        <v>3</v>
      </c>
      <c r="D986" s="107" t="s">
        <v>369</v>
      </c>
      <c r="E986" s="107" t="s">
        <v>370</v>
      </c>
      <c r="F986" s="161">
        <v>45353</v>
      </c>
      <c r="G986" s="107">
        <f t="shared" si="35"/>
        <v>5</v>
      </c>
    </row>
    <row r="987" spans="1:7">
      <c r="A987" s="107">
        <v>21</v>
      </c>
      <c r="B987" s="107">
        <v>1</v>
      </c>
      <c r="C987" s="107">
        <v>4</v>
      </c>
      <c r="D987" s="107" t="s">
        <v>369</v>
      </c>
      <c r="E987" s="107" t="s">
        <v>370</v>
      </c>
      <c r="F987" s="161">
        <v>45353</v>
      </c>
      <c r="G987" s="107">
        <f t="shared" si="35"/>
        <v>5</v>
      </c>
    </row>
    <row r="988" spans="1:7">
      <c r="A988" s="107">
        <v>21</v>
      </c>
      <c r="B988" s="107">
        <v>1</v>
      </c>
      <c r="C988" s="107">
        <v>5</v>
      </c>
      <c r="D988" s="107" t="s">
        <v>369</v>
      </c>
      <c r="E988" s="107" t="s">
        <v>370</v>
      </c>
      <c r="F988" s="161">
        <v>45353</v>
      </c>
      <c r="G988" s="107">
        <f t="shared" si="35"/>
        <v>5</v>
      </c>
    </row>
    <row r="989" spans="1:7">
      <c r="A989" s="107">
        <v>21</v>
      </c>
      <c r="B989" s="107">
        <v>1</v>
      </c>
      <c r="C989" s="107">
        <v>6</v>
      </c>
      <c r="D989" s="107" t="s">
        <v>369</v>
      </c>
      <c r="E989" s="107" t="s">
        <v>370</v>
      </c>
      <c r="F989" s="161">
        <v>45353</v>
      </c>
      <c r="G989" s="107">
        <f t="shared" si="35"/>
        <v>5</v>
      </c>
    </row>
    <row r="990" spans="1:7">
      <c r="A990" s="107">
        <v>21</v>
      </c>
      <c r="B990" s="107">
        <v>1</v>
      </c>
      <c r="C990" s="107">
        <v>7</v>
      </c>
      <c r="D990" s="107" t="s">
        <v>369</v>
      </c>
      <c r="E990" s="107" t="s">
        <v>370</v>
      </c>
      <c r="F990" s="161">
        <v>45353</v>
      </c>
      <c r="G990" s="107">
        <f t="shared" si="35"/>
        <v>5</v>
      </c>
    </row>
    <row r="991" spans="1:7">
      <c r="A991" s="107">
        <v>21</v>
      </c>
      <c r="B991" s="107">
        <v>1</v>
      </c>
      <c r="C991" s="107">
        <v>8</v>
      </c>
      <c r="D991" s="107" t="s">
        <v>369</v>
      </c>
      <c r="E991" s="107" t="s">
        <v>370</v>
      </c>
      <c r="F991" s="161">
        <v>45353</v>
      </c>
      <c r="G991" s="107">
        <f t="shared" si="35"/>
        <v>5</v>
      </c>
    </row>
    <row r="992" spans="1:7">
      <c r="A992" s="107">
        <v>21</v>
      </c>
      <c r="B992" s="107">
        <v>2</v>
      </c>
      <c r="C992" s="107">
        <v>1</v>
      </c>
      <c r="D992" s="107" t="s">
        <v>371</v>
      </c>
      <c r="E992" s="107" t="s">
        <v>372</v>
      </c>
      <c r="F992" s="161">
        <v>45353</v>
      </c>
      <c r="G992" s="107">
        <f t="shared" si="35"/>
        <v>5</v>
      </c>
    </row>
    <row r="993" spans="1:7">
      <c r="A993" s="107">
        <v>21</v>
      </c>
      <c r="B993" s="107">
        <v>2</v>
      </c>
      <c r="C993" s="107">
        <v>2</v>
      </c>
      <c r="D993" s="107" t="s">
        <v>371</v>
      </c>
      <c r="E993" s="107" t="s">
        <v>372</v>
      </c>
      <c r="F993" s="161">
        <v>45353</v>
      </c>
      <c r="G993" s="107">
        <f t="shared" si="35"/>
        <v>5</v>
      </c>
    </row>
    <row r="994" spans="1:7">
      <c r="A994" s="107">
        <v>21</v>
      </c>
      <c r="B994" s="107">
        <v>2</v>
      </c>
      <c r="C994" s="107">
        <v>3</v>
      </c>
      <c r="D994" s="107" t="s">
        <v>371</v>
      </c>
      <c r="E994" s="107" t="s">
        <v>372</v>
      </c>
      <c r="F994" s="161">
        <v>45354</v>
      </c>
      <c r="G994" s="107">
        <f t="shared" si="35"/>
        <v>6</v>
      </c>
    </row>
    <row r="995" spans="1:7">
      <c r="A995" s="107">
        <v>21</v>
      </c>
      <c r="B995" s="107">
        <v>2</v>
      </c>
      <c r="C995" s="107">
        <v>4</v>
      </c>
      <c r="D995" s="107" t="s">
        <v>371</v>
      </c>
      <c r="E995" s="107" t="s">
        <v>372</v>
      </c>
      <c r="F995" s="161">
        <v>45353</v>
      </c>
      <c r="G995" s="107">
        <f t="shared" si="35"/>
        <v>5</v>
      </c>
    </row>
    <row r="996" spans="1:7">
      <c r="A996" s="107">
        <v>21</v>
      </c>
      <c r="B996" s="107">
        <v>2</v>
      </c>
      <c r="C996" s="107">
        <v>5</v>
      </c>
      <c r="D996" s="107" t="s">
        <v>371</v>
      </c>
      <c r="E996" s="107" t="s">
        <v>372</v>
      </c>
      <c r="F996" s="161">
        <v>45352</v>
      </c>
      <c r="G996" s="107">
        <f t="shared" si="35"/>
        <v>4</v>
      </c>
    </row>
    <row r="997" spans="1:7">
      <c r="A997" s="107">
        <v>21</v>
      </c>
      <c r="B997" s="107">
        <v>2</v>
      </c>
      <c r="C997" s="107">
        <v>6</v>
      </c>
      <c r="D997" s="107" t="s">
        <v>371</v>
      </c>
      <c r="E997" s="107" t="s">
        <v>372</v>
      </c>
      <c r="F997" s="161">
        <v>45353</v>
      </c>
      <c r="G997" s="107">
        <f t="shared" si="35"/>
        <v>5</v>
      </c>
    </row>
    <row r="998" spans="1:7">
      <c r="A998" s="107">
        <v>21</v>
      </c>
      <c r="B998" s="107">
        <v>2</v>
      </c>
      <c r="C998" s="107">
        <v>7</v>
      </c>
      <c r="D998" s="107" t="s">
        <v>371</v>
      </c>
      <c r="E998" s="107" t="s">
        <v>372</v>
      </c>
      <c r="F998" s="161">
        <v>45353</v>
      </c>
      <c r="G998" s="107">
        <f t="shared" si="35"/>
        <v>5</v>
      </c>
    </row>
    <row r="999" spans="1:7">
      <c r="A999" s="107">
        <v>21</v>
      </c>
      <c r="B999" s="107">
        <v>2</v>
      </c>
      <c r="C999" s="107">
        <v>8</v>
      </c>
      <c r="D999" s="107" t="s">
        <v>371</v>
      </c>
      <c r="E999" s="107" t="s">
        <v>372</v>
      </c>
      <c r="F999" s="161">
        <v>45353</v>
      </c>
      <c r="G999" s="107">
        <f t="shared" si="35"/>
        <v>5</v>
      </c>
    </row>
    <row r="1000" spans="1:7">
      <c r="A1000" s="107">
        <v>21</v>
      </c>
      <c r="B1000" s="107">
        <v>3</v>
      </c>
      <c r="C1000" s="107">
        <v>1</v>
      </c>
      <c r="D1000" s="107" t="s">
        <v>373</v>
      </c>
      <c r="E1000" s="107" t="s">
        <v>374</v>
      </c>
      <c r="F1000" s="161">
        <v>45353</v>
      </c>
      <c r="G1000" s="107">
        <f t="shared" si="35"/>
        <v>5</v>
      </c>
    </row>
    <row r="1001" spans="1:7">
      <c r="A1001" s="107">
        <v>21</v>
      </c>
      <c r="B1001" s="107">
        <v>3</v>
      </c>
      <c r="C1001" s="107">
        <v>2</v>
      </c>
      <c r="D1001" s="107" t="s">
        <v>373</v>
      </c>
      <c r="E1001" s="107" t="s">
        <v>374</v>
      </c>
      <c r="F1001" s="161">
        <v>45353</v>
      </c>
      <c r="G1001" s="107">
        <f t="shared" si="35"/>
        <v>5</v>
      </c>
    </row>
    <row r="1002" spans="1:7">
      <c r="A1002" s="107">
        <v>21</v>
      </c>
      <c r="B1002" s="107">
        <v>3</v>
      </c>
      <c r="C1002" s="107">
        <v>3</v>
      </c>
      <c r="D1002" s="107" t="s">
        <v>373</v>
      </c>
      <c r="E1002" s="107" t="s">
        <v>374</v>
      </c>
      <c r="F1002" s="161">
        <v>45353</v>
      </c>
      <c r="G1002" s="107">
        <f t="shared" si="35"/>
        <v>5</v>
      </c>
    </row>
    <row r="1003" spans="1:7">
      <c r="A1003" s="107">
        <v>21</v>
      </c>
      <c r="B1003" s="107">
        <v>3</v>
      </c>
      <c r="C1003" s="107">
        <v>4</v>
      </c>
      <c r="D1003" s="107" t="s">
        <v>373</v>
      </c>
      <c r="E1003" s="107" t="s">
        <v>374</v>
      </c>
      <c r="F1003" s="161">
        <v>45353</v>
      </c>
      <c r="G1003" s="107">
        <f t="shared" si="35"/>
        <v>5</v>
      </c>
    </row>
    <row r="1004" spans="1:7">
      <c r="A1004" s="107">
        <v>21</v>
      </c>
      <c r="B1004" s="107">
        <v>3</v>
      </c>
      <c r="C1004" s="107">
        <v>5</v>
      </c>
      <c r="D1004" s="107" t="s">
        <v>373</v>
      </c>
      <c r="E1004" s="107" t="s">
        <v>374</v>
      </c>
      <c r="F1004" s="161">
        <v>45353</v>
      </c>
      <c r="G1004" s="107">
        <f t="shared" si="35"/>
        <v>5</v>
      </c>
    </row>
    <row r="1005" spans="1:7">
      <c r="A1005" s="107">
        <v>21</v>
      </c>
      <c r="B1005" s="107">
        <v>3</v>
      </c>
      <c r="C1005" s="107">
        <v>6</v>
      </c>
      <c r="D1005" s="107" t="s">
        <v>373</v>
      </c>
      <c r="E1005" s="107" t="s">
        <v>374</v>
      </c>
      <c r="F1005" s="161">
        <v>45353</v>
      </c>
      <c r="G1005" s="107">
        <f t="shared" si="35"/>
        <v>5</v>
      </c>
    </row>
    <row r="1006" spans="1:7">
      <c r="A1006" s="107">
        <v>21</v>
      </c>
      <c r="B1006" s="107">
        <v>3</v>
      </c>
      <c r="C1006" s="107">
        <v>7</v>
      </c>
      <c r="D1006" s="107" t="s">
        <v>373</v>
      </c>
      <c r="E1006" s="107" t="s">
        <v>374</v>
      </c>
      <c r="F1006" s="161">
        <v>45353</v>
      </c>
      <c r="G1006" s="107">
        <f t="shared" si="35"/>
        <v>5</v>
      </c>
    </row>
    <row r="1007" spans="1:7">
      <c r="A1007" s="107">
        <v>21</v>
      </c>
      <c r="B1007" s="107">
        <v>3</v>
      </c>
      <c r="C1007" s="107">
        <v>8</v>
      </c>
      <c r="D1007" s="107" t="s">
        <v>373</v>
      </c>
      <c r="E1007" s="107" t="s">
        <v>374</v>
      </c>
      <c r="F1007" s="161">
        <v>45353</v>
      </c>
      <c r="G1007" s="107">
        <f t="shared" si="35"/>
        <v>5</v>
      </c>
    </row>
    <row r="1008" spans="1:7">
      <c r="A1008" s="107">
        <v>21</v>
      </c>
      <c r="B1008" s="107">
        <v>4</v>
      </c>
      <c r="C1008" s="107">
        <v>1</v>
      </c>
      <c r="D1008" s="107" t="s">
        <v>375</v>
      </c>
      <c r="E1008" s="107" t="s">
        <v>376</v>
      </c>
      <c r="F1008" s="161">
        <v>45353</v>
      </c>
      <c r="G1008" s="107">
        <f t="shared" si="35"/>
        <v>5</v>
      </c>
    </row>
    <row r="1009" spans="1:7">
      <c r="A1009" s="107">
        <v>21</v>
      </c>
      <c r="B1009" s="107">
        <v>4</v>
      </c>
      <c r="C1009" s="107">
        <v>2</v>
      </c>
      <c r="D1009" s="107" t="s">
        <v>375</v>
      </c>
      <c r="E1009" s="107" t="s">
        <v>376</v>
      </c>
      <c r="F1009" s="161">
        <v>45353</v>
      </c>
      <c r="G1009" s="107">
        <f t="shared" si="35"/>
        <v>5</v>
      </c>
    </row>
    <row r="1010" spans="1:7">
      <c r="A1010" s="107">
        <v>21</v>
      </c>
      <c r="B1010" s="107">
        <v>4</v>
      </c>
      <c r="C1010" s="107">
        <v>3</v>
      </c>
      <c r="D1010" s="107" t="s">
        <v>375</v>
      </c>
      <c r="E1010" s="107" t="s">
        <v>376</v>
      </c>
      <c r="F1010" s="107"/>
      <c r="G1010" s="107"/>
    </row>
    <row r="1011" spans="1:7">
      <c r="A1011" s="107">
        <v>21</v>
      </c>
      <c r="B1011" s="107">
        <v>4</v>
      </c>
      <c r="C1011" s="107">
        <v>4</v>
      </c>
      <c r="D1011" s="107" t="s">
        <v>375</v>
      </c>
      <c r="E1011" s="107" t="s">
        <v>376</v>
      </c>
      <c r="F1011" s="161">
        <v>45353</v>
      </c>
      <c r="G1011" s="107">
        <f t="shared" ref="G1011:G1031" si="36">DATEDIF(G$2,F1011,"d")</f>
        <v>5</v>
      </c>
    </row>
    <row r="1012" spans="1:7">
      <c r="A1012" s="107">
        <v>21</v>
      </c>
      <c r="B1012" s="107">
        <v>4</v>
      </c>
      <c r="C1012" s="107">
        <v>5</v>
      </c>
      <c r="D1012" s="107" t="s">
        <v>375</v>
      </c>
      <c r="E1012" s="107" t="s">
        <v>376</v>
      </c>
      <c r="F1012" s="161">
        <v>45353</v>
      </c>
      <c r="G1012" s="107">
        <f t="shared" si="36"/>
        <v>5</v>
      </c>
    </row>
    <row r="1013" spans="1:7">
      <c r="A1013" s="107">
        <v>21</v>
      </c>
      <c r="B1013" s="107">
        <v>4</v>
      </c>
      <c r="C1013" s="107">
        <v>6</v>
      </c>
      <c r="D1013" s="107" t="s">
        <v>375</v>
      </c>
      <c r="E1013" s="107" t="s">
        <v>376</v>
      </c>
      <c r="F1013" s="161">
        <v>45353</v>
      </c>
      <c r="G1013" s="107">
        <f t="shared" si="36"/>
        <v>5</v>
      </c>
    </row>
    <row r="1014" spans="1:7">
      <c r="A1014" s="107">
        <v>21</v>
      </c>
      <c r="B1014" s="107">
        <v>4</v>
      </c>
      <c r="C1014" s="107">
        <v>7</v>
      </c>
      <c r="D1014" s="107" t="s">
        <v>375</v>
      </c>
      <c r="E1014" s="107" t="s">
        <v>376</v>
      </c>
      <c r="F1014" s="161">
        <v>45353</v>
      </c>
      <c r="G1014" s="107">
        <f t="shared" si="36"/>
        <v>5</v>
      </c>
    </row>
    <row r="1015" spans="1:7">
      <c r="A1015" s="107">
        <v>21</v>
      </c>
      <c r="B1015" s="107">
        <v>4</v>
      </c>
      <c r="C1015" s="107">
        <v>8</v>
      </c>
      <c r="D1015" s="107" t="s">
        <v>375</v>
      </c>
      <c r="E1015" s="107" t="s">
        <v>376</v>
      </c>
      <c r="F1015" s="161">
        <v>45353</v>
      </c>
      <c r="G1015" s="107">
        <f t="shared" si="36"/>
        <v>5</v>
      </c>
    </row>
    <row r="1016" spans="1:7">
      <c r="A1016" s="107">
        <v>21</v>
      </c>
      <c r="B1016" s="107">
        <v>5</v>
      </c>
      <c r="C1016" s="107">
        <v>1</v>
      </c>
      <c r="D1016" s="107" t="s">
        <v>377</v>
      </c>
      <c r="E1016" s="107" t="s">
        <v>378</v>
      </c>
      <c r="F1016" s="161">
        <v>45354</v>
      </c>
      <c r="G1016" s="107">
        <f t="shared" si="36"/>
        <v>6</v>
      </c>
    </row>
    <row r="1017" spans="1:7">
      <c r="A1017" s="107">
        <v>21</v>
      </c>
      <c r="B1017" s="107">
        <v>5</v>
      </c>
      <c r="C1017" s="107">
        <v>2</v>
      </c>
      <c r="D1017" s="107" t="s">
        <v>377</v>
      </c>
      <c r="E1017" s="107" t="s">
        <v>378</v>
      </c>
      <c r="F1017" s="161">
        <v>45353</v>
      </c>
      <c r="G1017" s="107">
        <f t="shared" si="36"/>
        <v>5</v>
      </c>
    </row>
    <row r="1018" spans="1:7">
      <c r="A1018" s="107">
        <v>21</v>
      </c>
      <c r="B1018" s="107">
        <v>5</v>
      </c>
      <c r="C1018" s="107">
        <v>3</v>
      </c>
      <c r="D1018" s="107" t="s">
        <v>377</v>
      </c>
      <c r="E1018" s="107" t="s">
        <v>378</v>
      </c>
      <c r="F1018" s="161">
        <v>45353</v>
      </c>
      <c r="G1018" s="107">
        <f t="shared" si="36"/>
        <v>5</v>
      </c>
    </row>
    <row r="1019" spans="1:7">
      <c r="A1019" s="107">
        <v>21</v>
      </c>
      <c r="B1019" s="107">
        <v>5</v>
      </c>
      <c r="C1019" s="107">
        <v>4</v>
      </c>
      <c r="D1019" s="107" t="s">
        <v>377</v>
      </c>
      <c r="E1019" s="107" t="s">
        <v>378</v>
      </c>
      <c r="F1019" s="161">
        <v>45353</v>
      </c>
      <c r="G1019" s="107">
        <f t="shared" si="36"/>
        <v>5</v>
      </c>
    </row>
    <row r="1020" spans="1:7">
      <c r="A1020" s="107">
        <v>21</v>
      </c>
      <c r="B1020" s="107">
        <v>5</v>
      </c>
      <c r="C1020" s="107">
        <v>5</v>
      </c>
      <c r="D1020" s="107" t="s">
        <v>377</v>
      </c>
      <c r="E1020" s="107" t="s">
        <v>378</v>
      </c>
      <c r="F1020" s="161">
        <v>45353</v>
      </c>
      <c r="G1020" s="107">
        <f t="shared" si="36"/>
        <v>5</v>
      </c>
    </row>
    <row r="1021" spans="1:7">
      <c r="A1021" s="107">
        <v>21</v>
      </c>
      <c r="B1021" s="107">
        <v>5</v>
      </c>
      <c r="C1021" s="107">
        <v>6</v>
      </c>
      <c r="D1021" s="107" t="s">
        <v>377</v>
      </c>
      <c r="E1021" s="107" t="s">
        <v>378</v>
      </c>
      <c r="F1021" s="161">
        <v>45353</v>
      </c>
      <c r="G1021" s="107">
        <f t="shared" si="36"/>
        <v>5</v>
      </c>
    </row>
    <row r="1022" spans="1:7">
      <c r="A1022" s="107">
        <v>21</v>
      </c>
      <c r="B1022" s="107">
        <v>5</v>
      </c>
      <c r="C1022" s="107">
        <v>7</v>
      </c>
      <c r="D1022" s="107" t="s">
        <v>377</v>
      </c>
      <c r="E1022" s="107" t="s">
        <v>378</v>
      </c>
      <c r="F1022" s="161">
        <v>45353</v>
      </c>
      <c r="G1022" s="107">
        <f t="shared" si="36"/>
        <v>5</v>
      </c>
    </row>
    <row r="1023" spans="1:7">
      <c r="A1023" s="107">
        <v>21</v>
      </c>
      <c r="B1023" s="107">
        <v>5</v>
      </c>
      <c r="C1023" s="107">
        <v>8</v>
      </c>
      <c r="D1023" s="107" t="s">
        <v>377</v>
      </c>
      <c r="E1023" s="107" t="s">
        <v>378</v>
      </c>
      <c r="F1023" s="161">
        <v>45354</v>
      </c>
      <c r="G1023" s="107">
        <f t="shared" si="36"/>
        <v>6</v>
      </c>
    </row>
    <row r="1024" spans="1:7">
      <c r="A1024" s="107">
        <v>21</v>
      </c>
      <c r="B1024" s="107">
        <v>6</v>
      </c>
      <c r="C1024" s="107">
        <v>1</v>
      </c>
      <c r="D1024" s="107" t="s">
        <v>379</v>
      </c>
      <c r="E1024" s="107" t="s">
        <v>380</v>
      </c>
      <c r="F1024" s="161">
        <v>45353</v>
      </c>
      <c r="G1024" s="107">
        <f t="shared" si="36"/>
        <v>5</v>
      </c>
    </row>
    <row r="1025" spans="1:7">
      <c r="A1025" s="107">
        <v>21</v>
      </c>
      <c r="B1025" s="107">
        <v>6</v>
      </c>
      <c r="C1025" s="107">
        <v>2</v>
      </c>
      <c r="D1025" s="107" t="s">
        <v>379</v>
      </c>
      <c r="E1025" s="107" t="s">
        <v>380</v>
      </c>
      <c r="F1025" s="161">
        <v>45353</v>
      </c>
      <c r="G1025" s="107">
        <f t="shared" si="36"/>
        <v>5</v>
      </c>
    </row>
    <row r="1026" spans="1:7">
      <c r="A1026" s="107">
        <v>21</v>
      </c>
      <c r="B1026" s="107">
        <v>6</v>
      </c>
      <c r="C1026" s="107">
        <v>3</v>
      </c>
      <c r="D1026" s="107" t="s">
        <v>379</v>
      </c>
      <c r="E1026" s="107" t="s">
        <v>380</v>
      </c>
      <c r="F1026" s="161">
        <v>45353</v>
      </c>
      <c r="G1026" s="107">
        <f t="shared" si="36"/>
        <v>5</v>
      </c>
    </row>
    <row r="1027" spans="1:7">
      <c r="A1027" s="107">
        <v>21</v>
      </c>
      <c r="B1027" s="107">
        <v>6</v>
      </c>
      <c r="C1027" s="107">
        <v>4</v>
      </c>
      <c r="D1027" s="107" t="s">
        <v>379</v>
      </c>
      <c r="E1027" s="107" t="s">
        <v>380</v>
      </c>
      <c r="F1027" s="161">
        <v>45353</v>
      </c>
      <c r="G1027" s="107">
        <f t="shared" si="36"/>
        <v>5</v>
      </c>
    </row>
    <row r="1028" spans="1:7">
      <c r="A1028" s="107">
        <v>21</v>
      </c>
      <c r="B1028" s="107">
        <v>6</v>
      </c>
      <c r="C1028" s="107">
        <v>5</v>
      </c>
      <c r="D1028" s="107" t="s">
        <v>379</v>
      </c>
      <c r="E1028" s="107" t="s">
        <v>380</v>
      </c>
      <c r="F1028" s="161">
        <v>45353</v>
      </c>
      <c r="G1028" s="107">
        <f t="shared" si="36"/>
        <v>5</v>
      </c>
    </row>
    <row r="1029" spans="1:7">
      <c r="A1029" s="107">
        <v>21</v>
      </c>
      <c r="B1029" s="107">
        <v>6</v>
      </c>
      <c r="C1029" s="107">
        <v>6</v>
      </c>
      <c r="D1029" s="107" t="s">
        <v>379</v>
      </c>
      <c r="E1029" s="107" t="s">
        <v>380</v>
      </c>
      <c r="F1029" s="161">
        <v>45353</v>
      </c>
      <c r="G1029" s="107">
        <f t="shared" si="36"/>
        <v>5</v>
      </c>
    </row>
    <row r="1030" spans="1:7">
      <c r="A1030" s="107">
        <v>21</v>
      </c>
      <c r="B1030" s="107">
        <v>6</v>
      </c>
      <c r="C1030" s="107">
        <v>7</v>
      </c>
      <c r="D1030" s="107" t="s">
        <v>379</v>
      </c>
      <c r="E1030" s="107" t="s">
        <v>380</v>
      </c>
      <c r="F1030" s="161">
        <v>45353</v>
      </c>
      <c r="G1030" s="107">
        <f t="shared" si="36"/>
        <v>5</v>
      </c>
    </row>
    <row r="1031" spans="1:7">
      <c r="A1031" s="107">
        <v>21</v>
      </c>
      <c r="B1031" s="107">
        <v>6</v>
      </c>
      <c r="C1031" s="107">
        <v>8</v>
      </c>
      <c r="D1031" s="107" t="s">
        <v>379</v>
      </c>
      <c r="E1031" s="107" t="s">
        <v>380</v>
      </c>
      <c r="F1031" s="161">
        <v>45353</v>
      </c>
      <c r="G1031" s="107">
        <f t="shared" si="36"/>
        <v>5</v>
      </c>
    </row>
    <row r="1033" spans="1:7">
      <c r="A1033" s="107">
        <v>22</v>
      </c>
      <c r="B1033" s="107">
        <v>1</v>
      </c>
      <c r="C1033" s="107">
        <v>1</v>
      </c>
      <c r="D1033" s="107" t="s">
        <v>381</v>
      </c>
      <c r="E1033" s="107" t="s">
        <v>382</v>
      </c>
      <c r="F1033" s="161">
        <v>45353</v>
      </c>
      <c r="G1033" s="107">
        <f t="shared" ref="G1033:G1046" si="37">DATEDIF(G$2,F1033,"d")</f>
        <v>5</v>
      </c>
    </row>
    <row r="1034" spans="1:7">
      <c r="A1034" s="107">
        <v>22</v>
      </c>
      <c r="B1034" s="107">
        <v>1</v>
      </c>
      <c r="C1034" s="107">
        <v>2</v>
      </c>
      <c r="D1034" s="107" t="s">
        <v>381</v>
      </c>
      <c r="E1034" s="107" t="s">
        <v>382</v>
      </c>
      <c r="F1034" s="161">
        <v>45353</v>
      </c>
      <c r="G1034" s="107">
        <f t="shared" si="37"/>
        <v>5</v>
      </c>
    </row>
    <row r="1035" spans="1:7">
      <c r="A1035" s="107">
        <v>22</v>
      </c>
      <c r="B1035" s="107">
        <v>1</v>
      </c>
      <c r="C1035" s="107">
        <v>3</v>
      </c>
      <c r="D1035" s="107" t="s">
        <v>381</v>
      </c>
      <c r="E1035" s="107" t="s">
        <v>382</v>
      </c>
      <c r="F1035" s="161">
        <v>45353</v>
      </c>
      <c r="G1035" s="107">
        <f t="shared" si="37"/>
        <v>5</v>
      </c>
    </row>
    <row r="1036" spans="1:7">
      <c r="A1036" s="107">
        <v>22</v>
      </c>
      <c r="B1036" s="107">
        <v>1</v>
      </c>
      <c r="C1036" s="107">
        <v>4</v>
      </c>
      <c r="D1036" s="107" t="s">
        <v>381</v>
      </c>
      <c r="E1036" s="107" t="s">
        <v>382</v>
      </c>
      <c r="F1036" s="161">
        <v>45353</v>
      </c>
      <c r="G1036" s="107">
        <f t="shared" si="37"/>
        <v>5</v>
      </c>
    </row>
    <row r="1037" spans="1:7">
      <c r="A1037" s="107">
        <v>22</v>
      </c>
      <c r="B1037" s="107">
        <v>1</v>
      </c>
      <c r="C1037" s="107">
        <v>5</v>
      </c>
      <c r="D1037" s="107" t="s">
        <v>381</v>
      </c>
      <c r="E1037" s="107" t="s">
        <v>382</v>
      </c>
      <c r="F1037" s="161">
        <v>45353</v>
      </c>
      <c r="G1037" s="107">
        <f t="shared" si="37"/>
        <v>5</v>
      </c>
    </row>
    <row r="1038" spans="1:7">
      <c r="A1038" s="107">
        <v>22</v>
      </c>
      <c r="B1038" s="107">
        <v>1</v>
      </c>
      <c r="C1038" s="107">
        <v>6</v>
      </c>
      <c r="D1038" s="107" t="s">
        <v>381</v>
      </c>
      <c r="E1038" s="107" t="s">
        <v>382</v>
      </c>
      <c r="F1038" s="161">
        <v>45353</v>
      </c>
      <c r="G1038" s="107">
        <f t="shared" si="37"/>
        <v>5</v>
      </c>
    </row>
    <row r="1039" spans="1:7">
      <c r="A1039" s="107">
        <v>22</v>
      </c>
      <c r="B1039" s="107">
        <v>1</v>
      </c>
      <c r="C1039" s="107">
        <v>7</v>
      </c>
      <c r="D1039" s="107" t="s">
        <v>381</v>
      </c>
      <c r="E1039" s="107" t="s">
        <v>382</v>
      </c>
      <c r="F1039" s="161">
        <v>45353</v>
      </c>
      <c r="G1039" s="107">
        <f t="shared" si="37"/>
        <v>5</v>
      </c>
    </row>
    <row r="1040" spans="1:7">
      <c r="A1040" s="107">
        <v>22</v>
      </c>
      <c r="B1040" s="107">
        <v>1</v>
      </c>
      <c r="C1040" s="107">
        <v>8</v>
      </c>
      <c r="D1040" s="107" t="s">
        <v>381</v>
      </c>
      <c r="E1040" s="107" t="s">
        <v>382</v>
      </c>
      <c r="F1040" s="161">
        <v>45353</v>
      </c>
      <c r="G1040" s="107">
        <f t="shared" si="37"/>
        <v>5</v>
      </c>
    </row>
    <row r="1041" spans="1:7">
      <c r="A1041" s="107">
        <v>22</v>
      </c>
      <c r="B1041" s="107">
        <v>2</v>
      </c>
      <c r="C1041" s="107">
        <v>1</v>
      </c>
      <c r="D1041" s="107" t="s">
        <v>383</v>
      </c>
      <c r="E1041" s="107" t="s">
        <v>384</v>
      </c>
      <c r="F1041" s="161">
        <v>45353</v>
      </c>
      <c r="G1041" s="107">
        <f t="shared" si="37"/>
        <v>5</v>
      </c>
    </row>
    <row r="1042" spans="1:7">
      <c r="A1042" s="107">
        <v>22</v>
      </c>
      <c r="B1042" s="107">
        <v>2</v>
      </c>
      <c r="C1042" s="107">
        <v>2</v>
      </c>
      <c r="D1042" s="107" t="s">
        <v>383</v>
      </c>
      <c r="E1042" s="107" t="s">
        <v>384</v>
      </c>
      <c r="F1042" s="161">
        <v>45353</v>
      </c>
      <c r="G1042" s="107">
        <f t="shared" si="37"/>
        <v>5</v>
      </c>
    </row>
    <row r="1043" spans="1:7">
      <c r="A1043" s="107">
        <v>22</v>
      </c>
      <c r="B1043" s="107">
        <v>2</v>
      </c>
      <c r="C1043" s="107">
        <v>3</v>
      </c>
      <c r="D1043" s="107" t="s">
        <v>383</v>
      </c>
      <c r="E1043" s="107" t="s">
        <v>384</v>
      </c>
      <c r="F1043" s="161">
        <v>45354</v>
      </c>
      <c r="G1043" s="107">
        <f t="shared" si="37"/>
        <v>6</v>
      </c>
    </row>
    <row r="1044" spans="1:7">
      <c r="A1044" s="107">
        <v>22</v>
      </c>
      <c r="B1044" s="107">
        <v>2</v>
      </c>
      <c r="C1044" s="107">
        <v>4</v>
      </c>
      <c r="D1044" s="107" t="s">
        <v>383</v>
      </c>
      <c r="E1044" s="107" t="s">
        <v>384</v>
      </c>
      <c r="F1044" s="161">
        <v>45353</v>
      </c>
      <c r="G1044" s="107">
        <f t="shared" si="37"/>
        <v>5</v>
      </c>
    </row>
    <row r="1045" spans="1:7">
      <c r="A1045" s="107">
        <v>22</v>
      </c>
      <c r="B1045" s="107">
        <v>2</v>
      </c>
      <c r="C1045" s="107">
        <v>5</v>
      </c>
      <c r="D1045" s="107" t="s">
        <v>383</v>
      </c>
      <c r="E1045" s="107" t="s">
        <v>384</v>
      </c>
      <c r="F1045" s="161">
        <v>45353</v>
      </c>
      <c r="G1045" s="107">
        <f t="shared" si="37"/>
        <v>5</v>
      </c>
    </row>
    <row r="1046" spans="1:7">
      <c r="A1046" s="107">
        <v>22</v>
      </c>
      <c r="B1046" s="107">
        <v>2</v>
      </c>
      <c r="C1046" s="107">
        <v>6</v>
      </c>
      <c r="D1046" s="107" t="s">
        <v>383</v>
      </c>
      <c r="E1046" s="107" t="s">
        <v>384</v>
      </c>
      <c r="F1046" s="161">
        <v>45353</v>
      </c>
      <c r="G1046" s="107">
        <f t="shared" si="37"/>
        <v>5</v>
      </c>
    </row>
    <row r="1047" spans="1:7">
      <c r="A1047" s="107">
        <v>22</v>
      </c>
      <c r="B1047" s="107">
        <v>2</v>
      </c>
      <c r="C1047" s="107">
        <v>7</v>
      </c>
      <c r="D1047" s="107" t="s">
        <v>383</v>
      </c>
      <c r="E1047" s="107" t="s">
        <v>384</v>
      </c>
      <c r="F1047" s="107"/>
      <c r="G1047" s="107"/>
    </row>
    <row r="1048" spans="1:7">
      <c r="A1048" s="107">
        <v>22</v>
      </c>
      <c r="B1048" s="107">
        <v>2</v>
      </c>
      <c r="C1048" s="107">
        <v>8</v>
      </c>
      <c r="D1048" s="107" t="s">
        <v>383</v>
      </c>
      <c r="E1048" s="107" t="s">
        <v>384</v>
      </c>
      <c r="F1048" s="161">
        <v>45353</v>
      </c>
      <c r="G1048" s="107">
        <f t="shared" ref="G1048:G1080" si="38">DATEDIF(G$2,F1048,"d")</f>
        <v>5</v>
      </c>
    </row>
    <row r="1049" spans="1:7">
      <c r="A1049" s="107">
        <v>22</v>
      </c>
      <c r="B1049" s="107">
        <v>3</v>
      </c>
      <c r="C1049" s="107">
        <v>1</v>
      </c>
      <c r="D1049" s="107" t="s">
        <v>385</v>
      </c>
      <c r="E1049" s="107" t="s">
        <v>386</v>
      </c>
      <c r="F1049" s="161">
        <v>45353</v>
      </c>
      <c r="G1049" s="107">
        <f t="shared" si="38"/>
        <v>5</v>
      </c>
    </row>
    <row r="1050" spans="1:7">
      <c r="A1050" s="107">
        <v>22</v>
      </c>
      <c r="B1050" s="107">
        <v>3</v>
      </c>
      <c r="C1050" s="107">
        <v>2</v>
      </c>
      <c r="D1050" s="107" t="s">
        <v>385</v>
      </c>
      <c r="E1050" s="107" t="s">
        <v>386</v>
      </c>
      <c r="F1050" s="161">
        <v>45353</v>
      </c>
      <c r="G1050" s="107">
        <f t="shared" si="38"/>
        <v>5</v>
      </c>
    </row>
    <row r="1051" spans="1:7">
      <c r="A1051" s="107">
        <v>22</v>
      </c>
      <c r="B1051" s="107">
        <v>3</v>
      </c>
      <c r="C1051" s="107">
        <v>3</v>
      </c>
      <c r="D1051" s="107" t="s">
        <v>385</v>
      </c>
      <c r="E1051" s="107" t="s">
        <v>386</v>
      </c>
      <c r="F1051" s="161">
        <v>45353</v>
      </c>
      <c r="G1051" s="107">
        <f t="shared" si="38"/>
        <v>5</v>
      </c>
    </row>
    <row r="1052" spans="1:7">
      <c r="A1052" s="107">
        <v>22</v>
      </c>
      <c r="B1052" s="107">
        <v>3</v>
      </c>
      <c r="C1052" s="107">
        <v>4</v>
      </c>
      <c r="D1052" s="107" t="s">
        <v>385</v>
      </c>
      <c r="E1052" s="107" t="s">
        <v>386</v>
      </c>
      <c r="F1052" s="161">
        <v>45353</v>
      </c>
      <c r="G1052" s="107">
        <f t="shared" si="38"/>
        <v>5</v>
      </c>
    </row>
    <row r="1053" spans="1:7">
      <c r="A1053" s="107">
        <v>22</v>
      </c>
      <c r="B1053" s="107">
        <v>3</v>
      </c>
      <c r="C1053" s="107">
        <v>5</v>
      </c>
      <c r="D1053" s="107" t="s">
        <v>385</v>
      </c>
      <c r="E1053" s="107" t="s">
        <v>386</v>
      </c>
      <c r="F1053" s="161">
        <v>45353</v>
      </c>
      <c r="G1053" s="107">
        <f t="shared" si="38"/>
        <v>5</v>
      </c>
    </row>
    <row r="1054" spans="1:7">
      <c r="A1054" s="107">
        <v>22</v>
      </c>
      <c r="B1054" s="107">
        <v>3</v>
      </c>
      <c r="C1054" s="107">
        <v>6</v>
      </c>
      <c r="D1054" s="107" t="s">
        <v>385</v>
      </c>
      <c r="E1054" s="107" t="s">
        <v>386</v>
      </c>
      <c r="F1054" s="161">
        <v>45353</v>
      </c>
      <c r="G1054" s="107">
        <f t="shared" si="38"/>
        <v>5</v>
      </c>
    </row>
    <row r="1055" spans="1:7">
      <c r="A1055" s="107">
        <v>22</v>
      </c>
      <c r="B1055" s="107">
        <v>3</v>
      </c>
      <c r="C1055" s="107">
        <v>7</v>
      </c>
      <c r="D1055" s="107" t="s">
        <v>385</v>
      </c>
      <c r="E1055" s="107" t="s">
        <v>386</v>
      </c>
      <c r="F1055" s="161">
        <v>45353</v>
      </c>
      <c r="G1055" s="107">
        <f t="shared" si="38"/>
        <v>5</v>
      </c>
    </row>
    <row r="1056" spans="1:7">
      <c r="A1056" s="107">
        <v>22</v>
      </c>
      <c r="B1056" s="107">
        <v>3</v>
      </c>
      <c r="C1056" s="107">
        <v>8</v>
      </c>
      <c r="D1056" s="107" t="s">
        <v>385</v>
      </c>
      <c r="E1056" s="107" t="s">
        <v>386</v>
      </c>
      <c r="F1056" s="161">
        <v>45354</v>
      </c>
      <c r="G1056" s="107">
        <f t="shared" si="38"/>
        <v>6</v>
      </c>
    </row>
    <row r="1057" spans="1:7">
      <c r="A1057" s="107">
        <v>22</v>
      </c>
      <c r="B1057" s="107">
        <v>4</v>
      </c>
      <c r="C1057" s="107">
        <v>1</v>
      </c>
      <c r="D1057" s="107" t="s">
        <v>387</v>
      </c>
      <c r="E1057" s="107" t="s">
        <v>388</v>
      </c>
      <c r="F1057" s="161">
        <v>45353</v>
      </c>
      <c r="G1057" s="107">
        <f t="shared" si="38"/>
        <v>5</v>
      </c>
    </row>
    <row r="1058" spans="1:7">
      <c r="A1058" s="107">
        <v>22</v>
      </c>
      <c r="B1058" s="107">
        <v>4</v>
      </c>
      <c r="C1058" s="107">
        <v>2</v>
      </c>
      <c r="D1058" s="107" t="s">
        <v>387</v>
      </c>
      <c r="E1058" s="107" t="s">
        <v>388</v>
      </c>
      <c r="F1058" s="161">
        <v>45353</v>
      </c>
      <c r="G1058" s="107">
        <f t="shared" si="38"/>
        <v>5</v>
      </c>
    </row>
    <row r="1059" spans="1:7">
      <c r="A1059" s="107">
        <v>22</v>
      </c>
      <c r="B1059" s="107">
        <v>4</v>
      </c>
      <c r="C1059" s="107">
        <v>3</v>
      </c>
      <c r="D1059" s="107" t="s">
        <v>387</v>
      </c>
      <c r="E1059" s="107" t="s">
        <v>388</v>
      </c>
      <c r="F1059" s="161">
        <v>45353</v>
      </c>
      <c r="G1059" s="107">
        <f t="shared" si="38"/>
        <v>5</v>
      </c>
    </row>
    <row r="1060" spans="1:7">
      <c r="A1060" s="107">
        <v>22</v>
      </c>
      <c r="B1060" s="107">
        <v>4</v>
      </c>
      <c r="C1060" s="107">
        <v>4</v>
      </c>
      <c r="D1060" s="107" t="s">
        <v>387</v>
      </c>
      <c r="E1060" s="107" t="s">
        <v>388</v>
      </c>
      <c r="F1060" s="161">
        <v>45353</v>
      </c>
      <c r="G1060" s="107">
        <f t="shared" si="38"/>
        <v>5</v>
      </c>
    </row>
    <row r="1061" spans="1:7">
      <c r="A1061" s="107">
        <v>22</v>
      </c>
      <c r="B1061" s="107">
        <v>4</v>
      </c>
      <c r="C1061" s="107">
        <v>5</v>
      </c>
      <c r="D1061" s="107" t="s">
        <v>387</v>
      </c>
      <c r="E1061" s="107" t="s">
        <v>388</v>
      </c>
      <c r="F1061" s="161">
        <v>45353</v>
      </c>
      <c r="G1061" s="107">
        <f t="shared" si="38"/>
        <v>5</v>
      </c>
    </row>
    <row r="1062" spans="1:7">
      <c r="A1062" s="107">
        <v>22</v>
      </c>
      <c r="B1062" s="107">
        <v>4</v>
      </c>
      <c r="C1062" s="107">
        <v>6</v>
      </c>
      <c r="D1062" s="107" t="s">
        <v>387</v>
      </c>
      <c r="E1062" s="107" t="s">
        <v>388</v>
      </c>
      <c r="F1062" s="161">
        <v>45353</v>
      </c>
      <c r="G1062" s="107">
        <f t="shared" si="38"/>
        <v>5</v>
      </c>
    </row>
    <row r="1063" spans="1:7">
      <c r="A1063" s="107">
        <v>22</v>
      </c>
      <c r="B1063" s="107">
        <v>4</v>
      </c>
      <c r="C1063" s="107">
        <v>7</v>
      </c>
      <c r="D1063" s="107" t="s">
        <v>387</v>
      </c>
      <c r="E1063" s="107" t="s">
        <v>388</v>
      </c>
      <c r="F1063" s="161">
        <v>45353</v>
      </c>
      <c r="G1063" s="107">
        <f t="shared" si="38"/>
        <v>5</v>
      </c>
    </row>
    <row r="1064" spans="1:7">
      <c r="A1064" s="107">
        <v>22</v>
      </c>
      <c r="B1064" s="107">
        <v>4</v>
      </c>
      <c r="C1064" s="107">
        <v>8</v>
      </c>
      <c r="D1064" s="107" t="s">
        <v>387</v>
      </c>
      <c r="E1064" s="107" t="s">
        <v>388</v>
      </c>
      <c r="F1064" s="161">
        <v>45353</v>
      </c>
      <c r="G1064" s="107">
        <f t="shared" si="38"/>
        <v>5</v>
      </c>
    </row>
    <row r="1065" spans="1:7">
      <c r="A1065" s="107">
        <v>22</v>
      </c>
      <c r="B1065" s="107">
        <v>5</v>
      </c>
      <c r="C1065" s="107">
        <v>1</v>
      </c>
      <c r="D1065" s="107" t="s">
        <v>389</v>
      </c>
      <c r="E1065" s="107" t="s">
        <v>390</v>
      </c>
      <c r="F1065" s="161">
        <v>45354</v>
      </c>
      <c r="G1065" s="107">
        <f t="shared" si="38"/>
        <v>6</v>
      </c>
    </row>
    <row r="1066" spans="1:7">
      <c r="A1066" s="107">
        <v>22</v>
      </c>
      <c r="B1066" s="107">
        <v>5</v>
      </c>
      <c r="C1066" s="107">
        <v>2</v>
      </c>
      <c r="D1066" s="107" t="s">
        <v>389</v>
      </c>
      <c r="E1066" s="107" t="s">
        <v>390</v>
      </c>
      <c r="F1066" s="161">
        <v>45353</v>
      </c>
      <c r="G1066" s="107">
        <f t="shared" si="38"/>
        <v>5</v>
      </c>
    </row>
    <row r="1067" spans="1:7">
      <c r="A1067" s="107">
        <v>22</v>
      </c>
      <c r="B1067" s="107">
        <v>5</v>
      </c>
      <c r="C1067" s="107">
        <v>3</v>
      </c>
      <c r="D1067" s="107" t="s">
        <v>389</v>
      </c>
      <c r="E1067" s="107" t="s">
        <v>390</v>
      </c>
      <c r="F1067" s="161">
        <v>45354</v>
      </c>
      <c r="G1067" s="107">
        <f t="shared" si="38"/>
        <v>6</v>
      </c>
    </row>
    <row r="1068" spans="1:7">
      <c r="A1068" s="107">
        <v>22</v>
      </c>
      <c r="B1068" s="107">
        <v>5</v>
      </c>
      <c r="C1068" s="107">
        <v>4</v>
      </c>
      <c r="D1068" s="107" t="s">
        <v>389</v>
      </c>
      <c r="E1068" s="107" t="s">
        <v>390</v>
      </c>
      <c r="F1068" s="161">
        <v>45353</v>
      </c>
      <c r="G1068" s="107">
        <f t="shared" si="38"/>
        <v>5</v>
      </c>
    </row>
    <row r="1069" spans="1:7">
      <c r="A1069" s="107">
        <v>22</v>
      </c>
      <c r="B1069" s="107">
        <v>5</v>
      </c>
      <c r="C1069" s="107">
        <v>5</v>
      </c>
      <c r="D1069" s="107" t="s">
        <v>389</v>
      </c>
      <c r="E1069" s="107" t="s">
        <v>390</v>
      </c>
      <c r="F1069" s="161">
        <v>45353</v>
      </c>
      <c r="G1069" s="107">
        <f t="shared" si="38"/>
        <v>5</v>
      </c>
    </row>
    <row r="1070" spans="1:7">
      <c r="A1070" s="107">
        <v>22</v>
      </c>
      <c r="B1070" s="107">
        <v>5</v>
      </c>
      <c r="C1070" s="107">
        <v>6</v>
      </c>
      <c r="D1070" s="107" t="s">
        <v>389</v>
      </c>
      <c r="E1070" s="107" t="s">
        <v>390</v>
      </c>
      <c r="F1070" s="161">
        <v>45353</v>
      </c>
      <c r="G1070" s="107">
        <f t="shared" si="38"/>
        <v>5</v>
      </c>
    </row>
    <row r="1071" spans="1:7">
      <c r="A1071" s="107">
        <v>22</v>
      </c>
      <c r="B1071" s="107">
        <v>5</v>
      </c>
      <c r="C1071" s="107">
        <v>7</v>
      </c>
      <c r="D1071" s="107" t="s">
        <v>389</v>
      </c>
      <c r="E1071" s="107" t="s">
        <v>390</v>
      </c>
      <c r="F1071" s="161">
        <v>45355</v>
      </c>
      <c r="G1071" s="107">
        <f t="shared" si="38"/>
        <v>7</v>
      </c>
    </row>
    <row r="1072" spans="1:7">
      <c r="A1072" s="107">
        <v>22</v>
      </c>
      <c r="B1072" s="107">
        <v>5</v>
      </c>
      <c r="C1072" s="107">
        <v>8</v>
      </c>
      <c r="D1072" s="107" t="s">
        <v>389</v>
      </c>
      <c r="E1072" s="107" t="s">
        <v>390</v>
      </c>
      <c r="F1072" s="161">
        <v>45353</v>
      </c>
      <c r="G1072" s="107">
        <f t="shared" si="38"/>
        <v>5</v>
      </c>
    </row>
    <row r="1073" spans="1:7">
      <c r="A1073" s="107">
        <v>22</v>
      </c>
      <c r="B1073" s="107">
        <v>6</v>
      </c>
      <c r="C1073" s="107">
        <v>1</v>
      </c>
      <c r="D1073" s="107" t="s">
        <v>391</v>
      </c>
      <c r="E1073" s="107" t="s">
        <v>392</v>
      </c>
      <c r="F1073" s="161">
        <v>45353</v>
      </c>
      <c r="G1073" s="107">
        <f t="shared" si="38"/>
        <v>5</v>
      </c>
    </row>
    <row r="1074" spans="1:7">
      <c r="A1074" s="107">
        <v>22</v>
      </c>
      <c r="B1074" s="107">
        <v>6</v>
      </c>
      <c r="C1074" s="107">
        <v>2</v>
      </c>
      <c r="D1074" s="107" t="s">
        <v>391</v>
      </c>
      <c r="E1074" s="107" t="s">
        <v>392</v>
      </c>
      <c r="F1074" s="161">
        <v>45353</v>
      </c>
      <c r="G1074" s="107">
        <f t="shared" si="38"/>
        <v>5</v>
      </c>
    </row>
    <row r="1075" spans="1:7">
      <c r="A1075" s="107">
        <v>22</v>
      </c>
      <c r="B1075" s="107">
        <v>6</v>
      </c>
      <c r="C1075" s="107">
        <v>3</v>
      </c>
      <c r="D1075" s="107" t="s">
        <v>391</v>
      </c>
      <c r="E1075" s="107" t="s">
        <v>392</v>
      </c>
      <c r="F1075" s="161">
        <v>45353</v>
      </c>
      <c r="G1075" s="107">
        <f t="shared" si="38"/>
        <v>5</v>
      </c>
    </row>
    <row r="1076" spans="1:7">
      <c r="A1076" s="107">
        <v>22</v>
      </c>
      <c r="B1076" s="107">
        <v>6</v>
      </c>
      <c r="C1076" s="107">
        <v>4</v>
      </c>
      <c r="D1076" s="107" t="s">
        <v>391</v>
      </c>
      <c r="E1076" s="107" t="s">
        <v>392</v>
      </c>
      <c r="F1076" s="161">
        <v>45353</v>
      </c>
      <c r="G1076" s="107">
        <f t="shared" si="38"/>
        <v>5</v>
      </c>
    </row>
    <row r="1077" spans="1:7">
      <c r="A1077" s="107">
        <v>22</v>
      </c>
      <c r="B1077" s="107">
        <v>6</v>
      </c>
      <c r="C1077" s="107">
        <v>5</v>
      </c>
      <c r="D1077" s="107" t="s">
        <v>391</v>
      </c>
      <c r="E1077" s="107" t="s">
        <v>392</v>
      </c>
      <c r="F1077" s="161">
        <v>45353</v>
      </c>
      <c r="G1077" s="107">
        <f t="shared" si="38"/>
        <v>5</v>
      </c>
    </row>
    <row r="1078" spans="1:7">
      <c r="A1078" s="107">
        <v>22</v>
      </c>
      <c r="B1078" s="107">
        <v>6</v>
      </c>
      <c r="C1078" s="107">
        <v>6</v>
      </c>
      <c r="D1078" s="107" t="s">
        <v>391</v>
      </c>
      <c r="E1078" s="107" t="s">
        <v>392</v>
      </c>
      <c r="F1078" s="161">
        <v>45353</v>
      </c>
      <c r="G1078" s="107">
        <f t="shared" si="38"/>
        <v>5</v>
      </c>
    </row>
    <row r="1079" spans="1:7">
      <c r="A1079" s="107">
        <v>22</v>
      </c>
      <c r="B1079" s="107">
        <v>6</v>
      </c>
      <c r="C1079" s="107">
        <v>7</v>
      </c>
      <c r="D1079" s="107" t="s">
        <v>391</v>
      </c>
      <c r="E1079" s="107" t="s">
        <v>392</v>
      </c>
      <c r="F1079" s="161">
        <v>45353</v>
      </c>
      <c r="G1079" s="107">
        <f t="shared" si="38"/>
        <v>5</v>
      </c>
    </row>
    <row r="1080" spans="1:7">
      <c r="A1080" s="107">
        <v>22</v>
      </c>
      <c r="B1080" s="107">
        <v>6</v>
      </c>
      <c r="C1080" s="107">
        <v>8</v>
      </c>
      <c r="D1080" s="107" t="s">
        <v>391</v>
      </c>
      <c r="E1080" s="107" t="s">
        <v>392</v>
      </c>
      <c r="F1080" s="161">
        <v>45353</v>
      </c>
      <c r="G1080" s="107">
        <f t="shared" si="38"/>
        <v>5</v>
      </c>
    </row>
    <row r="1082" spans="1:7">
      <c r="A1082" s="107">
        <v>23</v>
      </c>
      <c r="B1082" s="107">
        <v>1</v>
      </c>
      <c r="C1082" s="107">
        <v>1</v>
      </c>
      <c r="D1082" s="107" t="s">
        <v>393</v>
      </c>
      <c r="E1082" s="107" t="s">
        <v>394</v>
      </c>
      <c r="F1082" s="161">
        <v>45353</v>
      </c>
      <c r="G1082" s="107">
        <f t="shared" ref="G1082:G1129" si="39">DATEDIF(G$2,F1082,"d")</f>
        <v>5</v>
      </c>
    </row>
    <row r="1083" spans="1:7">
      <c r="A1083" s="107">
        <v>23</v>
      </c>
      <c r="B1083" s="107">
        <v>1</v>
      </c>
      <c r="C1083" s="107">
        <v>2</v>
      </c>
      <c r="D1083" s="107" t="s">
        <v>393</v>
      </c>
      <c r="E1083" s="107" t="s">
        <v>394</v>
      </c>
      <c r="F1083" s="161">
        <v>45352</v>
      </c>
      <c r="G1083" s="107">
        <f t="shared" si="39"/>
        <v>4</v>
      </c>
    </row>
    <row r="1084" spans="1:7">
      <c r="A1084" s="107">
        <v>23</v>
      </c>
      <c r="B1084" s="107">
        <v>1</v>
      </c>
      <c r="C1084" s="107">
        <v>3</v>
      </c>
      <c r="D1084" s="107" t="s">
        <v>393</v>
      </c>
      <c r="E1084" s="107" t="s">
        <v>394</v>
      </c>
      <c r="F1084" s="161">
        <v>45353</v>
      </c>
      <c r="G1084" s="107">
        <f t="shared" si="39"/>
        <v>5</v>
      </c>
    </row>
    <row r="1085" spans="1:7">
      <c r="A1085" s="107">
        <v>23</v>
      </c>
      <c r="B1085" s="107">
        <v>1</v>
      </c>
      <c r="C1085" s="107">
        <v>4</v>
      </c>
      <c r="D1085" s="107" t="s">
        <v>393</v>
      </c>
      <c r="E1085" s="107" t="s">
        <v>394</v>
      </c>
      <c r="F1085" s="161">
        <v>45353</v>
      </c>
      <c r="G1085" s="107">
        <f t="shared" si="39"/>
        <v>5</v>
      </c>
    </row>
    <row r="1086" spans="1:7">
      <c r="A1086" s="107">
        <v>23</v>
      </c>
      <c r="B1086" s="107">
        <v>1</v>
      </c>
      <c r="C1086" s="107">
        <v>5</v>
      </c>
      <c r="D1086" s="107" t="s">
        <v>393</v>
      </c>
      <c r="E1086" s="107" t="s">
        <v>394</v>
      </c>
      <c r="F1086" s="161">
        <v>45352</v>
      </c>
      <c r="G1086" s="107">
        <f t="shared" si="39"/>
        <v>4</v>
      </c>
    </row>
    <row r="1087" spans="1:7">
      <c r="A1087" s="107">
        <v>23</v>
      </c>
      <c r="B1087" s="107">
        <v>1</v>
      </c>
      <c r="C1087" s="107">
        <v>6</v>
      </c>
      <c r="D1087" s="107" t="s">
        <v>393</v>
      </c>
      <c r="E1087" s="107" t="s">
        <v>394</v>
      </c>
      <c r="F1087" s="161">
        <v>45352</v>
      </c>
      <c r="G1087" s="107">
        <f t="shared" si="39"/>
        <v>4</v>
      </c>
    </row>
    <row r="1088" spans="1:7">
      <c r="A1088" s="107">
        <v>23</v>
      </c>
      <c r="B1088" s="107">
        <v>1</v>
      </c>
      <c r="C1088" s="107">
        <v>7</v>
      </c>
      <c r="D1088" s="107" t="s">
        <v>393</v>
      </c>
      <c r="E1088" s="107" t="s">
        <v>394</v>
      </c>
      <c r="F1088" s="161">
        <v>45352</v>
      </c>
      <c r="G1088" s="107">
        <f t="shared" si="39"/>
        <v>4</v>
      </c>
    </row>
    <row r="1089" spans="1:7">
      <c r="A1089" s="107">
        <v>23</v>
      </c>
      <c r="B1089" s="107">
        <v>1</v>
      </c>
      <c r="C1089" s="107">
        <v>8</v>
      </c>
      <c r="D1089" s="107" t="s">
        <v>393</v>
      </c>
      <c r="E1089" s="107" t="s">
        <v>394</v>
      </c>
      <c r="F1089" s="161">
        <v>45352</v>
      </c>
      <c r="G1089" s="107">
        <f t="shared" si="39"/>
        <v>4</v>
      </c>
    </row>
    <row r="1090" spans="1:7">
      <c r="A1090" s="107">
        <v>23</v>
      </c>
      <c r="B1090" s="107">
        <v>2</v>
      </c>
      <c r="C1090" s="107">
        <v>1</v>
      </c>
      <c r="D1090" s="107" t="s">
        <v>395</v>
      </c>
      <c r="E1090" s="107" t="s">
        <v>396</v>
      </c>
      <c r="F1090" s="161">
        <v>45352</v>
      </c>
      <c r="G1090" s="107">
        <f t="shared" si="39"/>
        <v>4</v>
      </c>
    </row>
    <row r="1091" spans="1:7">
      <c r="A1091" s="107">
        <v>23</v>
      </c>
      <c r="B1091" s="107">
        <v>2</v>
      </c>
      <c r="C1091" s="107">
        <v>2</v>
      </c>
      <c r="D1091" s="107" t="s">
        <v>395</v>
      </c>
      <c r="E1091" s="107" t="s">
        <v>396</v>
      </c>
      <c r="F1091" s="161">
        <v>45353</v>
      </c>
      <c r="G1091" s="107">
        <f t="shared" si="39"/>
        <v>5</v>
      </c>
    </row>
    <row r="1092" spans="1:7">
      <c r="A1092" s="107">
        <v>23</v>
      </c>
      <c r="B1092" s="107">
        <v>2</v>
      </c>
      <c r="C1092" s="107">
        <v>3</v>
      </c>
      <c r="D1092" s="107" t="s">
        <v>395</v>
      </c>
      <c r="E1092" s="107" t="s">
        <v>396</v>
      </c>
      <c r="F1092" s="161">
        <v>45352</v>
      </c>
      <c r="G1092" s="107">
        <f t="shared" si="39"/>
        <v>4</v>
      </c>
    </row>
    <row r="1093" spans="1:7">
      <c r="A1093" s="107">
        <v>23</v>
      </c>
      <c r="B1093" s="107">
        <v>2</v>
      </c>
      <c r="C1093" s="107">
        <v>4</v>
      </c>
      <c r="D1093" s="107" t="s">
        <v>395</v>
      </c>
      <c r="E1093" s="107" t="s">
        <v>396</v>
      </c>
      <c r="F1093" s="161">
        <v>45352</v>
      </c>
      <c r="G1093" s="107">
        <f t="shared" si="39"/>
        <v>4</v>
      </c>
    </row>
    <row r="1094" spans="1:7">
      <c r="A1094" s="107">
        <v>23</v>
      </c>
      <c r="B1094" s="107">
        <v>2</v>
      </c>
      <c r="C1094" s="107">
        <v>5</v>
      </c>
      <c r="D1094" s="107" t="s">
        <v>395</v>
      </c>
      <c r="E1094" s="107" t="s">
        <v>396</v>
      </c>
      <c r="F1094" s="161">
        <v>45352</v>
      </c>
      <c r="G1094" s="107">
        <f t="shared" si="39"/>
        <v>4</v>
      </c>
    </row>
    <row r="1095" spans="1:7">
      <c r="A1095" s="107">
        <v>23</v>
      </c>
      <c r="B1095" s="107">
        <v>2</v>
      </c>
      <c r="C1095" s="107">
        <v>6</v>
      </c>
      <c r="D1095" s="107" t="s">
        <v>395</v>
      </c>
      <c r="E1095" s="107" t="s">
        <v>396</v>
      </c>
      <c r="F1095" s="161">
        <v>45353</v>
      </c>
      <c r="G1095" s="107">
        <f t="shared" si="39"/>
        <v>5</v>
      </c>
    </row>
    <row r="1096" spans="1:7">
      <c r="A1096" s="107">
        <v>23</v>
      </c>
      <c r="B1096" s="107">
        <v>2</v>
      </c>
      <c r="C1096" s="107">
        <v>7</v>
      </c>
      <c r="D1096" s="107" t="s">
        <v>395</v>
      </c>
      <c r="E1096" s="107" t="s">
        <v>396</v>
      </c>
      <c r="F1096" s="161">
        <v>45352</v>
      </c>
      <c r="G1096" s="107">
        <f t="shared" si="39"/>
        <v>4</v>
      </c>
    </row>
    <row r="1097" spans="1:7">
      <c r="A1097" s="107">
        <v>23</v>
      </c>
      <c r="B1097" s="107">
        <v>2</v>
      </c>
      <c r="C1097" s="107">
        <v>8</v>
      </c>
      <c r="D1097" s="107" t="s">
        <v>395</v>
      </c>
      <c r="E1097" s="107" t="s">
        <v>396</v>
      </c>
      <c r="F1097" s="161">
        <v>45352</v>
      </c>
      <c r="G1097" s="107">
        <f t="shared" si="39"/>
        <v>4</v>
      </c>
    </row>
    <row r="1098" spans="1:7">
      <c r="A1098" s="107">
        <v>23</v>
      </c>
      <c r="B1098" s="107">
        <v>3</v>
      </c>
      <c r="C1098" s="107">
        <v>1</v>
      </c>
      <c r="D1098" s="107" t="s">
        <v>397</v>
      </c>
      <c r="E1098" s="107" t="s">
        <v>398</v>
      </c>
      <c r="F1098" s="161">
        <v>45353</v>
      </c>
      <c r="G1098" s="107">
        <f t="shared" si="39"/>
        <v>5</v>
      </c>
    </row>
    <row r="1099" spans="1:7">
      <c r="A1099" s="107">
        <v>23</v>
      </c>
      <c r="B1099" s="107">
        <v>3</v>
      </c>
      <c r="C1099" s="107">
        <v>2</v>
      </c>
      <c r="D1099" s="107" t="s">
        <v>397</v>
      </c>
      <c r="E1099" s="107" t="s">
        <v>398</v>
      </c>
      <c r="F1099" s="161">
        <v>45353</v>
      </c>
      <c r="G1099" s="107">
        <f t="shared" si="39"/>
        <v>5</v>
      </c>
    </row>
    <row r="1100" spans="1:7">
      <c r="A1100" s="107">
        <v>23</v>
      </c>
      <c r="B1100" s="107">
        <v>3</v>
      </c>
      <c r="C1100" s="107">
        <v>3</v>
      </c>
      <c r="D1100" s="107" t="s">
        <v>397</v>
      </c>
      <c r="E1100" s="107" t="s">
        <v>398</v>
      </c>
      <c r="F1100" s="161">
        <v>45352</v>
      </c>
      <c r="G1100" s="107">
        <f t="shared" si="39"/>
        <v>4</v>
      </c>
    </row>
    <row r="1101" spans="1:7">
      <c r="A1101" s="107">
        <v>23</v>
      </c>
      <c r="B1101" s="107">
        <v>3</v>
      </c>
      <c r="C1101" s="107">
        <v>4</v>
      </c>
      <c r="D1101" s="107" t="s">
        <v>397</v>
      </c>
      <c r="E1101" s="107" t="s">
        <v>398</v>
      </c>
      <c r="F1101" s="161">
        <v>45353</v>
      </c>
      <c r="G1101" s="107">
        <f t="shared" si="39"/>
        <v>5</v>
      </c>
    </row>
    <row r="1102" spans="1:7">
      <c r="A1102" s="107">
        <v>23</v>
      </c>
      <c r="B1102" s="107">
        <v>3</v>
      </c>
      <c r="C1102" s="107">
        <v>5</v>
      </c>
      <c r="D1102" s="107" t="s">
        <v>397</v>
      </c>
      <c r="E1102" s="107" t="s">
        <v>398</v>
      </c>
      <c r="F1102" s="161">
        <v>45352</v>
      </c>
      <c r="G1102" s="107">
        <f t="shared" si="39"/>
        <v>4</v>
      </c>
    </row>
    <row r="1103" spans="1:7">
      <c r="A1103" s="107">
        <v>23</v>
      </c>
      <c r="B1103" s="107">
        <v>3</v>
      </c>
      <c r="C1103" s="107">
        <v>6</v>
      </c>
      <c r="D1103" s="107" t="s">
        <v>397</v>
      </c>
      <c r="E1103" s="107" t="s">
        <v>398</v>
      </c>
      <c r="F1103" s="161">
        <v>45352</v>
      </c>
      <c r="G1103" s="107">
        <f t="shared" si="39"/>
        <v>4</v>
      </c>
    </row>
    <row r="1104" spans="1:7">
      <c r="A1104" s="107">
        <v>23</v>
      </c>
      <c r="B1104" s="107">
        <v>3</v>
      </c>
      <c r="C1104" s="107">
        <v>7</v>
      </c>
      <c r="D1104" s="107" t="s">
        <v>397</v>
      </c>
      <c r="E1104" s="107" t="s">
        <v>398</v>
      </c>
      <c r="F1104" s="161">
        <v>45352</v>
      </c>
      <c r="G1104" s="107">
        <f t="shared" si="39"/>
        <v>4</v>
      </c>
    </row>
    <row r="1105" spans="1:7">
      <c r="A1105" s="107">
        <v>23</v>
      </c>
      <c r="B1105" s="107">
        <v>3</v>
      </c>
      <c r="C1105" s="107">
        <v>8</v>
      </c>
      <c r="D1105" s="107" t="s">
        <v>397</v>
      </c>
      <c r="E1105" s="107" t="s">
        <v>398</v>
      </c>
      <c r="F1105" s="161">
        <v>45353</v>
      </c>
      <c r="G1105" s="107">
        <f t="shared" si="39"/>
        <v>5</v>
      </c>
    </row>
    <row r="1106" spans="1:7">
      <c r="A1106" s="107">
        <v>23</v>
      </c>
      <c r="B1106" s="107">
        <v>4</v>
      </c>
      <c r="C1106" s="107">
        <v>1</v>
      </c>
      <c r="D1106" s="107" t="s">
        <v>399</v>
      </c>
      <c r="E1106" s="107" t="s">
        <v>400</v>
      </c>
      <c r="F1106" s="161">
        <v>45352</v>
      </c>
      <c r="G1106" s="107">
        <f t="shared" si="39"/>
        <v>4</v>
      </c>
    </row>
    <row r="1107" spans="1:7">
      <c r="A1107" s="107">
        <v>23</v>
      </c>
      <c r="B1107" s="107">
        <v>4</v>
      </c>
      <c r="C1107" s="107">
        <v>2</v>
      </c>
      <c r="D1107" s="107" t="s">
        <v>399</v>
      </c>
      <c r="E1107" s="107" t="s">
        <v>400</v>
      </c>
      <c r="F1107" s="161">
        <v>45353</v>
      </c>
      <c r="G1107" s="107">
        <f t="shared" si="39"/>
        <v>5</v>
      </c>
    </row>
    <row r="1108" spans="1:7">
      <c r="A1108" s="107">
        <v>23</v>
      </c>
      <c r="B1108" s="107">
        <v>4</v>
      </c>
      <c r="C1108" s="107">
        <v>3</v>
      </c>
      <c r="D1108" s="107" t="s">
        <v>399</v>
      </c>
      <c r="E1108" s="107" t="s">
        <v>400</v>
      </c>
      <c r="F1108" s="161">
        <v>45353</v>
      </c>
      <c r="G1108" s="107">
        <f t="shared" si="39"/>
        <v>5</v>
      </c>
    </row>
    <row r="1109" spans="1:7">
      <c r="A1109" s="107">
        <v>23</v>
      </c>
      <c r="B1109" s="107">
        <v>4</v>
      </c>
      <c r="C1109" s="107">
        <v>4</v>
      </c>
      <c r="D1109" s="107" t="s">
        <v>399</v>
      </c>
      <c r="E1109" s="107" t="s">
        <v>400</v>
      </c>
      <c r="F1109" s="161">
        <v>45353</v>
      </c>
      <c r="G1109" s="107">
        <f t="shared" si="39"/>
        <v>5</v>
      </c>
    </row>
    <row r="1110" spans="1:7">
      <c r="A1110" s="107">
        <v>23</v>
      </c>
      <c r="B1110" s="107">
        <v>4</v>
      </c>
      <c r="C1110" s="107">
        <v>5</v>
      </c>
      <c r="D1110" s="107" t="s">
        <v>399</v>
      </c>
      <c r="E1110" s="107" t="s">
        <v>400</v>
      </c>
      <c r="F1110" s="161">
        <v>45353</v>
      </c>
      <c r="G1110" s="107">
        <f t="shared" si="39"/>
        <v>5</v>
      </c>
    </row>
    <row r="1111" spans="1:7">
      <c r="A1111" s="107">
        <v>23</v>
      </c>
      <c r="B1111" s="107">
        <v>4</v>
      </c>
      <c r="C1111" s="107">
        <v>6</v>
      </c>
      <c r="D1111" s="107" t="s">
        <v>399</v>
      </c>
      <c r="E1111" s="107" t="s">
        <v>400</v>
      </c>
      <c r="F1111" s="161">
        <v>45353</v>
      </c>
      <c r="G1111" s="107">
        <f t="shared" si="39"/>
        <v>5</v>
      </c>
    </row>
    <row r="1112" spans="1:7">
      <c r="A1112" s="107">
        <v>23</v>
      </c>
      <c r="B1112" s="107">
        <v>4</v>
      </c>
      <c r="C1112" s="107">
        <v>7</v>
      </c>
      <c r="D1112" s="107" t="s">
        <v>399</v>
      </c>
      <c r="E1112" s="107" t="s">
        <v>400</v>
      </c>
      <c r="F1112" s="161">
        <v>45353</v>
      </c>
      <c r="G1112" s="107">
        <f t="shared" si="39"/>
        <v>5</v>
      </c>
    </row>
    <row r="1113" spans="1:7">
      <c r="A1113" s="107">
        <v>23</v>
      </c>
      <c r="B1113" s="107">
        <v>4</v>
      </c>
      <c r="C1113" s="107">
        <v>8</v>
      </c>
      <c r="D1113" s="107" t="s">
        <v>399</v>
      </c>
      <c r="E1113" s="107" t="s">
        <v>400</v>
      </c>
      <c r="F1113" s="161">
        <v>45353</v>
      </c>
      <c r="G1113" s="107">
        <f t="shared" si="39"/>
        <v>5</v>
      </c>
    </row>
    <row r="1114" spans="1:7">
      <c r="A1114" s="107">
        <v>23</v>
      </c>
      <c r="B1114" s="107">
        <v>5</v>
      </c>
      <c r="C1114" s="107">
        <v>1</v>
      </c>
      <c r="D1114" s="107" t="s">
        <v>401</v>
      </c>
      <c r="E1114" s="107" t="s">
        <v>402</v>
      </c>
      <c r="F1114" s="161">
        <v>45352</v>
      </c>
      <c r="G1114" s="107">
        <f t="shared" si="39"/>
        <v>4</v>
      </c>
    </row>
    <row r="1115" spans="1:7">
      <c r="A1115" s="107">
        <v>23</v>
      </c>
      <c r="B1115" s="107">
        <v>5</v>
      </c>
      <c r="C1115" s="107">
        <v>2</v>
      </c>
      <c r="D1115" s="107" t="s">
        <v>401</v>
      </c>
      <c r="E1115" s="107" t="s">
        <v>402</v>
      </c>
      <c r="F1115" s="161">
        <v>45352</v>
      </c>
      <c r="G1115" s="107">
        <f t="shared" si="39"/>
        <v>4</v>
      </c>
    </row>
    <row r="1116" spans="1:7">
      <c r="A1116" s="107">
        <v>23</v>
      </c>
      <c r="B1116" s="107">
        <v>5</v>
      </c>
      <c r="C1116" s="107">
        <v>3</v>
      </c>
      <c r="D1116" s="107" t="s">
        <v>401</v>
      </c>
      <c r="E1116" s="107" t="s">
        <v>402</v>
      </c>
      <c r="F1116" s="161">
        <v>45353</v>
      </c>
      <c r="G1116" s="107">
        <f t="shared" si="39"/>
        <v>5</v>
      </c>
    </row>
    <row r="1117" spans="1:7">
      <c r="A1117" s="107">
        <v>23</v>
      </c>
      <c r="B1117" s="107">
        <v>5</v>
      </c>
      <c r="C1117" s="107">
        <v>4</v>
      </c>
      <c r="D1117" s="107" t="s">
        <v>401</v>
      </c>
      <c r="E1117" s="107" t="s">
        <v>402</v>
      </c>
      <c r="F1117" s="161">
        <v>45353</v>
      </c>
      <c r="G1117" s="107">
        <f t="shared" si="39"/>
        <v>5</v>
      </c>
    </row>
    <row r="1118" spans="1:7">
      <c r="A1118" s="107">
        <v>23</v>
      </c>
      <c r="B1118" s="107">
        <v>5</v>
      </c>
      <c r="C1118" s="107">
        <v>5</v>
      </c>
      <c r="D1118" s="107" t="s">
        <v>401</v>
      </c>
      <c r="E1118" s="107" t="s">
        <v>402</v>
      </c>
      <c r="F1118" s="161">
        <v>45353</v>
      </c>
      <c r="G1118" s="107">
        <f t="shared" si="39"/>
        <v>5</v>
      </c>
    </row>
    <row r="1119" spans="1:7">
      <c r="A1119" s="107">
        <v>23</v>
      </c>
      <c r="B1119" s="107">
        <v>5</v>
      </c>
      <c r="C1119" s="107">
        <v>6</v>
      </c>
      <c r="D1119" s="107" t="s">
        <v>401</v>
      </c>
      <c r="E1119" s="107" t="s">
        <v>402</v>
      </c>
      <c r="F1119" s="161">
        <v>45353</v>
      </c>
      <c r="G1119" s="107">
        <f t="shared" si="39"/>
        <v>5</v>
      </c>
    </row>
    <row r="1120" spans="1:7">
      <c r="A1120" s="107">
        <v>23</v>
      </c>
      <c r="B1120" s="107">
        <v>5</v>
      </c>
      <c r="C1120" s="107">
        <v>7</v>
      </c>
      <c r="D1120" s="107" t="s">
        <v>401</v>
      </c>
      <c r="E1120" s="107" t="s">
        <v>402</v>
      </c>
      <c r="F1120" s="161">
        <v>45352</v>
      </c>
      <c r="G1120" s="107">
        <f t="shared" si="39"/>
        <v>4</v>
      </c>
    </row>
    <row r="1121" spans="1:7">
      <c r="A1121" s="107">
        <v>23</v>
      </c>
      <c r="B1121" s="107">
        <v>5</v>
      </c>
      <c r="C1121" s="107">
        <v>8</v>
      </c>
      <c r="D1121" s="107" t="s">
        <v>401</v>
      </c>
      <c r="E1121" s="107" t="s">
        <v>402</v>
      </c>
      <c r="F1121" s="161">
        <v>45353</v>
      </c>
      <c r="G1121" s="107">
        <f t="shared" si="39"/>
        <v>5</v>
      </c>
    </row>
    <row r="1122" spans="1:7">
      <c r="A1122" s="107">
        <v>23</v>
      </c>
      <c r="B1122" s="107">
        <v>6</v>
      </c>
      <c r="C1122" s="107">
        <v>1</v>
      </c>
      <c r="D1122" s="107" t="s">
        <v>403</v>
      </c>
      <c r="E1122" s="107" t="s">
        <v>404</v>
      </c>
      <c r="F1122" s="161">
        <v>45353</v>
      </c>
      <c r="G1122" s="107">
        <f t="shared" si="39"/>
        <v>5</v>
      </c>
    </row>
    <row r="1123" spans="1:7">
      <c r="A1123" s="107">
        <v>23</v>
      </c>
      <c r="B1123" s="107">
        <v>6</v>
      </c>
      <c r="C1123" s="107">
        <v>2</v>
      </c>
      <c r="D1123" s="107" t="s">
        <v>403</v>
      </c>
      <c r="E1123" s="107" t="s">
        <v>404</v>
      </c>
      <c r="F1123" s="161">
        <v>45352</v>
      </c>
      <c r="G1123" s="107">
        <f t="shared" si="39"/>
        <v>4</v>
      </c>
    </row>
    <row r="1124" spans="1:7">
      <c r="A1124" s="107">
        <v>23</v>
      </c>
      <c r="B1124" s="107">
        <v>6</v>
      </c>
      <c r="C1124" s="107">
        <v>3</v>
      </c>
      <c r="D1124" s="107" t="s">
        <v>403</v>
      </c>
      <c r="E1124" s="107" t="s">
        <v>404</v>
      </c>
      <c r="F1124" s="161">
        <v>45353</v>
      </c>
      <c r="G1124" s="107">
        <f t="shared" si="39"/>
        <v>5</v>
      </c>
    </row>
    <row r="1125" spans="1:7">
      <c r="A1125" s="107">
        <v>23</v>
      </c>
      <c r="B1125" s="107">
        <v>6</v>
      </c>
      <c r="C1125" s="107">
        <v>4</v>
      </c>
      <c r="D1125" s="107" t="s">
        <v>403</v>
      </c>
      <c r="E1125" s="107" t="s">
        <v>404</v>
      </c>
      <c r="F1125" s="161">
        <v>45353</v>
      </c>
      <c r="G1125" s="107">
        <f t="shared" si="39"/>
        <v>5</v>
      </c>
    </row>
    <row r="1126" spans="1:7">
      <c r="A1126" s="107">
        <v>23</v>
      </c>
      <c r="B1126" s="107">
        <v>6</v>
      </c>
      <c r="C1126" s="107">
        <v>5</v>
      </c>
      <c r="D1126" s="107" t="s">
        <v>403</v>
      </c>
      <c r="E1126" s="107" t="s">
        <v>404</v>
      </c>
      <c r="F1126" s="161">
        <v>45353</v>
      </c>
      <c r="G1126" s="107">
        <f t="shared" si="39"/>
        <v>5</v>
      </c>
    </row>
    <row r="1127" spans="1:7">
      <c r="A1127" s="107">
        <v>23</v>
      </c>
      <c r="B1127" s="107">
        <v>6</v>
      </c>
      <c r="C1127" s="107">
        <v>6</v>
      </c>
      <c r="D1127" s="107" t="s">
        <v>403</v>
      </c>
      <c r="E1127" s="107" t="s">
        <v>404</v>
      </c>
      <c r="F1127" s="161">
        <v>45353</v>
      </c>
      <c r="G1127" s="107">
        <f t="shared" si="39"/>
        <v>5</v>
      </c>
    </row>
    <row r="1128" spans="1:7">
      <c r="A1128" s="107">
        <v>23</v>
      </c>
      <c r="B1128" s="107">
        <v>6</v>
      </c>
      <c r="C1128" s="107">
        <v>7</v>
      </c>
      <c r="D1128" s="107" t="s">
        <v>403</v>
      </c>
      <c r="E1128" s="107" t="s">
        <v>404</v>
      </c>
      <c r="F1128" s="161">
        <v>45352</v>
      </c>
      <c r="G1128" s="107">
        <f t="shared" si="39"/>
        <v>4</v>
      </c>
    </row>
    <row r="1129" spans="1:7">
      <c r="A1129" s="107">
        <v>23</v>
      </c>
      <c r="B1129" s="107">
        <v>6</v>
      </c>
      <c r="C1129" s="107">
        <v>8</v>
      </c>
      <c r="D1129" s="107" t="s">
        <v>403</v>
      </c>
      <c r="E1129" s="107" t="s">
        <v>404</v>
      </c>
      <c r="F1129" s="161">
        <v>45353</v>
      </c>
      <c r="G1129" s="107">
        <f t="shared" si="39"/>
        <v>5</v>
      </c>
    </row>
    <row r="1131" spans="1:7">
      <c r="A1131" s="107">
        <v>24</v>
      </c>
      <c r="B1131" s="107">
        <v>1</v>
      </c>
      <c r="C1131" s="107">
        <v>1</v>
      </c>
      <c r="D1131" s="107" t="s">
        <v>405</v>
      </c>
      <c r="E1131" s="107" t="s">
        <v>406</v>
      </c>
      <c r="F1131" s="161">
        <v>45353</v>
      </c>
      <c r="G1131" s="107">
        <f t="shared" ref="G1131:G1172" si="40">DATEDIF(G$2,F1131,"d")</f>
        <v>5</v>
      </c>
    </row>
    <row r="1132" spans="1:7">
      <c r="A1132" s="107">
        <v>24</v>
      </c>
      <c r="B1132" s="107">
        <v>1</v>
      </c>
      <c r="C1132" s="107">
        <v>2</v>
      </c>
      <c r="D1132" s="107" t="s">
        <v>405</v>
      </c>
      <c r="E1132" s="107" t="s">
        <v>406</v>
      </c>
      <c r="F1132" s="161">
        <v>45353</v>
      </c>
      <c r="G1132" s="107">
        <f t="shared" si="40"/>
        <v>5</v>
      </c>
    </row>
    <row r="1133" spans="1:7">
      <c r="A1133" s="107">
        <v>24</v>
      </c>
      <c r="B1133" s="107">
        <v>1</v>
      </c>
      <c r="C1133" s="107">
        <v>3</v>
      </c>
      <c r="D1133" s="107" t="s">
        <v>405</v>
      </c>
      <c r="E1133" s="107" t="s">
        <v>406</v>
      </c>
      <c r="F1133" s="161">
        <v>45353</v>
      </c>
      <c r="G1133" s="107">
        <f t="shared" si="40"/>
        <v>5</v>
      </c>
    </row>
    <row r="1134" spans="1:7">
      <c r="A1134" s="107">
        <v>24</v>
      </c>
      <c r="B1134" s="107">
        <v>1</v>
      </c>
      <c r="C1134" s="107">
        <v>4</v>
      </c>
      <c r="D1134" s="107" t="s">
        <v>405</v>
      </c>
      <c r="E1134" s="107" t="s">
        <v>406</v>
      </c>
      <c r="F1134" s="161">
        <v>45353</v>
      </c>
      <c r="G1134" s="107">
        <f t="shared" si="40"/>
        <v>5</v>
      </c>
    </row>
    <row r="1135" spans="1:7">
      <c r="A1135" s="107">
        <v>24</v>
      </c>
      <c r="B1135" s="107">
        <v>1</v>
      </c>
      <c r="C1135" s="107">
        <v>5</v>
      </c>
      <c r="D1135" s="107" t="s">
        <v>405</v>
      </c>
      <c r="E1135" s="107" t="s">
        <v>406</v>
      </c>
      <c r="F1135" s="161">
        <v>45353</v>
      </c>
      <c r="G1135" s="107">
        <f t="shared" si="40"/>
        <v>5</v>
      </c>
    </row>
    <row r="1136" spans="1:7">
      <c r="A1136" s="107">
        <v>24</v>
      </c>
      <c r="B1136" s="107">
        <v>1</v>
      </c>
      <c r="C1136" s="107">
        <v>6</v>
      </c>
      <c r="D1136" s="107" t="s">
        <v>405</v>
      </c>
      <c r="E1136" s="107" t="s">
        <v>406</v>
      </c>
      <c r="F1136" s="161">
        <v>45353</v>
      </c>
      <c r="G1136" s="107">
        <f t="shared" si="40"/>
        <v>5</v>
      </c>
    </row>
    <row r="1137" spans="1:7">
      <c r="A1137" s="107">
        <v>24</v>
      </c>
      <c r="B1137" s="107">
        <v>1</v>
      </c>
      <c r="C1137" s="107">
        <v>7</v>
      </c>
      <c r="D1137" s="107" t="s">
        <v>405</v>
      </c>
      <c r="E1137" s="107" t="s">
        <v>406</v>
      </c>
      <c r="F1137" s="161">
        <v>45352</v>
      </c>
      <c r="G1137" s="107">
        <f t="shared" si="40"/>
        <v>4</v>
      </c>
    </row>
    <row r="1138" spans="1:7">
      <c r="A1138" s="107">
        <v>24</v>
      </c>
      <c r="B1138" s="107">
        <v>1</v>
      </c>
      <c r="C1138" s="107">
        <v>8</v>
      </c>
      <c r="D1138" s="107" t="s">
        <v>405</v>
      </c>
      <c r="E1138" s="107" t="s">
        <v>406</v>
      </c>
      <c r="F1138" s="161">
        <v>45352</v>
      </c>
      <c r="G1138" s="107">
        <f t="shared" si="40"/>
        <v>4</v>
      </c>
    </row>
    <row r="1139" spans="1:7">
      <c r="A1139" s="107">
        <v>24</v>
      </c>
      <c r="B1139" s="107">
        <v>2</v>
      </c>
      <c r="C1139" s="107">
        <v>1</v>
      </c>
      <c r="D1139" s="107" t="s">
        <v>407</v>
      </c>
      <c r="E1139" s="107" t="s">
        <v>408</v>
      </c>
      <c r="F1139" s="161">
        <v>45353</v>
      </c>
      <c r="G1139" s="107">
        <f t="shared" si="40"/>
        <v>5</v>
      </c>
    </row>
    <row r="1140" spans="1:7">
      <c r="A1140" s="107">
        <v>24</v>
      </c>
      <c r="B1140" s="107">
        <v>2</v>
      </c>
      <c r="C1140" s="107">
        <v>2</v>
      </c>
      <c r="D1140" s="107" t="s">
        <v>407</v>
      </c>
      <c r="E1140" s="107" t="s">
        <v>408</v>
      </c>
      <c r="F1140" s="161">
        <v>45353</v>
      </c>
      <c r="G1140" s="107">
        <f t="shared" si="40"/>
        <v>5</v>
      </c>
    </row>
    <row r="1141" spans="1:7">
      <c r="A1141" s="107">
        <v>24</v>
      </c>
      <c r="B1141" s="107">
        <v>2</v>
      </c>
      <c r="C1141" s="107">
        <v>3</v>
      </c>
      <c r="D1141" s="107" t="s">
        <v>407</v>
      </c>
      <c r="E1141" s="107" t="s">
        <v>408</v>
      </c>
      <c r="F1141" s="161">
        <v>45354</v>
      </c>
      <c r="G1141" s="107">
        <f t="shared" si="40"/>
        <v>6</v>
      </c>
    </row>
    <row r="1142" spans="1:7">
      <c r="A1142" s="107">
        <v>24</v>
      </c>
      <c r="B1142" s="107">
        <v>2</v>
      </c>
      <c r="C1142" s="107">
        <v>4</v>
      </c>
      <c r="D1142" s="107" t="s">
        <v>407</v>
      </c>
      <c r="E1142" s="107" t="s">
        <v>408</v>
      </c>
      <c r="F1142" s="161">
        <v>45353</v>
      </c>
      <c r="G1142" s="107">
        <f t="shared" si="40"/>
        <v>5</v>
      </c>
    </row>
    <row r="1143" spans="1:7">
      <c r="A1143" s="107">
        <v>24</v>
      </c>
      <c r="B1143" s="107">
        <v>2</v>
      </c>
      <c r="C1143" s="107">
        <v>5</v>
      </c>
      <c r="D1143" s="107" t="s">
        <v>407</v>
      </c>
      <c r="E1143" s="107" t="s">
        <v>408</v>
      </c>
      <c r="F1143" s="161">
        <v>45353</v>
      </c>
      <c r="G1143" s="107">
        <f t="shared" si="40"/>
        <v>5</v>
      </c>
    </row>
    <row r="1144" spans="1:7">
      <c r="A1144" s="107">
        <v>24</v>
      </c>
      <c r="B1144" s="107">
        <v>2</v>
      </c>
      <c r="C1144" s="107">
        <v>6</v>
      </c>
      <c r="D1144" s="107" t="s">
        <v>407</v>
      </c>
      <c r="E1144" s="107" t="s">
        <v>408</v>
      </c>
      <c r="F1144" s="161">
        <v>45353</v>
      </c>
      <c r="G1144" s="107">
        <f t="shared" si="40"/>
        <v>5</v>
      </c>
    </row>
    <row r="1145" spans="1:7">
      <c r="A1145" s="107">
        <v>24</v>
      </c>
      <c r="B1145" s="107">
        <v>2</v>
      </c>
      <c r="C1145" s="107">
        <v>7</v>
      </c>
      <c r="D1145" s="107" t="s">
        <v>407</v>
      </c>
      <c r="E1145" s="107" t="s">
        <v>408</v>
      </c>
      <c r="F1145" s="161">
        <v>45353</v>
      </c>
      <c r="G1145" s="107">
        <f t="shared" si="40"/>
        <v>5</v>
      </c>
    </row>
    <row r="1146" spans="1:7">
      <c r="A1146" s="107">
        <v>24</v>
      </c>
      <c r="B1146" s="107">
        <v>2</v>
      </c>
      <c r="C1146" s="107">
        <v>8</v>
      </c>
      <c r="D1146" s="107" t="s">
        <v>407</v>
      </c>
      <c r="E1146" s="107" t="s">
        <v>408</v>
      </c>
      <c r="F1146" s="161">
        <v>45356</v>
      </c>
      <c r="G1146" s="107">
        <f t="shared" si="40"/>
        <v>8</v>
      </c>
    </row>
    <row r="1147" spans="1:7">
      <c r="A1147" s="107">
        <v>24</v>
      </c>
      <c r="B1147" s="107">
        <v>3</v>
      </c>
      <c r="C1147" s="107">
        <v>1</v>
      </c>
      <c r="D1147" s="107" t="s">
        <v>409</v>
      </c>
      <c r="E1147" s="107" t="s">
        <v>410</v>
      </c>
      <c r="F1147" s="161">
        <v>45353</v>
      </c>
      <c r="G1147" s="107">
        <f t="shared" si="40"/>
        <v>5</v>
      </c>
    </row>
    <row r="1148" spans="1:7">
      <c r="A1148" s="107">
        <v>24</v>
      </c>
      <c r="B1148" s="107">
        <v>3</v>
      </c>
      <c r="C1148" s="107">
        <v>2</v>
      </c>
      <c r="D1148" s="107" t="s">
        <v>409</v>
      </c>
      <c r="E1148" s="107" t="s">
        <v>410</v>
      </c>
      <c r="F1148" s="161">
        <v>45355</v>
      </c>
      <c r="G1148" s="107">
        <f t="shared" si="40"/>
        <v>7</v>
      </c>
    </row>
    <row r="1149" spans="1:7">
      <c r="A1149" s="107">
        <v>24</v>
      </c>
      <c r="B1149" s="107">
        <v>3</v>
      </c>
      <c r="C1149" s="107">
        <v>3</v>
      </c>
      <c r="D1149" s="107" t="s">
        <v>409</v>
      </c>
      <c r="E1149" s="107" t="s">
        <v>410</v>
      </c>
      <c r="F1149" s="161">
        <v>45353</v>
      </c>
      <c r="G1149" s="107">
        <f t="shared" si="40"/>
        <v>5</v>
      </c>
    </row>
    <row r="1150" spans="1:7">
      <c r="A1150" s="107">
        <v>24</v>
      </c>
      <c r="B1150" s="107">
        <v>3</v>
      </c>
      <c r="C1150" s="107">
        <v>4</v>
      </c>
      <c r="D1150" s="107" t="s">
        <v>409</v>
      </c>
      <c r="E1150" s="107" t="s">
        <v>410</v>
      </c>
      <c r="F1150" s="161">
        <v>45354</v>
      </c>
      <c r="G1150" s="107">
        <f t="shared" si="40"/>
        <v>6</v>
      </c>
    </row>
    <row r="1151" spans="1:7">
      <c r="A1151" s="107">
        <v>24</v>
      </c>
      <c r="B1151" s="107">
        <v>3</v>
      </c>
      <c r="C1151" s="107">
        <v>5</v>
      </c>
      <c r="D1151" s="107" t="s">
        <v>409</v>
      </c>
      <c r="E1151" s="107" t="s">
        <v>410</v>
      </c>
      <c r="F1151" s="161">
        <v>45357</v>
      </c>
      <c r="G1151" s="107">
        <f t="shared" si="40"/>
        <v>9</v>
      </c>
    </row>
    <row r="1152" spans="1:7">
      <c r="A1152" s="107">
        <v>24</v>
      </c>
      <c r="B1152" s="107">
        <v>3</v>
      </c>
      <c r="C1152" s="107">
        <v>6</v>
      </c>
      <c r="D1152" s="107" t="s">
        <v>409</v>
      </c>
      <c r="E1152" s="107" t="s">
        <v>410</v>
      </c>
      <c r="F1152" s="161">
        <v>45355</v>
      </c>
      <c r="G1152" s="107">
        <f t="shared" si="40"/>
        <v>7</v>
      </c>
    </row>
    <row r="1153" spans="1:7">
      <c r="A1153" s="107">
        <v>24</v>
      </c>
      <c r="B1153" s="107">
        <v>3</v>
      </c>
      <c r="C1153" s="107">
        <v>7</v>
      </c>
      <c r="D1153" s="107" t="s">
        <v>409</v>
      </c>
      <c r="E1153" s="107" t="s">
        <v>410</v>
      </c>
      <c r="F1153" s="161">
        <v>45353</v>
      </c>
      <c r="G1153" s="107">
        <f t="shared" si="40"/>
        <v>5</v>
      </c>
    </row>
    <row r="1154" spans="1:7">
      <c r="A1154" s="107">
        <v>24</v>
      </c>
      <c r="B1154" s="107">
        <v>3</v>
      </c>
      <c r="C1154" s="107">
        <v>8</v>
      </c>
      <c r="D1154" s="107" t="s">
        <v>409</v>
      </c>
      <c r="E1154" s="107" t="s">
        <v>410</v>
      </c>
      <c r="F1154" s="161">
        <v>45352</v>
      </c>
      <c r="G1154" s="107">
        <f t="shared" si="40"/>
        <v>4</v>
      </c>
    </row>
    <row r="1155" spans="1:7">
      <c r="A1155" s="107">
        <v>24</v>
      </c>
      <c r="B1155" s="107">
        <v>4</v>
      </c>
      <c r="C1155" s="107">
        <v>1</v>
      </c>
      <c r="D1155" s="107" t="s">
        <v>411</v>
      </c>
      <c r="E1155" s="107" t="s">
        <v>412</v>
      </c>
      <c r="F1155" s="161">
        <v>45353</v>
      </c>
      <c r="G1155" s="107">
        <f t="shared" si="40"/>
        <v>5</v>
      </c>
    </row>
    <row r="1156" spans="1:7">
      <c r="A1156" s="107">
        <v>24</v>
      </c>
      <c r="B1156" s="107">
        <v>4</v>
      </c>
      <c r="C1156" s="107">
        <v>2</v>
      </c>
      <c r="D1156" s="107" t="s">
        <v>411</v>
      </c>
      <c r="E1156" s="107" t="s">
        <v>412</v>
      </c>
      <c r="F1156" s="161">
        <v>45353</v>
      </c>
      <c r="G1156" s="107">
        <f t="shared" si="40"/>
        <v>5</v>
      </c>
    </row>
    <row r="1157" spans="1:7">
      <c r="A1157" s="107">
        <v>24</v>
      </c>
      <c r="B1157" s="107">
        <v>4</v>
      </c>
      <c r="C1157" s="107">
        <v>3</v>
      </c>
      <c r="D1157" s="107" t="s">
        <v>411</v>
      </c>
      <c r="E1157" s="107" t="s">
        <v>412</v>
      </c>
      <c r="F1157" s="161">
        <v>45353</v>
      </c>
      <c r="G1157" s="107">
        <f t="shared" si="40"/>
        <v>5</v>
      </c>
    </row>
    <row r="1158" spans="1:7">
      <c r="A1158" s="107">
        <v>24</v>
      </c>
      <c r="B1158" s="107">
        <v>4</v>
      </c>
      <c r="C1158" s="107">
        <v>4</v>
      </c>
      <c r="D1158" s="107" t="s">
        <v>411</v>
      </c>
      <c r="E1158" s="107" t="s">
        <v>412</v>
      </c>
      <c r="F1158" s="161">
        <v>45353</v>
      </c>
      <c r="G1158" s="107">
        <f t="shared" si="40"/>
        <v>5</v>
      </c>
    </row>
    <row r="1159" spans="1:7">
      <c r="A1159" s="107">
        <v>24</v>
      </c>
      <c r="B1159" s="107">
        <v>4</v>
      </c>
      <c r="C1159" s="107">
        <v>5</v>
      </c>
      <c r="D1159" s="107" t="s">
        <v>411</v>
      </c>
      <c r="E1159" s="107" t="s">
        <v>412</v>
      </c>
      <c r="F1159" s="161">
        <v>45353</v>
      </c>
      <c r="G1159" s="107">
        <f t="shared" si="40"/>
        <v>5</v>
      </c>
    </row>
    <row r="1160" spans="1:7">
      <c r="A1160" s="107">
        <v>24</v>
      </c>
      <c r="B1160" s="107">
        <v>4</v>
      </c>
      <c r="C1160" s="107">
        <v>6</v>
      </c>
      <c r="D1160" s="107" t="s">
        <v>411</v>
      </c>
      <c r="E1160" s="107" t="s">
        <v>412</v>
      </c>
      <c r="F1160" s="161">
        <v>45353</v>
      </c>
      <c r="G1160" s="107">
        <f t="shared" si="40"/>
        <v>5</v>
      </c>
    </row>
    <row r="1161" spans="1:7">
      <c r="A1161" s="107">
        <v>24</v>
      </c>
      <c r="B1161" s="107">
        <v>4</v>
      </c>
      <c r="C1161" s="107">
        <v>7</v>
      </c>
      <c r="D1161" s="107" t="s">
        <v>411</v>
      </c>
      <c r="E1161" s="107" t="s">
        <v>412</v>
      </c>
      <c r="F1161" s="161">
        <v>45353</v>
      </c>
      <c r="G1161" s="107">
        <f t="shared" si="40"/>
        <v>5</v>
      </c>
    </row>
    <row r="1162" spans="1:7">
      <c r="A1162" s="107">
        <v>24</v>
      </c>
      <c r="B1162" s="107">
        <v>4</v>
      </c>
      <c r="C1162" s="107">
        <v>8</v>
      </c>
      <c r="D1162" s="107" t="s">
        <v>411</v>
      </c>
      <c r="E1162" s="107" t="s">
        <v>412</v>
      </c>
      <c r="F1162" s="161">
        <v>45353</v>
      </c>
      <c r="G1162" s="107">
        <f t="shared" si="40"/>
        <v>5</v>
      </c>
    </row>
    <row r="1163" spans="1:7">
      <c r="A1163" s="107">
        <v>24</v>
      </c>
      <c r="B1163" s="107">
        <v>5</v>
      </c>
      <c r="C1163" s="107">
        <v>1</v>
      </c>
      <c r="D1163" s="107" t="s">
        <v>413</v>
      </c>
      <c r="E1163" s="107" t="s">
        <v>414</v>
      </c>
      <c r="F1163" s="161">
        <v>45353</v>
      </c>
      <c r="G1163" s="107">
        <f t="shared" si="40"/>
        <v>5</v>
      </c>
    </row>
    <row r="1164" spans="1:7">
      <c r="A1164" s="107">
        <v>24</v>
      </c>
      <c r="B1164" s="107">
        <v>5</v>
      </c>
      <c r="C1164" s="107">
        <v>2</v>
      </c>
      <c r="D1164" s="107" t="s">
        <v>413</v>
      </c>
      <c r="E1164" s="107" t="s">
        <v>414</v>
      </c>
      <c r="F1164" s="161">
        <v>45353</v>
      </c>
      <c r="G1164" s="107">
        <f t="shared" si="40"/>
        <v>5</v>
      </c>
    </row>
    <row r="1165" spans="1:7">
      <c r="A1165" s="107">
        <v>24</v>
      </c>
      <c r="B1165" s="107">
        <v>5</v>
      </c>
      <c r="C1165" s="107">
        <v>3</v>
      </c>
      <c r="D1165" s="107" t="s">
        <v>413</v>
      </c>
      <c r="E1165" s="107" t="s">
        <v>414</v>
      </c>
      <c r="F1165" s="161">
        <v>45353</v>
      </c>
      <c r="G1165" s="107">
        <f t="shared" si="40"/>
        <v>5</v>
      </c>
    </row>
    <row r="1166" spans="1:7">
      <c r="A1166" s="107">
        <v>24</v>
      </c>
      <c r="B1166" s="107">
        <v>5</v>
      </c>
      <c r="C1166" s="107">
        <v>4</v>
      </c>
      <c r="D1166" s="107" t="s">
        <v>413</v>
      </c>
      <c r="E1166" s="107" t="s">
        <v>414</v>
      </c>
      <c r="F1166" s="161">
        <v>45353</v>
      </c>
      <c r="G1166" s="107">
        <f t="shared" si="40"/>
        <v>5</v>
      </c>
    </row>
    <row r="1167" spans="1:7">
      <c r="A1167" s="107">
        <v>24</v>
      </c>
      <c r="B1167" s="107">
        <v>5</v>
      </c>
      <c r="C1167" s="107">
        <v>5</v>
      </c>
      <c r="D1167" s="107" t="s">
        <v>413</v>
      </c>
      <c r="E1167" s="107" t="s">
        <v>414</v>
      </c>
      <c r="F1167" s="161">
        <v>45353</v>
      </c>
      <c r="G1167" s="107">
        <f t="shared" si="40"/>
        <v>5</v>
      </c>
    </row>
    <row r="1168" spans="1:7">
      <c r="A1168" s="107">
        <v>24</v>
      </c>
      <c r="B1168" s="107">
        <v>5</v>
      </c>
      <c r="C1168" s="107">
        <v>6</v>
      </c>
      <c r="D1168" s="107" t="s">
        <v>413</v>
      </c>
      <c r="E1168" s="107" t="s">
        <v>414</v>
      </c>
      <c r="F1168" s="161">
        <v>45353</v>
      </c>
      <c r="G1168" s="107">
        <f t="shared" si="40"/>
        <v>5</v>
      </c>
    </row>
    <row r="1169" spans="1:7">
      <c r="A1169" s="107">
        <v>24</v>
      </c>
      <c r="B1169" s="107">
        <v>5</v>
      </c>
      <c r="C1169" s="107">
        <v>7</v>
      </c>
      <c r="D1169" s="107" t="s">
        <v>413</v>
      </c>
      <c r="E1169" s="107" t="s">
        <v>414</v>
      </c>
      <c r="F1169" s="161">
        <v>45352</v>
      </c>
      <c r="G1169" s="107">
        <f t="shared" si="40"/>
        <v>4</v>
      </c>
    </row>
    <row r="1170" spans="1:7">
      <c r="A1170" s="107">
        <v>24</v>
      </c>
      <c r="B1170" s="107">
        <v>5</v>
      </c>
      <c r="C1170" s="107">
        <v>8</v>
      </c>
      <c r="D1170" s="107" t="s">
        <v>413</v>
      </c>
      <c r="E1170" s="107" t="s">
        <v>414</v>
      </c>
      <c r="F1170" s="161">
        <v>45353</v>
      </c>
      <c r="G1170" s="107">
        <f t="shared" si="40"/>
        <v>5</v>
      </c>
    </row>
    <row r="1171" spans="1:7">
      <c r="A1171" s="107">
        <v>24</v>
      </c>
      <c r="B1171" s="107">
        <v>6</v>
      </c>
      <c r="C1171" s="107">
        <v>1</v>
      </c>
      <c r="D1171" s="107" t="s">
        <v>415</v>
      </c>
      <c r="E1171" s="107" t="s">
        <v>416</v>
      </c>
      <c r="F1171" s="161">
        <v>45353</v>
      </c>
      <c r="G1171" s="107">
        <f t="shared" si="40"/>
        <v>5</v>
      </c>
    </row>
    <row r="1172" spans="1:7">
      <c r="A1172" s="107">
        <v>24</v>
      </c>
      <c r="B1172" s="107">
        <v>6</v>
      </c>
      <c r="C1172" s="107">
        <v>2</v>
      </c>
      <c r="D1172" s="107" t="s">
        <v>415</v>
      </c>
      <c r="E1172" s="107" t="s">
        <v>416</v>
      </c>
      <c r="F1172" s="161">
        <v>45353</v>
      </c>
      <c r="G1172" s="107">
        <f t="shared" si="40"/>
        <v>5</v>
      </c>
    </row>
    <row r="1173" spans="1:7">
      <c r="A1173" s="107">
        <v>24</v>
      </c>
      <c r="B1173" s="107">
        <v>6</v>
      </c>
      <c r="C1173" s="107">
        <v>3</v>
      </c>
      <c r="D1173" s="107" t="s">
        <v>415</v>
      </c>
      <c r="E1173" s="107" t="s">
        <v>416</v>
      </c>
      <c r="F1173" s="107"/>
      <c r="G1173" s="107"/>
    </row>
    <row r="1174" spans="1:7">
      <c r="A1174" s="107">
        <v>24</v>
      </c>
      <c r="B1174" s="107">
        <v>6</v>
      </c>
      <c r="C1174" s="107">
        <v>4</v>
      </c>
      <c r="D1174" s="107" t="s">
        <v>415</v>
      </c>
      <c r="E1174" s="107" t="s">
        <v>416</v>
      </c>
      <c r="F1174" s="161">
        <v>45353</v>
      </c>
      <c r="G1174" s="107">
        <f>DATEDIF(G$2,F1174,"d")</f>
        <v>5</v>
      </c>
    </row>
    <row r="1175" spans="1:7">
      <c r="A1175" s="107">
        <v>24</v>
      </c>
      <c r="B1175" s="107">
        <v>6</v>
      </c>
      <c r="C1175" s="107">
        <v>5</v>
      </c>
      <c r="D1175" s="107" t="s">
        <v>415</v>
      </c>
      <c r="E1175" s="107" t="s">
        <v>416</v>
      </c>
      <c r="F1175" s="161">
        <v>45353</v>
      </c>
      <c r="G1175" s="107">
        <f>DATEDIF(G$2,F1175,"d")</f>
        <v>5</v>
      </c>
    </row>
    <row r="1176" spans="1:7">
      <c r="A1176" s="107">
        <v>24</v>
      </c>
      <c r="B1176" s="107">
        <v>6</v>
      </c>
      <c r="C1176" s="107">
        <v>6</v>
      </c>
      <c r="D1176" s="107" t="s">
        <v>415</v>
      </c>
      <c r="E1176" s="107" t="s">
        <v>416</v>
      </c>
      <c r="F1176" s="161">
        <v>45353</v>
      </c>
      <c r="G1176" s="107">
        <f>DATEDIF(G$2,F1176,"d")</f>
        <v>5</v>
      </c>
    </row>
    <row r="1177" spans="1:7">
      <c r="A1177" s="107">
        <v>24</v>
      </c>
      <c r="B1177" s="107">
        <v>6</v>
      </c>
      <c r="C1177" s="107">
        <v>7</v>
      </c>
      <c r="D1177" s="107" t="s">
        <v>415</v>
      </c>
      <c r="E1177" s="107" t="s">
        <v>416</v>
      </c>
      <c r="F1177" s="161">
        <v>45353</v>
      </c>
      <c r="G1177" s="107">
        <f>DATEDIF(G$2,F1177,"d")</f>
        <v>5</v>
      </c>
    </row>
    <row r="1178" spans="1:7">
      <c r="A1178" s="107">
        <v>24</v>
      </c>
      <c r="B1178" s="107">
        <v>6</v>
      </c>
      <c r="C1178" s="107">
        <v>8</v>
      </c>
      <c r="D1178" s="107" t="s">
        <v>415</v>
      </c>
      <c r="E1178" s="107" t="s">
        <v>416</v>
      </c>
      <c r="F1178" s="107"/>
      <c r="G1178" s="107"/>
    </row>
    <row r="1180" spans="1:7">
      <c r="A1180" s="107">
        <v>25</v>
      </c>
      <c r="B1180" s="107">
        <v>1</v>
      </c>
      <c r="C1180" s="107">
        <v>1</v>
      </c>
      <c r="D1180" s="107" t="s">
        <v>417</v>
      </c>
      <c r="E1180" s="107" t="s">
        <v>418</v>
      </c>
      <c r="F1180" s="161">
        <v>45353</v>
      </c>
      <c r="G1180" s="107">
        <f t="shared" ref="G1180:G1186" si="41">DATEDIF(G$2,F1180,"d")</f>
        <v>5</v>
      </c>
    </row>
    <row r="1181" spans="1:7">
      <c r="A1181" s="107">
        <v>25</v>
      </c>
      <c r="B1181" s="107">
        <v>1</v>
      </c>
      <c r="C1181" s="107">
        <v>2</v>
      </c>
      <c r="D1181" s="107" t="s">
        <v>417</v>
      </c>
      <c r="E1181" s="107" t="s">
        <v>418</v>
      </c>
      <c r="F1181" s="161">
        <v>45354</v>
      </c>
      <c r="G1181" s="107">
        <f t="shared" si="41"/>
        <v>6</v>
      </c>
    </row>
    <row r="1182" spans="1:7">
      <c r="A1182" s="107">
        <v>25</v>
      </c>
      <c r="B1182" s="107">
        <v>1</v>
      </c>
      <c r="C1182" s="107">
        <v>3</v>
      </c>
      <c r="D1182" s="107" t="s">
        <v>417</v>
      </c>
      <c r="E1182" s="107" t="s">
        <v>418</v>
      </c>
      <c r="F1182" s="161">
        <v>45353</v>
      </c>
      <c r="G1182" s="107">
        <f t="shared" si="41"/>
        <v>5</v>
      </c>
    </row>
    <row r="1183" spans="1:7">
      <c r="A1183" s="107">
        <v>25</v>
      </c>
      <c r="B1183" s="107">
        <v>1</v>
      </c>
      <c r="C1183" s="107">
        <v>4</v>
      </c>
      <c r="D1183" s="107" t="s">
        <v>417</v>
      </c>
      <c r="E1183" s="107" t="s">
        <v>418</v>
      </c>
      <c r="F1183" s="161">
        <v>45353</v>
      </c>
      <c r="G1183" s="107">
        <f t="shared" si="41"/>
        <v>5</v>
      </c>
    </row>
    <row r="1184" spans="1:7">
      <c r="A1184" s="107">
        <v>25</v>
      </c>
      <c r="B1184" s="107">
        <v>1</v>
      </c>
      <c r="C1184" s="107">
        <v>5</v>
      </c>
      <c r="D1184" s="107" t="s">
        <v>417</v>
      </c>
      <c r="E1184" s="107" t="s">
        <v>418</v>
      </c>
      <c r="F1184" s="161">
        <v>45353</v>
      </c>
      <c r="G1184" s="107">
        <f t="shared" si="41"/>
        <v>5</v>
      </c>
    </row>
    <row r="1185" spans="1:7">
      <c r="A1185" s="107">
        <v>25</v>
      </c>
      <c r="B1185" s="107">
        <v>1</v>
      </c>
      <c r="C1185" s="107">
        <v>6</v>
      </c>
      <c r="D1185" s="107" t="s">
        <v>417</v>
      </c>
      <c r="E1185" s="107" t="s">
        <v>418</v>
      </c>
      <c r="F1185" s="161">
        <v>45353</v>
      </c>
      <c r="G1185" s="107">
        <f t="shared" si="41"/>
        <v>5</v>
      </c>
    </row>
    <row r="1186" spans="1:7">
      <c r="A1186" s="107">
        <v>25</v>
      </c>
      <c r="B1186" s="107">
        <v>1</v>
      </c>
      <c r="C1186" s="107">
        <v>7</v>
      </c>
      <c r="D1186" s="107" t="s">
        <v>417</v>
      </c>
      <c r="E1186" s="107" t="s">
        <v>418</v>
      </c>
      <c r="F1186" s="161">
        <v>45353</v>
      </c>
      <c r="G1186" s="107">
        <f t="shared" si="41"/>
        <v>5</v>
      </c>
    </row>
    <row r="1187" spans="1:7">
      <c r="A1187" s="107">
        <v>25</v>
      </c>
      <c r="B1187" s="107">
        <v>1</v>
      </c>
      <c r="C1187" s="107">
        <v>8</v>
      </c>
      <c r="D1187" s="107" t="s">
        <v>417</v>
      </c>
      <c r="E1187" s="107" t="s">
        <v>418</v>
      </c>
      <c r="F1187" s="107"/>
      <c r="G1187" s="107"/>
    </row>
    <row r="1188" spans="1:7">
      <c r="A1188" s="107">
        <v>25</v>
      </c>
      <c r="B1188" s="107">
        <v>2</v>
      </c>
      <c r="C1188" s="107">
        <v>1</v>
      </c>
      <c r="D1188" s="107" t="s">
        <v>419</v>
      </c>
      <c r="E1188" s="107" t="s">
        <v>420</v>
      </c>
      <c r="F1188" s="161">
        <v>45353</v>
      </c>
      <c r="G1188" s="107">
        <f t="shared" ref="G1188:G1227" si="42">DATEDIF(G$2,F1188,"d")</f>
        <v>5</v>
      </c>
    </row>
    <row r="1189" spans="1:7">
      <c r="A1189" s="107">
        <v>25</v>
      </c>
      <c r="B1189" s="107">
        <v>2</v>
      </c>
      <c r="C1189" s="107">
        <v>2</v>
      </c>
      <c r="D1189" s="107" t="s">
        <v>419</v>
      </c>
      <c r="E1189" s="107" t="s">
        <v>420</v>
      </c>
      <c r="F1189" s="161">
        <v>45353</v>
      </c>
      <c r="G1189" s="107">
        <f t="shared" si="42"/>
        <v>5</v>
      </c>
    </row>
    <row r="1190" spans="1:7">
      <c r="A1190" s="107">
        <v>25</v>
      </c>
      <c r="B1190" s="107">
        <v>2</v>
      </c>
      <c r="C1190" s="107">
        <v>3</v>
      </c>
      <c r="D1190" s="107" t="s">
        <v>419</v>
      </c>
      <c r="E1190" s="107" t="s">
        <v>420</v>
      </c>
      <c r="F1190" s="161">
        <v>45353</v>
      </c>
      <c r="G1190" s="107">
        <f t="shared" si="42"/>
        <v>5</v>
      </c>
    </row>
    <row r="1191" spans="1:7">
      <c r="A1191" s="107">
        <v>25</v>
      </c>
      <c r="B1191" s="107">
        <v>2</v>
      </c>
      <c r="C1191" s="107">
        <v>4</v>
      </c>
      <c r="D1191" s="107" t="s">
        <v>419</v>
      </c>
      <c r="E1191" s="107" t="s">
        <v>420</v>
      </c>
      <c r="F1191" s="161">
        <v>45353</v>
      </c>
      <c r="G1191" s="107">
        <f t="shared" si="42"/>
        <v>5</v>
      </c>
    </row>
    <row r="1192" spans="1:7">
      <c r="A1192" s="107">
        <v>25</v>
      </c>
      <c r="B1192" s="107">
        <v>2</v>
      </c>
      <c r="C1192" s="107">
        <v>5</v>
      </c>
      <c r="D1192" s="107" t="s">
        <v>419</v>
      </c>
      <c r="E1192" s="107" t="s">
        <v>420</v>
      </c>
      <c r="F1192" s="161">
        <v>45353</v>
      </c>
      <c r="G1192" s="107">
        <f t="shared" si="42"/>
        <v>5</v>
      </c>
    </row>
    <row r="1193" spans="1:7">
      <c r="A1193" s="107">
        <v>25</v>
      </c>
      <c r="B1193" s="107">
        <v>2</v>
      </c>
      <c r="C1193" s="107">
        <v>6</v>
      </c>
      <c r="D1193" s="107" t="s">
        <v>419</v>
      </c>
      <c r="E1193" s="107" t="s">
        <v>420</v>
      </c>
      <c r="F1193" s="161">
        <v>45353</v>
      </c>
      <c r="G1193" s="107">
        <f t="shared" si="42"/>
        <v>5</v>
      </c>
    </row>
    <row r="1194" spans="1:7">
      <c r="A1194" s="107">
        <v>25</v>
      </c>
      <c r="B1194" s="107">
        <v>2</v>
      </c>
      <c r="C1194" s="107">
        <v>7</v>
      </c>
      <c r="D1194" s="107" t="s">
        <v>419</v>
      </c>
      <c r="E1194" s="107" t="s">
        <v>420</v>
      </c>
      <c r="F1194" s="161">
        <v>45353</v>
      </c>
      <c r="G1194" s="107">
        <f t="shared" si="42"/>
        <v>5</v>
      </c>
    </row>
    <row r="1195" spans="1:7">
      <c r="A1195" s="107">
        <v>25</v>
      </c>
      <c r="B1195" s="107">
        <v>2</v>
      </c>
      <c r="C1195" s="107">
        <v>8</v>
      </c>
      <c r="D1195" s="107" t="s">
        <v>419</v>
      </c>
      <c r="E1195" s="107" t="s">
        <v>420</v>
      </c>
      <c r="F1195" s="161">
        <v>45352</v>
      </c>
      <c r="G1195" s="107">
        <f t="shared" si="42"/>
        <v>4</v>
      </c>
    </row>
    <row r="1196" spans="1:7">
      <c r="A1196" s="107">
        <v>25</v>
      </c>
      <c r="B1196" s="107">
        <v>3</v>
      </c>
      <c r="C1196" s="107">
        <v>1</v>
      </c>
      <c r="D1196" s="107" t="s">
        <v>421</v>
      </c>
      <c r="E1196" s="107" t="s">
        <v>422</v>
      </c>
      <c r="F1196" s="161">
        <v>45352</v>
      </c>
      <c r="G1196" s="107">
        <f t="shared" si="42"/>
        <v>4</v>
      </c>
    </row>
    <row r="1197" spans="1:7">
      <c r="A1197" s="107">
        <v>25</v>
      </c>
      <c r="B1197" s="107">
        <v>3</v>
      </c>
      <c r="C1197" s="107">
        <v>2</v>
      </c>
      <c r="D1197" s="107" t="s">
        <v>421</v>
      </c>
      <c r="E1197" s="107" t="s">
        <v>422</v>
      </c>
      <c r="F1197" s="161">
        <v>45352</v>
      </c>
      <c r="G1197" s="107">
        <f t="shared" si="42"/>
        <v>4</v>
      </c>
    </row>
    <row r="1198" spans="1:7">
      <c r="A1198" s="107">
        <v>25</v>
      </c>
      <c r="B1198" s="107">
        <v>3</v>
      </c>
      <c r="C1198" s="107">
        <v>3</v>
      </c>
      <c r="D1198" s="107" t="s">
        <v>421</v>
      </c>
      <c r="E1198" s="107" t="s">
        <v>422</v>
      </c>
      <c r="F1198" s="161">
        <v>45353</v>
      </c>
      <c r="G1198" s="107">
        <f t="shared" si="42"/>
        <v>5</v>
      </c>
    </row>
    <row r="1199" spans="1:7">
      <c r="A1199" s="107">
        <v>25</v>
      </c>
      <c r="B1199" s="107">
        <v>3</v>
      </c>
      <c r="C1199" s="107">
        <v>4</v>
      </c>
      <c r="D1199" s="107" t="s">
        <v>421</v>
      </c>
      <c r="E1199" s="107" t="s">
        <v>422</v>
      </c>
      <c r="F1199" s="161">
        <v>45353</v>
      </c>
      <c r="G1199" s="107">
        <f t="shared" si="42"/>
        <v>5</v>
      </c>
    </row>
    <row r="1200" spans="1:7">
      <c r="A1200" s="107">
        <v>25</v>
      </c>
      <c r="B1200" s="107">
        <v>3</v>
      </c>
      <c r="C1200" s="107">
        <v>5</v>
      </c>
      <c r="D1200" s="107" t="s">
        <v>421</v>
      </c>
      <c r="E1200" s="107" t="s">
        <v>422</v>
      </c>
      <c r="F1200" s="161">
        <v>45352</v>
      </c>
      <c r="G1200" s="107">
        <f t="shared" si="42"/>
        <v>4</v>
      </c>
    </row>
    <row r="1201" spans="1:7">
      <c r="A1201" s="107">
        <v>25</v>
      </c>
      <c r="B1201" s="107">
        <v>3</v>
      </c>
      <c r="C1201" s="107">
        <v>6</v>
      </c>
      <c r="D1201" s="107" t="s">
        <v>421</v>
      </c>
      <c r="E1201" s="107" t="s">
        <v>422</v>
      </c>
      <c r="F1201" s="161">
        <v>45353</v>
      </c>
      <c r="G1201" s="107">
        <f t="shared" si="42"/>
        <v>5</v>
      </c>
    </row>
    <row r="1202" spans="1:7">
      <c r="A1202" s="107">
        <v>25</v>
      </c>
      <c r="B1202" s="107">
        <v>3</v>
      </c>
      <c r="C1202" s="107">
        <v>7</v>
      </c>
      <c r="D1202" s="107" t="s">
        <v>421</v>
      </c>
      <c r="E1202" s="107" t="s">
        <v>422</v>
      </c>
      <c r="F1202" s="161">
        <v>45353</v>
      </c>
      <c r="G1202" s="107">
        <f t="shared" si="42"/>
        <v>5</v>
      </c>
    </row>
    <row r="1203" spans="1:7">
      <c r="A1203" s="107">
        <v>25</v>
      </c>
      <c r="B1203" s="107">
        <v>3</v>
      </c>
      <c r="C1203" s="107">
        <v>8</v>
      </c>
      <c r="D1203" s="107" t="s">
        <v>421</v>
      </c>
      <c r="E1203" s="107" t="s">
        <v>422</v>
      </c>
      <c r="F1203" s="161">
        <v>45353</v>
      </c>
      <c r="G1203" s="107">
        <f t="shared" si="42"/>
        <v>5</v>
      </c>
    </row>
    <row r="1204" spans="1:7">
      <c r="A1204" s="107">
        <v>25</v>
      </c>
      <c r="B1204" s="107">
        <v>4</v>
      </c>
      <c r="C1204" s="107">
        <v>1</v>
      </c>
      <c r="D1204" s="107" t="s">
        <v>423</v>
      </c>
      <c r="E1204" s="107" t="s">
        <v>424</v>
      </c>
      <c r="F1204" s="161">
        <v>45353</v>
      </c>
      <c r="G1204" s="107">
        <f t="shared" si="42"/>
        <v>5</v>
      </c>
    </row>
    <row r="1205" spans="1:7">
      <c r="A1205" s="107">
        <v>25</v>
      </c>
      <c r="B1205" s="107">
        <v>4</v>
      </c>
      <c r="C1205" s="107">
        <v>2</v>
      </c>
      <c r="D1205" s="107" t="s">
        <v>423</v>
      </c>
      <c r="E1205" s="107" t="s">
        <v>424</v>
      </c>
      <c r="F1205" s="161">
        <v>45353</v>
      </c>
      <c r="G1205" s="107">
        <f t="shared" si="42"/>
        <v>5</v>
      </c>
    </row>
    <row r="1206" spans="1:7">
      <c r="A1206" s="107">
        <v>25</v>
      </c>
      <c r="B1206" s="107">
        <v>4</v>
      </c>
      <c r="C1206" s="107">
        <v>3</v>
      </c>
      <c r="D1206" s="107" t="s">
        <v>423</v>
      </c>
      <c r="E1206" s="107" t="s">
        <v>424</v>
      </c>
      <c r="F1206" s="161">
        <v>45353</v>
      </c>
      <c r="G1206" s="107">
        <f t="shared" si="42"/>
        <v>5</v>
      </c>
    </row>
    <row r="1207" spans="1:7">
      <c r="A1207" s="107">
        <v>25</v>
      </c>
      <c r="B1207" s="107">
        <v>4</v>
      </c>
      <c r="C1207" s="107">
        <v>4</v>
      </c>
      <c r="D1207" s="107" t="s">
        <v>423</v>
      </c>
      <c r="E1207" s="107" t="s">
        <v>424</v>
      </c>
      <c r="F1207" s="161">
        <v>45353</v>
      </c>
      <c r="G1207" s="107">
        <f t="shared" si="42"/>
        <v>5</v>
      </c>
    </row>
    <row r="1208" spans="1:7">
      <c r="A1208" s="107">
        <v>25</v>
      </c>
      <c r="B1208" s="107">
        <v>4</v>
      </c>
      <c r="C1208" s="107">
        <v>5</v>
      </c>
      <c r="D1208" s="107" t="s">
        <v>423</v>
      </c>
      <c r="E1208" s="107" t="s">
        <v>424</v>
      </c>
      <c r="F1208" s="161">
        <v>45353</v>
      </c>
      <c r="G1208" s="107">
        <f t="shared" si="42"/>
        <v>5</v>
      </c>
    </row>
    <row r="1209" spans="1:7">
      <c r="A1209" s="107">
        <v>25</v>
      </c>
      <c r="B1209" s="107">
        <v>4</v>
      </c>
      <c r="C1209" s="107">
        <v>6</v>
      </c>
      <c r="D1209" s="107" t="s">
        <v>423</v>
      </c>
      <c r="E1209" s="107" t="s">
        <v>424</v>
      </c>
      <c r="F1209" s="161">
        <v>45353</v>
      </c>
      <c r="G1209" s="107">
        <f t="shared" si="42"/>
        <v>5</v>
      </c>
    </row>
    <row r="1210" spans="1:7">
      <c r="A1210" s="107">
        <v>25</v>
      </c>
      <c r="B1210" s="107">
        <v>4</v>
      </c>
      <c r="C1210" s="107">
        <v>7</v>
      </c>
      <c r="D1210" s="107" t="s">
        <v>423</v>
      </c>
      <c r="E1210" s="107" t="s">
        <v>424</v>
      </c>
      <c r="F1210" s="161">
        <v>45353</v>
      </c>
      <c r="G1210" s="107">
        <f t="shared" si="42"/>
        <v>5</v>
      </c>
    </row>
    <row r="1211" spans="1:7">
      <c r="A1211" s="107">
        <v>25</v>
      </c>
      <c r="B1211" s="107">
        <v>4</v>
      </c>
      <c r="C1211" s="107">
        <v>8</v>
      </c>
      <c r="D1211" s="107" t="s">
        <v>423</v>
      </c>
      <c r="E1211" s="107" t="s">
        <v>424</v>
      </c>
      <c r="F1211" s="161">
        <v>45353</v>
      </c>
      <c r="G1211" s="107">
        <f t="shared" si="42"/>
        <v>5</v>
      </c>
    </row>
    <row r="1212" spans="1:7">
      <c r="A1212" s="107">
        <v>25</v>
      </c>
      <c r="B1212" s="107">
        <v>5</v>
      </c>
      <c r="C1212" s="107">
        <v>1</v>
      </c>
      <c r="D1212" s="107" t="s">
        <v>425</v>
      </c>
      <c r="E1212" s="107" t="s">
        <v>426</v>
      </c>
      <c r="F1212" s="161">
        <v>45353</v>
      </c>
      <c r="G1212" s="107">
        <f t="shared" si="42"/>
        <v>5</v>
      </c>
    </row>
    <row r="1213" spans="1:7">
      <c r="A1213" s="107">
        <v>25</v>
      </c>
      <c r="B1213" s="107">
        <v>5</v>
      </c>
      <c r="C1213" s="107">
        <v>2</v>
      </c>
      <c r="D1213" s="107" t="s">
        <v>425</v>
      </c>
      <c r="E1213" s="107" t="s">
        <v>426</v>
      </c>
      <c r="F1213" s="161">
        <v>45353</v>
      </c>
      <c r="G1213" s="107">
        <f t="shared" si="42"/>
        <v>5</v>
      </c>
    </row>
    <row r="1214" spans="1:7">
      <c r="A1214" s="107">
        <v>25</v>
      </c>
      <c r="B1214" s="107">
        <v>5</v>
      </c>
      <c r="C1214" s="107">
        <v>3</v>
      </c>
      <c r="D1214" s="107" t="s">
        <v>425</v>
      </c>
      <c r="E1214" s="107" t="s">
        <v>426</v>
      </c>
      <c r="F1214" s="161">
        <v>45353</v>
      </c>
      <c r="G1214" s="107">
        <f t="shared" si="42"/>
        <v>5</v>
      </c>
    </row>
    <row r="1215" spans="1:7">
      <c r="A1215" s="107">
        <v>25</v>
      </c>
      <c r="B1215" s="107">
        <v>5</v>
      </c>
      <c r="C1215" s="107">
        <v>4</v>
      </c>
      <c r="D1215" s="107" t="s">
        <v>425</v>
      </c>
      <c r="E1215" s="107" t="s">
        <v>426</v>
      </c>
      <c r="F1215" s="161">
        <v>45353</v>
      </c>
      <c r="G1215" s="107">
        <f t="shared" si="42"/>
        <v>5</v>
      </c>
    </row>
    <row r="1216" spans="1:7">
      <c r="A1216" s="107">
        <v>25</v>
      </c>
      <c r="B1216" s="107">
        <v>5</v>
      </c>
      <c r="C1216" s="107">
        <v>5</v>
      </c>
      <c r="D1216" s="107" t="s">
        <v>425</v>
      </c>
      <c r="E1216" s="107" t="s">
        <v>426</v>
      </c>
      <c r="F1216" s="161">
        <v>45353</v>
      </c>
      <c r="G1216" s="107">
        <f t="shared" si="42"/>
        <v>5</v>
      </c>
    </row>
    <row r="1217" spans="1:7">
      <c r="A1217" s="107">
        <v>25</v>
      </c>
      <c r="B1217" s="107">
        <v>5</v>
      </c>
      <c r="C1217" s="107">
        <v>6</v>
      </c>
      <c r="D1217" s="107" t="s">
        <v>425</v>
      </c>
      <c r="E1217" s="107" t="s">
        <v>426</v>
      </c>
      <c r="F1217" s="161">
        <v>45353</v>
      </c>
      <c r="G1217" s="107">
        <f t="shared" si="42"/>
        <v>5</v>
      </c>
    </row>
    <row r="1218" spans="1:7">
      <c r="A1218" s="107">
        <v>25</v>
      </c>
      <c r="B1218" s="107">
        <v>5</v>
      </c>
      <c r="C1218" s="107">
        <v>7</v>
      </c>
      <c r="D1218" s="107" t="s">
        <v>425</v>
      </c>
      <c r="E1218" s="107" t="s">
        <v>426</v>
      </c>
      <c r="F1218" s="161">
        <v>45353</v>
      </c>
      <c r="G1218" s="107">
        <f t="shared" si="42"/>
        <v>5</v>
      </c>
    </row>
    <row r="1219" spans="1:7">
      <c r="A1219" s="107">
        <v>25</v>
      </c>
      <c r="B1219" s="107">
        <v>5</v>
      </c>
      <c r="C1219" s="107">
        <v>8</v>
      </c>
      <c r="D1219" s="107" t="s">
        <v>425</v>
      </c>
      <c r="E1219" s="107" t="s">
        <v>426</v>
      </c>
      <c r="F1219" s="161">
        <v>45353</v>
      </c>
      <c r="G1219" s="107">
        <f t="shared" si="42"/>
        <v>5</v>
      </c>
    </row>
    <row r="1220" spans="1:7">
      <c r="A1220" s="107">
        <v>25</v>
      </c>
      <c r="B1220" s="107">
        <v>6</v>
      </c>
      <c r="C1220" s="107">
        <v>1</v>
      </c>
      <c r="D1220" s="107" t="s">
        <v>427</v>
      </c>
      <c r="E1220" s="107" t="s">
        <v>428</v>
      </c>
      <c r="F1220" s="161">
        <v>45353</v>
      </c>
      <c r="G1220" s="107">
        <f t="shared" si="42"/>
        <v>5</v>
      </c>
    </row>
    <row r="1221" spans="1:7">
      <c r="A1221" s="107">
        <v>25</v>
      </c>
      <c r="B1221" s="107">
        <v>6</v>
      </c>
      <c r="C1221" s="107">
        <v>2</v>
      </c>
      <c r="D1221" s="107" t="s">
        <v>427</v>
      </c>
      <c r="E1221" s="107" t="s">
        <v>428</v>
      </c>
      <c r="F1221" s="161">
        <v>45352</v>
      </c>
      <c r="G1221" s="107">
        <f t="shared" si="42"/>
        <v>4</v>
      </c>
    </row>
    <row r="1222" spans="1:7">
      <c r="A1222" s="107">
        <v>25</v>
      </c>
      <c r="B1222" s="107">
        <v>6</v>
      </c>
      <c r="C1222" s="107">
        <v>3</v>
      </c>
      <c r="D1222" s="107" t="s">
        <v>427</v>
      </c>
      <c r="E1222" s="107" t="s">
        <v>428</v>
      </c>
      <c r="F1222" s="161">
        <v>45353</v>
      </c>
      <c r="G1222" s="107">
        <f t="shared" si="42"/>
        <v>5</v>
      </c>
    </row>
    <row r="1223" spans="1:7">
      <c r="A1223" s="107">
        <v>25</v>
      </c>
      <c r="B1223" s="107">
        <v>6</v>
      </c>
      <c r="C1223" s="107">
        <v>4</v>
      </c>
      <c r="D1223" s="107" t="s">
        <v>427</v>
      </c>
      <c r="E1223" s="107" t="s">
        <v>428</v>
      </c>
      <c r="F1223" s="161">
        <v>45353</v>
      </c>
      <c r="G1223" s="107">
        <f t="shared" si="42"/>
        <v>5</v>
      </c>
    </row>
    <row r="1224" spans="1:7">
      <c r="A1224" s="107">
        <v>25</v>
      </c>
      <c r="B1224" s="107">
        <v>6</v>
      </c>
      <c r="C1224" s="107">
        <v>5</v>
      </c>
      <c r="D1224" s="107" t="s">
        <v>427</v>
      </c>
      <c r="E1224" s="107" t="s">
        <v>428</v>
      </c>
      <c r="F1224" s="161">
        <v>45352</v>
      </c>
      <c r="G1224" s="107">
        <f t="shared" si="42"/>
        <v>4</v>
      </c>
    </row>
    <row r="1225" spans="1:7">
      <c r="A1225" s="107">
        <v>25</v>
      </c>
      <c r="B1225" s="107">
        <v>6</v>
      </c>
      <c r="C1225" s="107">
        <v>6</v>
      </c>
      <c r="D1225" s="107" t="s">
        <v>427</v>
      </c>
      <c r="E1225" s="107" t="s">
        <v>428</v>
      </c>
      <c r="F1225" s="161">
        <v>45354</v>
      </c>
      <c r="G1225" s="107">
        <f t="shared" si="42"/>
        <v>6</v>
      </c>
    </row>
    <row r="1226" spans="1:7">
      <c r="A1226" s="107">
        <v>25</v>
      </c>
      <c r="B1226" s="107">
        <v>6</v>
      </c>
      <c r="C1226" s="107">
        <v>7</v>
      </c>
      <c r="D1226" s="107" t="s">
        <v>427</v>
      </c>
      <c r="E1226" s="107" t="s">
        <v>428</v>
      </c>
      <c r="F1226" s="161">
        <v>45353</v>
      </c>
      <c r="G1226" s="107">
        <f t="shared" si="42"/>
        <v>5</v>
      </c>
    </row>
    <row r="1227" spans="1:7">
      <c r="A1227" s="107">
        <v>25</v>
      </c>
      <c r="B1227" s="107">
        <v>6</v>
      </c>
      <c r="C1227" s="107">
        <v>8</v>
      </c>
      <c r="D1227" s="107" t="s">
        <v>427</v>
      </c>
      <c r="E1227" s="107" t="s">
        <v>428</v>
      </c>
      <c r="F1227" s="161">
        <v>45353</v>
      </c>
      <c r="G1227" s="107">
        <f t="shared" si="42"/>
        <v>5</v>
      </c>
    </row>
    <row r="1229" spans="1:7">
      <c r="A1229" s="107">
        <v>26</v>
      </c>
      <c r="B1229" s="107">
        <v>1</v>
      </c>
      <c r="C1229" s="107">
        <v>1</v>
      </c>
      <c r="D1229" s="107" t="s">
        <v>429</v>
      </c>
      <c r="E1229" s="107" t="s">
        <v>430</v>
      </c>
      <c r="F1229" s="161">
        <v>45353</v>
      </c>
      <c r="G1229" s="107">
        <f t="shared" ref="G1229:G1276" si="43">DATEDIF(G$2,F1229,"d")</f>
        <v>5</v>
      </c>
    </row>
    <row r="1230" spans="1:7">
      <c r="A1230" s="107">
        <v>26</v>
      </c>
      <c r="B1230" s="107">
        <v>1</v>
      </c>
      <c r="C1230" s="107">
        <v>2</v>
      </c>
      <c r="D1230" s="107" t="s">
        <v>429</v>
      </c>
      <c r="E1230" s="107" t="s">
        <v>430</v>
      </c>
      <c r="F1230" s="161">
        <v>45353</v>
      </c>
      <c r="G1230" s="107">
        <f t="shared" si="43"/>
        <v>5</v>
      </c>
    </row>
    <row r="1231" spans="1:7">
      <c r="A1231" s="107">
        <v>26</v>
      </c>
      <c r="B1231" s="107">
        <v>1</v>
      </c>
      <c r="C1231" s="107">
        <v>3</v>
      </c>
      <c r="D1231" s="107" t="s">
        <v>429</v>
      </c>
      <c r="E1231" s="107" t="s">
        <v>430</v>
      </c>
      <c r="F1231" s="161">
        <v>45353</v>
      </c>
      <c r="G1231" s="107">
        <f t="shared" si="43"/>
        <v>5</v>
      </c>
    </row>
    <row r="1232" spans="1:7">
      <c r="A1232" s="107">
        <v>26</v>
      </c>
      <c r="B1232" s="107">
        <v>1</v>
      </c>
      <c r="C1232" s="107">
        <v>4</v>
      </c>
      <c r="D1232" s="107" t="s">
        <v>429</v>
      </c>
      <c r="E1232" s="107" t="s">
        <v>430</v>
      </c>
      <c r="F1232" s="161">
        <v>45353</v>
      </c>
      <c r="G1232" s="107">
        <f t="shared" si="43"/>
        <v>5</v>
      </c>
    </row>
    <row r="1233" spans="1:7">
      <c r="A1233" s="107">
        <v>26</v>
      </c>
      <c r="B1233" s="107">
        <v>1</v>
      </c>
      <c r="C1233" s="107">
        <v>5</v>
      </c>
      <c r="D1233" s="107" t="s">
        <v>429</v>
      </c>
      <c r="E1233" s="107" t="s">
        <v>430</v>
      </c>
      <c r="F1233" s="161">
        <v>45353</v>
      </c>
      <c r="G1233" s="107">
        <f t="shared" si="43"/>
        <v>5</v>
      </c>
    </row>
    <row r="1234" spans="1:7">
      <c r="A1234" s="107">
        <v>26</v>
      </c>
      <c r="B1234" s="107">
        <v>1</v>
      </c>
      <c r="C1234" s="107">
        <v>6</v>
      </c>
      <c r="D1234" s="107" t="s">
        <v>429</v>
      </c>
      <c r="E1234" s="107" t="s">
        <v>430</v>
      </c>
      <c r="F1234" s="161">
        <v>45353</v>
      </c>
      <c r="G1234" s="107">
        <f t="shared" si="43"/>
        <v>5</v>
      </c>
    </row>
    <row r="1235" spans="1:7">
      <c r="A1235" s="107">
        <v>26</v>
      </c>
      <c r="B1235" s="107">
        <v>1</v>
      </c>
      <c r="C1235" s="107">
        <v>7</v>
      </c>
      <c r="D1235" s="107" t="s">
        <v>429</v>
      </c>
      <c r="E1235" s="107" t="s">
        <v>430</v>
      </c>
      <c r="F1235" s="161">
        <v>45353</v>
      </c>
      <c r="G1235" s="107">
        <f t="shared" si="43"/>
        <v>5</v>
      </c>
    </row>
    <row r="1236" spans="1:7">
      <c r="A1236" s="107">
        <v>26</v>
      </c>
      <c r="B1236" s="107">
        <v>1</v>
      </c>
      <c r="C1236" s="107">
        <v>8</v>
      </c>
      <c r="D1236" s="107" t="s">
        <v>429</v>
      </c>
      <c r="E1236" s="107" t="s">
        <v>430</v>
      </c>
      <c r="F1236" s="161">
        <v>45354</v>
      </c>
      <c r="G1236" s="107">
        <f t="shared" si="43"/>
        <v>6</v>
      </c>
    </row>
    <row r="1237" spans="1:7">
      <c r="A1237" s="107">
        <v>26</v>
      </c>
      <c r="B1237" s="107">
        <v>2</v>
      </c>
      <c r="C1237" s="107">
        <v>1</v>
      </c>
      <c r="D1237" s="107" t="s">
        <v>431</v>
      </c>
      <c r="E1237" s="107" t="s">
        <v>432</v>
      </c>
      <c r="F1237" s="161">
        <v>45353</v>
      </c>
      <c r="G1237" s="107">
        <f t="shared" si="43"/>
        <v>5</v>
      </c>
    </row>
    <row r="1238" spans="1:7">
      <c r="A1238" s="107">
        <v>26</v>
      </c>
      <c r="B1238" s="107">
        <v>2</v>
      </c>
      <c r="C1238" s="107">
        <v>2</v>
      </c>
      <c r="D1238" s="107" t="s">
        <v>431</v>
      </c>
      <c r="E1238" s="107" t="s">
        <v>432</v>
      </c>
      <c r="F1238" s="161">
        <v>45354</v>
      </c>
      <c r="G1238" s="107">
        <f t="shared" si="43"/>
        <v>6</v>
      </c>
    </row>
    <row r="1239" spans="1:7">
      <c r="A1239" s="107">
        <v>26</v>
      </c>
      <c r="B1239" s="107">
        <v>2</v>
      </c>
      <c r="C1239" s="107">
        <v>3</v>
      </c>
      <c r="D1239" s="107" t="s">
        <v>431</v>
      </c>
      <c r="E1239" s="107" t="s">
        <v>432</v>
      </c>
      <c r="F1239" s="161">
        <v>45353</v>
      </c>
      <c r="G1239" s="107">
        <f t="shared" si="43"/>
        <v>5</v>
      </c>
    </row>
    <row r="1240" spans="1:7">
      <c r="A1240" s="107">
        <v>26</v>
      </c>
      <c r="B1240" s="107">
        <v>2</v>
      </c>
      <c r="C1240" s="107">
        <v>4</v>
      </c>
      <c r="D1240" s="107" t="s">
        <v>431</v>
      </c>
      <c r="E1240" s="107" t="s">
        <v>432</v>
      </c>
      <c r="F1240" s="161">
        <v>45354</v>
      </c>
      <c r="G1240" s="107">
        <f t="shared" si="43"/>
        <v>6</v>
      </c>
    </row>
    <row r="1241" spans="1:7">
      <c r="A1241" s="107">
        <v>26</v>
      </c>
      <c r="B1241" s="107">
        <v>2</v>
      </c>
      <c r="C1241" s="107">
        <v>5</v>
      </c>
      <c r="D1241" s="107" t="s">
        <v>431</v>
      </c>
      <c r="E1241" s="107" t="s">
        <v>432</v>
      </c>
      <c r="F1241" s="161">
        <v>45353</v>
      </c>
      <c r="G1241" s="107">
        <f t="shared" si="43"/>
        <v>5</v>
      </c>
    </row>
    <row r="1242" spans="1:7">
      <c r="A1242" s="107">
        <v>26</v>
      </c>
      <c r="B1242" s="107">
        <v>2</v>
      </c>
      <c r="C1242" s="107">
        <v>6</v>
      </c>
      <c r="D1242" s="107" t="s">
        <v>431</v>
      </c>
      <c r="E1242" s="107" t="s">
        <v>432</v>
      </c>
      <c r="F1242" s="161">
        <v>45353</v>
      </c>
      <c r="G1242" s="107">
        <f t="shared" si="43"/>
        <v>5</v>
      </c>
    </row>
    <row r="1243" spans="1:7">
      <c r="A1243" s="107">
        <v>26</v>
      </c>
      <c r="B1243" s="107">
        <v>2</v>
      </c>
      <c r="C1243" s="107">
        <v>7</v>
      </c>
      <c r="D1243" s="107" t="s">
        <v>431</v>
      </c>
      <c r="E1243" s="107" t="s">
        <v>432</v>
      </c>
      <c r="F1243" s="161">
        <v>45353</v>
      </c>
      <c r="G1243" s="107">
        <f t="shared" si="43"/>
        <v>5</v>
      </c>
    </row>
    <row r="1244" spans="1:7">
      <c r="A1244" s="107">
        <v>26</v>
      </c>
      <c r="B1244" s="107">
        <v>2</v>
      </c>
      <c r="C1244" s="107">
        <v>8</v>
      </c>
      <c r="D1244" s="107" t="s">
        <v>431</v>
      </c>
      <c r="E1244" s="107" t="s">
        <v>432</v>
      </c>
      <c r="F1244" s="161">
        <v>45353</v>
      </c>
      <c r="G1244" s="107">
        <f t="shared" si="43"/>
        <v>5</v>
      </c>
    </row>
    <row r="1245" spans="1:7">
      <c r="A1245" s="107">
        <v>26</v>
      </c>
      <c r="B1245" s="107">
        <v>3</v>
      </c>
      <c r="C1245" s="107">
        <v>1</v>
      </c>
      <c r="D1245" s="107" t="s">
        <v>433</v>
      </c>
      <c r="E1245" s="107" t="s">
        <v>434</v>
      </c>
      <c r="F1245" s="161">
        <v>45353</v>
      </c>
      <c r="G1245" s="107">
        <f t="shared" si="43"/>
        <v>5</v>
      </c>
    </row>
    <row r="1246" spans="1:7">
      <c r="A1246" s="107">
        <v>26</v>
      </c>
      <c r="B1246" s="107">
        <v>3</v>
      </c>
      <c r="C1246" s="107">
        <v>2</v>
      </c>
      <c r="D1246" s="107" t="s">
        <v>433</v>
      </c>
      <c r="E1246" s="107" t="s">
        <v>434</v>
      </c>
      <c r="F1246" s="161">
        <v>45353</v>
      </c>
      <c r="G1246" s="107">
        <f t="shared" si="43"/>
        <v>5</v>
      </c>
    </row>
    <row r="1247" spans="1:7">
      <c r="A1247" s="107">
        <v>26</v>
      </c>
      <c r="B1247" s="107">
        <v>3</v>
      </c>
      <c r="C1247" s="107">
        <v>3</v>
      </c>
      <c r="D1247" s="107" t="s">
        <v>433</v>
      </c>
      <c r="E1247" s="107" t="s">
        <v>434</v>
      </c>
      <c r="F1247" s="161">
        <v>45353</v>
      </c>
      <c r="G1247" s="107">
        <f t="shared" si="43"/>
        <v>5</v>
      </c>
    </row>
    <row r="1248" spans="1:7">
      <c r="A1248" s="107">
        <v>26</v>
      </c>
      <c r="B1248" s="107">
        <v>3</v>
      </c>
      <c r="C1248" s="107">
        <v>4</v>
      </c>
      <c r="D1248" s="107" t="s">
        <v>433</v>
      </c>
      <c r="E1248" s="107" t="s">
        <v>434</v>
      </c>
      <c r="F1248" s="161">
        <v>45353</v>
      </c>
      <c r="G1248" s="107">
        <f t="shared" si="43"/>
        <v>5</v>
      </c>
    </row>
    <row r="1249" spans="1:7">
      <c r="A1249" s="107">
        <v>26</v>
      </c>
      <c r="B1249" s="107">
        <v>3</v>
      </c>
      <c r="C1249" s="107">
        <v>5</v>
      </c>
      <c r="D1249" s="107" t="s">
        <v>433</v>
      </c>
      <c r="E1249" s="107" t="s">
        <v>434</v>
      </c>
      <c r="F1249" s="161">
        <v>45353</v>
      </c>
      <c r="G1249" s="107">
        <f t="shared" si="43"/>
        <v>5</v>
      </c>
    </row>
    <row r="1250" spans="1:7">
      <c r="A1250" s="107">
        <v>26</v>
      </c>
      <c r="B1250" s="107">
        <v>3</v>
      </c>
      <c r="C1250" s="107">
        <v>6</v>
      </c>
      <c r="D1250" s="107" t="s">
        <v>433</v>
      </c>
      <c r="E1250" s="107" t="s">
        <v>434</v>
      </c>
      <c r="F1250" s="161">
        <v>45353</v>
      </c>
      <c r="G1250" s="107">
        <f t="shared" si="43"/>
        <v>5</v>
      </c>
    </row>
    <row r="1251" spans="1:7">
      <c r="A1251" s="107">
        <v>26</v>
      </c>
      <c r="B1251" s="107">
        <v>3</v>
      </c>
      <c r="C1251" s="107">
        <v>7</v>
      </c>
      <c r="D1251" s="107" t="s">
        <v>433</v>
      </c>
      <c r="E1251" s="107" t="s">
        <v>434</v>
      </c>
      <c r="F1251" s="161">
        <v>45353</v>
      </c>
      <c r="G1251" s="107">
        <f t="shared" si="43"/>
        <v>5</v>
      </c>
    </row>
    <row r="1252" spans="1:7">
      <c r="A1252" s="107">
        <v>26</v>
      </c>
      <c r="B1252" s="107">
        <v>3</v>
      </c>
      <c r="C1252" s="107">
        <v>8</v>
      </c>
      <c r="D1252" s="107" t="s">
        <v>433</v>
      </c>
      <c r="E1252" s="107" t="s">
        <v>434</v>
      </c>
      <c r="F1252" s="161">
        <v>45353</v>
      </c>
      <c r="G1252" s="107">
        <f t="shared" si="43"/>
        <v>5</v>
      </c>
    </row>
    <row r="1253" spans="1:7">
      <c r="A1253" s="107">
        <v>26</v>
      </c>
      <c r="B1253" s="107">
        <v>4</v>
      </c>
      <c r="C1253" s="107">
        <v>1</v>
      </c>
      <c r="D1253" s="107" t="s">
        <v>435</v>
      </c>
      <c r="E1253" s="107" t="s">
        <v>436</v>
      </c>
      <c r="F1253" s="161">
        <v>45353</v>
      </c>
      <c r="G1253" s="107">
        <f t="shared" si="43"/>
        <v>5</v>
      </c>
    </row>
    <row r="1254" spans="1:7">
      <c r="A1254" s="107">
        <v>26</v>
      </c>
      <c r="B1254" s="107">
        <v>4</v>
      </c>
      <c r="C1254" s="107">
        <v>2</v>
      </c>
      <c r="D1254" s="107" t="s">
        <v>435</v>
      </c>
      <c r="E1254" s="107" t="s">
        <v>436</v>
      </c>
      <c r="F1254" s="161">
        <v>45353</v>
      </c>
      <c r="G1254" s="107">
        <f t="shared" si="43"/>
        <v>5</v>
      </c>
    </row>
    <row r="1255" spans="1:7">
      <c r="A1255" s="107">
        <v>26</v>
      </c>
      <c r="B1255" s="107">
        <v>4</v>
      </c>
      <c r="C1255" s="107">
        <v>3</v>
      </c>
      <c r="D1255" s="107" t="s">
        <v>435</v>
      </c>
      <c r="E1255" s="107" t="s">
        <v>436</v>
      </c>
      <c r="F1255" s="161">
        <v>45353</v>
      </c>
      <c r="G1255" s="107">
        <f t="shared" si="43"/>
        <v>5</v>
      </c>
    </row>
    <row r="1256" spans="1:7">
      <c r="A1256" s="107">
        <v>26</v>
      </c>
      <c r="B1256" s="107">
        <v>4</v>
      </c>
      <c r="C1256" s="107">
        <v>4</v>
      </c>
      <c r="D1256" s="107" t="s">
        <v>435</v>
      </c>
      <c r="E1256" s="107" t="s">
        <v>436</v>
      </c>
      <c r="F1256" s="161">
        <v>45353</v>
      </c>
      <c r="G1256" s="107">
        <f t="shared" si="43"/>
        <v>5</v>
      </c>
    </row>
    <row r="1257" spans="1:7">
      <c r="A1257" s="107">
        <v>26</v>
      </c>
      <c r="B1257" s="107">
        <v>4</v>
      </c>
      <c r="C1257" s="107">
        <v>5</v>
      </c>
      <c r="D1257" s="107" t="s">
        <v>435</v>
      </c>
      <c r="E1257" s="107" t="s">
        <v>436</v>
      </c>
      <c r="F1257" s="161">
        <v>45353</v>
      </c>
      <c r="G1257" s="107">
        <f t="shared" si="43"/>
        <v>5</v>
      </c>
    </row>
    <row r="1258" spans="1:7">
      <c r="A1258" s="107">
        <v>26</v>
      </c>
      <c r="B1258" s="107">
        <v>4</v>
      </c>
      <c r="C1258" s="107">
        <v>6</v>
      </c>
      <c r="D1258" s="107" t="s">
        <v>435</v>
      </c>
      <c r="E1258" s="107" t="s">
        <v>436</v>
      </c>
      <c r="F1258" s="161">
        <v>45353</v>
      </c>
      <c r="G1258" s="107">
        <f t="shared" si="43"/>
        <v>5</v>
      </c>
    </row>
    <row r="1259" spans="1:7">
      <c r="A1259" s="107">
        <v>26</v>
      </c>
      <c r="B1259" s="107">
        <v>4</v>
      </c>
      <c r="C1259" s="107">
        <v>7</v>
      </c>
      <c r="D1259" s="107" t="s">
        <v>435</v>
      </c>
      <c r="E1259" s="107" t="s">
        <v>436</v>
      </c>
      <c r="F1259" s="161">
        <v>45353</v>
      </c>
      <c r="G1259" s="107">
        <f t="shared" si="43"/>
        <v>5</v>
      </c>
    </row>
    <row r="1260" spans="1:7">
      <c r="A1260" s="107">
        <v>26</v>
      </c>
      <c r="B1260" s="107">
        <v>4</v>
      </c>
      <c r="C1260" s="107">
        <v>8</v>
      </c>
      <c r="D1260" s="107" t="s">
        <v>435</v>
      </c>
      <c r="E1260" s="107" t="s">
        <v>436</v>
      </c>
      <c r="F1260" s="161">
        <v>45353</v>
      </c>
      <c r="G1260" s="107">
        <f t="shared" si="43"/>
        <v>5</v>
      </c>
    </row>
    <row r="1261" spans="1:7">
      <c r="A1261" s="107">
        <v>26</v>
      </c>
      <c r="B1261" s="107">
        <v>5</v>
      </c>
      <c r="C1261" s="107">
        <v>1</v>
      </c>
      <c r="D1261" s="107" t="s">
        <v>437</v>
      </c>
      <c r="E1261" s="107" t="s">
        <v>438</v>
      </c>
      <c r="F1261" s="161">
        <v>45353</v>
      </c>
      <c r="G1261" s="107">
        <f t="shared" si="43"/>
        <v>5</v>
      </c>
    </row>
    <row r="1262" spans="1:7">
      <c r="A1262" s="107">
        <v>26</v>
      </c>
      <c r="B1262" s="107">
        <v>5</v>
      </c>
      <c r="C1262" s="107">
        <v>2</v>
      </c>
      <c r="D1262" s="107" t="s">
        <v>437</v>
      </c>
      <c r="E1262" s="107" t="s">
        <v>438</v>
      </c>
      <c r="F1262" s="161">
        <v>45353</v>
      </c>
      <c r="G1262" s="107">
        <f t="shared" si="43"/>
        <v>5</v>
      </c>
    </row>
    <row r="1263" spans="1:7">
      <c r="A1263" s="107">
        <v>26</v>
      </c>
      <c r="B1263" s="107">
        <v>5</v>
      </c>
      <c r="C1263" s="107">
        <v>3</v>
      </c>
      <c r="D1263" s="107" t="s">
        <v>437</v>
      </c>
      <c r="E1263" s="107" t="s">
        <v>438</v>
      </c>
      <c r="F1263" s="161">
        <v>45353</v>
      </c>
      <c r="G1263" s="107">
        <f t="shared" si="43"/>
        <v>5</v>
      </c>
    </row>
    <row r="1264" spans="1:7">
      <c r="A1264" s="107">
        <v>26</v>
      </c>
      <c r="B1264" s="107">
        <v>5</v>
      </c>
      <c r="C1264" s="107">
        <v>4</v>
      </c>
      <c r="D1264" s="107" t="s">
        <v>437</v>
      </c>
      <c r="E1264" s="107" t="s">
        <v>438</v>
      </c>
      <c r="F1264" s="161">
        <v>45353</v>
      </c>
      <c r="G1264" s="107">
        <f t="shared" si="43"/>
        <v>5</v>
      </c>
    </row>
    <row r="1265" spans="1:7">
      <c r="A1265" s="107">
        <v>26</v>
      </c>
      <c r="B1265" s="107">
        <v>5</v>
      </c>
      <c r="C1265" s="107">
        <v>5</v>
      </c>
      <c r="D1265" s="107" t="s">
        <v>437</v>
      </c>
      <c r="E1265" s="107" t="s">
        <v>438</v>
      </c>
      <c r="F1265" s="161">
        <v>45353</v>
      </c>
      <c r="G1265" s="107">
        <f t="shared" si="43"/>
        <v>5</v>
      </c>
    </row>
    <row r="1266" spans="1:7">
      <c r="A1266" s="107">
        <v>26</v>
      </c>
      <c r="B1266" s="107">
        <v>5</v>
      </c>
      <c r="C1266" s="107">
        <v>6</v>
      </c>
      <c r="D1266" s="107" t="s">
        <v>437</v>
      </c>
      <c r="E1266" s="107" t="s">
        <v>438</v>
      </c>
      <c r="F1266" s="161">
        <v>45353</v>
      </c>
      <c r="G1266" s="107">
        <f t="shared" si="43"/>
        <v>5</v>
      </c>
    </row>
    <row r="1267" spans="1:7">
      <c r="A1267" s="107">
        <v>26</v>
      </c>
      <c r="B1267" s="107">
        <v>5</v>
      </c>
      <c r="C1267" s="107">
        <v>7</v>
      </c>
      <c r="D1267" s="107" t="s">
        <v>437</v>
      </c>
      <c r="E1267" s="107" t="s">
        <v>438</v>
      </c>
      <c r="F1267" s="161">
        <v>45353</v>
      </c>
      <c r="G1267" s="107">
        <f t="shared" si="43"/>
        <v>5</v>
      </c>
    </row>
    <row r="1268" spans="1:7">
      <c r="A1268" s="107">
        <v>26</v>
      </c>
      <c r="B1268" s="107">
        <v>5</v>
      </c>
      <c r="C1268" s="107">
        <v>8</v>
      </c>
      <c r="D1268" s="107" t="s">
        <v>437</v>
      </c>
      <c r="E1268" s="107" t="s">
        <v>438</v>
      </c>
      <c r="F1268" s="161">
        <v>45353</v>
      </c>
      <c r="G1268" s="107">
        <f t="shared" si="43"/>
        <v>5</v>
      </c>
    </row>
    <row r="1269" spans="1:7">
      <c r="A1269" s="107">
        <v>26</v>
      </c>
      <c r="B1269" s="107">
        <v>6</v>
      </c>
      <c r="C1269" s="107">
        <v>1</v>
      </c>
      <c r="D1269" s="107" t="s">
        <v>439</v>
      </c>
      <c r="E1269" s="107" t="s">
        <v>440</v>
      </c>
      <c r="F1269" s="161">
        <v>45353</v>
      </c>
      <c r="G1269" s="107">
        <f t="shared" si="43"/>
        <v>5</v>
      </c>
    </row>
    <row r="1270" spans="1:7">
      <c r="A1270" s="107">
        <v>26</v>
      </c>
      <c r="B1270" s="107">
        <v>6</v>
      </c>
      <c r="C1270" s="107">
        <v>2</v>
      </c>
      <c r="D1270" s="107" t="s">
        <v>439</v>
      </c>
      <c r="E1270" s="107" t="s">
        <v>440</v>
      </c>
      <c r="F1270" s="161">
        <v>45353</v>
      </c>
      <c r="G1270" s="107">
        <f t="shared" si="43"/>
        <v>5</v>
      </c>
    </row>
    <row r="1271" spans="1:7">
      <c r="A1271" s="107">
        <v>26</v>
      </c>
      <c r="B1271" s="107">
        <v>6</v>
      </c>
      <c r="C1271" s="107">
        <v>3</v>
      </c>
      <c r="D1271" s="107" t="s">
        <v>439</v>
      </c>
      <c r="E1271" s="107" t="s">
        <v>440</v>
      </c>
      <c r="F1271" s="161">
        <v>45353</v>
      </c>
      <c r="G1271" s="107">
        <f t="shared" si="43"/>
        <v>5</v>
      </c>
    </row>
    <row r="1272" spans="1:7">
      <c r="A1272" s="107">
        <v>26</v>
      </c>
      <c r="B1272" s="107">
        <v>6</v>
      </c>
      <c r="C1272" s="107">
        <v>4</v>
      </c>
      <c r="D1272" s="107" t="s">
        <v>439</v>
      </c>
      <c r="E1272" s="107" t="s">
        <v>440</v>
      </c>
      <c r="F1272" s="161">
        <v>45353</v>
      </c>
      <c r="G1272" s="107">
        <f t="shared" si="43"/>
        <v>5</v>
      </c>
    </row>
    <row r="1273" spans="1:7">
      <c r="A1273" s="107">
        <v>26</v>
      </c>
      <c r="B1273" s="107">
        <v>6</v>
      </c>
      <c r="C1273" s="107">
        <v>5</v>
      </c>
      <c r="D1273" s="107" t="s">
        <v>439</v>
      </c>
      <c r="E1273" s="107" t="s">
        <v>440</v>
      </c>
      <c r="F1273" s="161">
        <v>45353</v>
      </c>
      <c r="G1273" s="107">
        <f t="shared" si="43"/>
        <v>5</v>
      </c>
    </row>
    <row r="1274" spans="1:7">
      <c r="A1274" s="107">
        <v>26</v>
      </c>
      <c r="B1274" s="107">
        <v>6</v>
      </c>
      <c r="C1274" s="107">
        <v>6</v>
      </c>
      <c r="D1274" s="107" t="s">
        <v>439</v>
      </c>
      <c r="E1274" s="107" t="s">
        <v>440</v>
      </c>
      <c r="F1274" s="161">
        <v>45353</v>
      </c>
      <c r="G1274" s="107">
        <f t="shared" si="43"/>
        <v>5</v>
      </c>
    </row>
    <row r="1275" spans="1:7">
      <c r="A1275" s="107">
        <v>26</v>
      </c>
      <c r="B1275" s="107">
        <v>6</v>
      </c>
      <c r="C1275" s="107">
        <v>7</v>
      </c>
      <c r="D1275" s="107" t="s">
        <v>439</v>
      </c>
      <c r="E1275" s="107" t="s">
        <v>440</v>
      </c>
      <c r="F1275" s="161">
        <v>45353</v>
      </c>
      <c r="G1275" s="107">
        <f t="shared" si="43"/>
        <v>5</v>
      </c>
    </row>
    <row r="1276" spans="1:7">
      <c r="A1276" s="107">
        <v>26</v>
      </c>
      <c r="B1276" s="107">
        <v>6</v>
      </c>
      <c r="C1276" s="107">
        <v>8</v>
      </c>
      <c r="D1276" s="107" t="s">
        <v>439</v>
      </c>
      <c r="E1276" s="107" t="s">
        <v>440</v>
      </c>
      <c r="F1276" s="161">
        <v>45353</v>
      </c>
      <c r="G1276" s="107">
        <f t="shared" si="43"/>
        <v>5</v>
      </c>
    </row>
    <row r="1278" spans="1:7">
      <c r="A1278" s="107">
        <v>27</v>
      </c>
      <c r="B1278" s="107">
        <v>1</v>
      </c>
      <c r="C1278" s="107">
        <v>1</v>
      </c>
      <c r="D1278" s="107" t="s">
        <v>441</v>
      </c>
      <c r="E1278" s="107" t="s">
        <v>442</v>
      </c>
      <c r="F1278" s="161">
        <v>45352</v>
      </c>
      <c r="G1278" s="107">
        <f>DATEDIF(G$2,F1278,"d")</f>
        <v>4</v>
      </c>
    </row>
    <row r="1279" spans="1:7">
      <c r="A1279" s="107">
        <v>27</v>
      </c>
      <c r="B1279" s="107">
        <v>1</v>
      </c>
      <c r="C1279" s="107">
        <v>2</v>
      </c>
      <c r="D1279" s="107" t="s">
        <v>441</v>
      </c>
      <c r="E1279" s="107" t="s">
        <v>442</v>
      </c>
      <c r="F1279" s="161">
        <v>45353</v>
      </c>
      <c r="G1279" s="107">
        <f>DATEDIF(G$2,F1279,"d")</f>
        <v>5</v>
      </c>
    </row>
    <row r="1280" spans="1:7">
      <c r="A1280" s="107">
        <v>27</v>
      </c>
      <c r="B1280" s="107">
        <v>1</v>
      </c>
      <c r="C1280" s="107">
        <v>3</v>
      </c>
      <c r="D1280" s="107" t="s">
        <v>441</v>
      </c>
      <c r="E1280" s="107" t="s">
        <v>442</v>
      </c>
      <c r="F1280" s="107"/>
      <c r="G1280" s="107"/>
    </row>
    <row r="1281" spans="1:7">
      <c r="A1281" s="107">
        <v>27</v>
      </c>
      <c r="B1281" s="107">
        <v>1</v>
      </c>
      <c r="C1281" s="107">
        <v>4</v>
      </c>
      <c r="D1281" s="107" t="s">
        <v>441</v>
      </c>
      <c r="E1281" s="107" t="s">
        <v>442</v>
      </c>
      <c r="F1281" s="161">
        <v>45353</v>
      </c>
      <c r="G1281" s="107">
        <f t="shared" ref="G1281:G1325" si="44">DATEDIF(G$2,F1281,"d")</f>
        <v>5</v>
      </c>
    </row>
    <row r="1282" spans="1:7">
      <c r="A1282" s="107">
        <v>27</v>
      </c>
      <c r="B1282" s="107">
        <v>1</v>
      </c>
      <c r="C1282" s="107">
        <v>5</v>
      </c>
      <c r="D1282" s="107" t="s">
        <v>441</v>
      </c>
      <c r="E1282" s="107" t="s">
        <v>442</v>
      </c>
      <c r="F1282" s="161">
        <v>45353</v>
      </c>
      <c r="G1282" s="107">
        <f t="shared" si="44"/>
        <v>5</v>
      </c>
    </row>
    <row r="1283" spans="1:7">
      <c r="A1283" s="107">
        <v>27</v>
      </c>
      <c r="B1283" s="107">
        <v>1</v>
      </c>
      <c r="C1283" s="107">
        <v>6</v>
      </c>
      <c r="D1283" s="107" t="s">
        <v>441</v>
      </c>
      <c r="E1283" s="107" t="s">
        <v>442</v>
      </c>
      <c r="F1283" s="161">
        <v>45353</v>
      </c>
      <c r="G1283" s="107">
        <f t="shared" si="44"/>
        <v>5</v>
      </c>
    </row>
    <row r="1284" spans="1:7">
      <c r="A1284" s="107">
        <v>27</v>
      </c>
      <c r="B1284" s="107">
        <v>1</v>
      </c>
      <c r="C1284" s="107">
        <v>7</v>
      </c>
      <c r="D1284" s="107" t="s">
        <v>441</v>
      </c>
      <c r="E1284" s="107" t="s">
        <v>442</v>
      </c>
      <c r="F1284" s="161">
        <v>45353</v>
      </c>
      <c r="G1284" s="107">
        <f t="shared" si="44"/>
        <v>5</v>
      </c>
    </row>
    <row r="1285" spans="1:7">
      <c r="A1285" s="107">
        <v>27</v>
      </c>
      <c r="B1285" s="107">
        <v>1</v>
      </c>
      <c r="C1285" s="107">
        <v>8</v>
      </c>
      <c r="D1285" s="107" t="s">
        <v>441</v>
      </c>
      <c r="E1285" s="107" t="s">
        <v>442</v>
      </c>
      <c r="F1285" s="161">
        <v>45353</v>
      </c>
      <c r="G1285" s="107">
        <f t="shared" si="44"/>
        <v>5</v>
      </c>
    </row>
    <row r="1286" spans="1:7">
      <c r="A1286" s="107">
        <v>27</v>
      </c>
      <c r="B1286" s="107">
        <v>2</v>
      </c>
      <c r="C1286" s="107">
        <v>1</v>
      </c>
      <c r="D1286" s="107" t="s">
        <v>443</v>
      </c>
      <c r="E1286" s="107" t="s">
        <v>444</v>
      </c>
      <c r="F1286" s="161">
        <v>45353</v>
      </c>
      <c r="G1286" s="107">
        <f t="shared" si="44"/>
        <v>5</v>
      </c>
    </row>
    <row r="1287" spans="1:7">
      <c r="A1287" s="107">
        <v>27</v>
      </c>
      <c r="B1287" s="107">
        <v>2</v>
      </c>
      <c r="C1287" s="107">
        <v>2</v>
      </c>
      <c r="D1287" s="107" t="s">
        <v>443</v>
      </c>
      <c r="E1287" s="107" t="s">
        <v>444</v>
      </c>
      <c r="F1287" s="161">
        <v>45353</v>
      </c>
      <c r="G1287" s="107">
        <f t="shared" si="44"/>
        <v>5</v>
      </c>
    </row>
    <row r="1288" spans="1:7">
      <c r="A1288" s="107">
        <v>27</v>
      </c>
      <c r="B1288" s="107">
        <v>2</v>
      </c>
      <c r="C1288" s="107">
        <v>3</v>
      </c>
      <c r="D1288" s="107" t="s">
        <v>443</v>
      </c>
      <c r="E1288" s="107" t="s">
        <v>444</v>
      </c>
      <c r="F1288" s="161">
        <v>45353</v>
      </c>
      <c r="G1288" s="107">
        <f t="shared" si="44"/>
        <v>5</v>
      </c>
    </row>
    <row r="1289" spans="1:7">
      <c r="A1289" s="107">
        <v>27</v>
      </c>
      <c r="B1289" s="107">
        <v>2</v>
      </c>
      <c r="C1289" s="107">
        <v>4</v>
      </c>
      <c r="D1289" s="107" t="s">
        <v>443</v>
      </c>
      <c r="E1289" s="107" t="s">
        <v>444</v>
      </c>
      <c r="F1289" s="161">
        <v>45353</v>
      </c>
      <c r="G1289" s="107">
        <f t="shared" si="44"/>
        <v>5</v>
      </c>
    </row>
    <row r="1290" spans="1:7">
      <c r="A1290" s="107">
        <v>27</v>
      </c>
      <c r="B1290" s="107">
        <v>2</v>
      </c>
      <c r="C1290" s="107">
        <v>5</v>
      </c>
      <c r="D1290" s="107" t="s">
        <v>443</v>
      </c>
      <c r="E1290" s="107" t="s">
        <v>444</v>
      </c>
      <c r="F1290" s="161">
        <v>45353</v>
      </c>
      <c r="G1290" s="107">
        <f t="shared" si="44"/>
        <v>5</v>
      </c>
    </row>
    <row r="1291" spans="1:7">
      <c r="A1291" s="107">
        <v>27</v>
      </c>
      <c r="B1291" s="107">
        <v>2</v>
      </c>
      <c r="C1291" s="107">
        <v>6</v>
      </c>
      <c r="D1291" s="107" t="s">
        <v>443</v>
      </c>
      <c r="E1291" s="107" t="s">
        <v>444</v>
      </c>
      <c r="F1291" s="161">
        <v>45355</v>
      </c>
      <c r="G1291" s="107">
        <f t="shared" si="44"/>
        <v>7</v>
      </c>
    </row>
    <row r="1292" spans="1:7">
      <c r="A1292" s="107">
        <v>27</v>
      </c>
      <c r="B1292" s="107">
        <v>2</v>
      </c>
      <c r="C1292" s="107">
        <v>7</v>
      </c>
      <c r="D1292" s="107" t="s">
        <v>443</v>
      </c>
      <c r="E1292" s="107" t="s">
        <v>444</v>
      </c>
      <c r="F1292" s="161">
        <v>45353</v>
      </c>
      <c r="G1292" s="107">
        <f t="shared" si="44"/>
        <v>5</v>
      </c>
    </row>
    <row r="1293" spans="1:7">
      <c r="A1293" s="107">
        <v>27</v>
      </c>
      <c r="B1293" s="107">
        <v>2</v>
      </c>
      <c r="C1293" s="107">
        <v>8</v>
      </c>
      <c r="D1293" s="107" t="s">
        <v>443</v>
      </c>
      <c r="E1293" s="107" t="s">
        <v>444</v>
      </c>
      <c r="F1293" s="161">
        <v>45353</v>
      </c>
      <c r="G1293" s="107">
        <f t="shared" si="44"/>
        <v>5</v>
      </c>
    </row>
    <row r="1294" spans="1:7">
      <c r="A1294" s="107">
        <v>27</v>
      </c>
      <c r="B1294" s="107">
        <v>3</v>
      </c>
      <c r="C1294" s="107">
        <v>1</v>
      </c>
      <c r="D1294" s="107" t="s">
        <v>445</v>
      </c>
      <c r="E1294" s="107" t="s">
        <v>446</v>
      </c>
      <c r="F1294" s="161">
        <v>45353</v>
      </c>
      <c r="G1294" s="107">
        <f t="shared" si="44"/>
        <v>5</v>
      </c>
    </row>
    <row r="1295" spans="1:7">
      <c r="A1295" s="107">
        <v>27</v>
      </c>
      <c r="B1295" s="107">
        <v>3</v>
      </c>
      <c r="C1295" s="107">
        <v>2</v>
      </c>
      <c r="D1295" s="107" t="s">
        <v>445</v>
      </c>
      <c r="E1295" s="107" t="s">
        <v>446</v>
      </c>
      <c r="F1295" s="161">
        <v>45353</v>
      </c>
      <c r="G1295" s="107">
        <f t="shared" si="44"/>
        <v>5</v>
      </c>
    </row>
    <row r="1296" spans="1:7">
      <c r="A1296" s="107">
        <v>27</v>
      </c>
      <c r="B1296" s="107">
        <v>3</v>
      </c>
      <c r="C1296" s="107">
        <v>3</v>
      </c>
      <c r="D1296" s="107" t="s">
        <v>445</v>
      </c>
      <c r="E1296" s="107" t="s">
        <v>446</v>
      </c>
      <c r="F1296" s="161">
        <v>45353</v>
      </c>
      <c r="G1296" s="107">
        <f t="shared" si="44"/>
        <v>5</v>
      </c>
    </row>
    <row r="1297" spans="1:7">
      <c r="A1297" s="107">
        <v>27</v>
      </c>
      <c r="B1297" s="107">
        <v>3</v>
      </c>
      <c r="C1297" s="107">
        <v>4</v>
      </c>
      <c r="D1297" s="107" t="s">
        <v>445</v>
      </c>
      <c r="E1297" s="107" t="s">
        <v>446</v>
      </c>
      <c r="F1297" s="161">
        <v>45353</v>
      </c>
      <c r="G1297" s="107">
        <f t="shared" si="44"/>
        <v>5</v>
      </c>
    </row>
    <row r="1298" spans="1:7">
      <c r="A1298" s="107">
        <v>27</v>
      </c>
      <c r="B1298" s="107">
        <v>3</v>
      </c>
      <c r="C1298" s="107">
        <v>5</v>
      </c>
      <c r="D1298" s="107" t="s">
        <v>445</v>
      </c>
      <c r="E1298" s="107" t="s">
        <v>446</v>
      </c>
      <c r="F1298" s="161">
        <v>45353</v>
      </c>
      <c r="G1298" s="107">
        <f t="shared" si="44"/>
        <v>5</v>
      </c>
    </row>
    <row r="1299" spans="1:7">
      <c r="A1299" s="107">
        <v>27</v>
      </c>
      <c r="B1299" s="107">
        <v>3</v>
      </c>
      <c r="C1299" s="107">
        <v>6</v>
      </c>
      <c r="D1299" s="107" t="s">
        <v>445</v>
      </c>
      <c r="E1299" s="107" t="s">
        <v>446</v>
      </c>
      <c r="F1299" s="161">
        <v>45353</v>
      </c>
      <c r="G1299" s="107">
        <f t="shared" si="44"/>
        <v>5</v>
      </c>
    </row>
    <row r="1300" spans="1:7">
      <c r="A1300" s="107">
        <v>27</v>
      </c>
      <c r="B1300" s="107">
        <v>3</v>
      </c>
      <c r="C1300" s="107">
        <v>7</v>
      </c>
      <c r="D1300" s="107" t="s">
        <v>445</v>
      </c>
      <c r="E1300" s="107" t="s">
        <v>446</v>
      </c>
      <c r="F1300" s="161">
        <v>45353</v>
      </c>
      <c r="G1300" s="107">
        <f t="shared" si="44"/>
        <v>5</v>
      </c>
    </row>
    <row r="1301" spans="1:7">
      <c r="A1301" s="107">
        <v>27</v>
      </c>
      <c r="B1301" s="107">
        <v>3</v>
      </c>
      <c r="C1301" s="107">
        <v>8</v>
      </c>
      <c r="D1301" s="107" t="s">
        <v>445</v>
      </c>
      <c r="E1301" s="107" t="s">
        <v>446</v>
      </c>
      <c r="F1301" s="161">
        <v>45353</v>
      </c>
      <c r="G1301" s="107">
        <f t="shared" si="44"/>
        <v>5</v>
      </c>
    </row>
    <row r="1302" spans="1:7">
      <c r="A1302" s="107">
        <v>27</v>
      </c>
      <c r="B1302" s="107">
        <v>4</v>
      </c>
      <c r="C1302" s="107">
        <v>1</v>
      </c>
      <c r="D1302" s="107" t="s">
        <v>447</v>
      </c>
      <c r="E1302" s="107" t="s">
        <v>448</v>
      </c>
      <c r="F1302" s="161">
        <v>45353</v>
      </c>
      <c r="G1302" s="107">
        <f t="shared" si="44"/>
        <v>5</v>
      </c>
    </row>
    <row r="1303" spans="1:7">
      <c r="A1303" s="107">
        <v>27</v>
      </c>
      <c r="B1303" s="107">
        <v>4</v>
      </c>
      <c r="C1303" s="107">
        <v>2</v>
      </c>
      <c r="D1303" s="107" t="s">
        <v>447</v>
      </c>
      <c r="E1303" s="107" t="s">
        <v>448</v>
      </c>
      <c r="F1303" s="161">
        <v>45353</v>
      </c>
      <c r="G1303" s="107">
        <f t="shared" si="44"/>
        <v>5</v>
      </c>
    </row>
    <row r="1304" spans="1:7">
      <c r="A1304" s="107">
        <v>27</v>
      </c>
      <c r="B1304" s="107">
        <v>4</v>
      </c>
      <c r="C1304" s="107">
        <v>3</v>
      </c>
      <c r="D1304" s="107" t="s">
        <v>447</v>
      </c>
      <c r="E1304" s="107" t="s">
        <v>448</v>
      </c>
      <c r="F1304" s="161">
        <v>45353</v>
      </c>
      <c r="G1304" s="107">
        <f t="shared" si="44"/>
        <v>5</v>
      </c>
    </row>
    <row r="1305" spans="1:7">
      <c r="A1305" s="107">
        <v>27</v>
      </c>
      <c r="B1305" s="107">
        <v>4</v>
      </c>
      <c r="C1305" s="107">
        <v>4</v>
      </c>
      <c r="D1305" s="107" t="s">
        <v>447</v>
      </c>
      <c r="E1305" s="107" t="s">
        <v>448</v>
      </c>
      <c r="F1305" s="161">
        <v>45356</v>
      </c>
      <c r="G1305" s="107">
        <f t="shared" si="44"/>
        <v>8</v>
      </c>
    </row>
    <row r="1306" spans="1:7">
      <c r="A1306" s="107">
        <v>27</v>
      </c>
      <c r="B1306" s="107">
        <v>4</v>
      </c>
      <c r="C1306" s="107">
        <v>5</v>
      </c>
      <c r="D1306" s="107" t="s">
        <v>447</v>
      </c>
      <c r="E1306" s="107" t="s">
        <v>448</v>
      </c>
      <c r="F1306" s="161">
        <v>45353</v>
      </c>
      <c r="G1306" s="107">
        <f t="shared" si="44"/>
        <v>5</v>
      </c>
    </row>
    <row r="1307" spans="1:7">
      <c r="A1307" s="107">
        <v>27</v>
      </c>
      <c r="B1307" s="107">
        <v>4</v>
      </c>
      <c r="C1307" s="107">
        <v>6</v>
      </c>
      <c r="D1307" s="107" t="s">
        <v>447</v>
      </c>
      <c r="E1307" s="107" t="s">
        <v>448</v>
      </c>
      <c r="F1307" s="161">
        <v>45353</v>
      </c>
      <c r="G1307" s="107">
        <f t="shared" si="44"/>
        <v>5</v>
      </c>
    </row>
    <row r="1308" spans="1:7">
      <c r="A1308" s="107">
        <v>27</v>
      </c>
      <c r="B1308" s="107">
        <v>4</v>
      </c>
      <c r="C1308" s="107">
        <v>7</v>
      </c>
      <c r="D1308" s="107" t="s">
        <v>447</v>
      </c>
      <c r="E1308" s="107" t="s">
        <v>448</v>
      </c>
      <c r="F1308" s="161">
        <v>45353</v>
      </c>
      <c r="G1308" s="107">
        <f t="shared" si="44"/>
        <v>5</v>
      </c>
    </row>
    <row r="1309" spans="1:7">
      <c r="A1309" s="107">
        <v>27</v>
      </c>
      <c r="B1309" s="107">
        <v>4</v>
      </c>
      <c r="C1309" s="107">
        <v>8</v>
      </c>
      <c r="D1309" s="107" t="s">
        <v>447</v>
      </c>
      <c r="E1309" s="107" t="s">
        <v>448</v>
      </c>
      <c r="F1309" s="161">
        <v>45353</v>
      </c>
      <c r="G1309" s="107">
        <f t="shared" si="44"/>
        <v>5</v>
      </c>
    </row>
    <row r="1310" spans="1:7">
      <c r="A1310" s="107">
        <v>27</v>
      </c>
      <c r="B1310" s="107">
        <v>5</v>
      </c>
      <c r="C1310" s="107">
        <v>1</v>
      </c>
      <c r="D1310" s="107" t="s">
        <v>449</v>
      </c>
      <c r="E1310" s="107" t="s">
        <v>450</v>
      </c>
      <c r="F1310" s="161">
        <v>45353</v>
      </c>
      <c r="G1310" s="107">
        <f t="shared" si="44"/>
        <v>5</v>
      </c>
    </row>
    <row r="1311" spans="1:7">
      <c r="A1311" s="107">
        <v>27</v>
      </c>
      <c r="B1311" s="107">
        <v>5</v>
      </c>
      <c r="C1311" s="107">
        <v>2</v>
      </c>
      <c r="D1311" s="107" t="s">
        <v>449</v>
      </c>
      <c r="E1311" s="107" t="s">
        <v>450</v>
      </c>
      <c r="F1311" s="161">
        <v>45352</v>
      </c>
      <c r="G1311" s="107">
        <f t="shared" si="44"/>
        <v>4</v>
      </c>
    </row>
    <row r="1312" spans="1:7">
      <c r="A1312" s="107">
        <v>27</v>
      </c>
      <c r="B1312" s="107">
        <v>5</v>
      </c>
      <c r="C1312" s="107">
        <v>3</v>
      </c>
      <c r="D1312" s="107" t="s">
        <v>449</v>
      </c>
      <c r="E1312" s="107" t="s">
        <v>450</v>
      </c>
      <c r="F1312" s="161">
        <v>45353</v>
      </c>
      <c r="G1312" s="107">
        <f t="shared" si="44"/>
        <v>5</v>
      </c>
    </row>
    <row r="1313" spans="1:7">
      <c r="A1313" s="107">
        <v>27</v>
      </c>
      <c r="B1313" s="107">
        <v>5</v>
      </c>
      <c r="C1313" s="107">
        <v>4</v>
      </c>
      <c r="D1313" s="107" t="s">
        <v>449</v>
      </c>
      <c r="E1313" s="107" t="s">
        <v>450</v>
      </c>
      <c r="F1313" s="161">
        <v>45353</v>
      </c>
      <c r="G1313" s="107">
        <f t="shared" si="44"/>
        <v>5</v>
      </c>
    </row>
    <row r="1314" spans="1:7">
      <c r="A1314" s="107">
        <v>27</v>
      </c>
      <c r="B1314" s="107">
        <v>5</v>
      </c>
      <c r="C1314" s="107">
        <v>5</v>
      </c>
      <c r="D1314" s="107" t="s">
        <v>449</v>
      </c>
      <c r="E1314" s="107" t="s">
        <v>450</v>
      </c>
      <c r="F1314" s="161">
        <v>45353</v>
      </c>
      <c r="G1314" s="107">
        <f t="shared" si="44"/>
        <v>5</v>
      </c>
    </row>
    <row r="1315" spans="1:7">
      <c r="A1315" s="107">
        <v>27</v>
      </c>
      <c r="B1315" s="107">
        <v>5</v>
      </c>
      <c r="C1315" s="107">
        <v>6</v>
      </c>
      <c r="D1315" s="107" t="s">
        <v>449</v>
      </c>
      <c r="E1315" s="107" t="s">
        <v>450</v>
      </c>
      <c r="F1315" s="161">
        <v>45353</v>
      </c>
      <c r="G1315" s="107">
        <f t="shared" si="44"/>
        <v>5</v>
      </c>
    </row>
    <row r="1316" spans="1:7">
      <c r="A1316" s="107">
        <v>27</v>
      </c>
      <c r="B1316" s="107">
        <v>5</v>
      </c>
      <c r="C1316" s="107">
        <v>7</v>
      </c>
      <c r="D1316" s="107" t="s">
        <v>449</v>
      </c>
      <c r="E1316" s="107" t="s">
        <v>450</v>
      </c>
      <c r="F1316" s="161">
        <v>45353</v>
      </c>
      <c r="G1316" s="107">
        <f t="shared" si="44"/>
        <v>5</v>
      </c>
    </row>
    <row r="1317" spans="1:7">
      <c r="A1317" s="107">
        <v>27</v>
      </c>
      <c r="B1317" s="107">
        <v>5</v>
      </c>
      <c r="C1317" s="107">
        <v>8</v>
      </c>
      <c r="D1317" s="107" t="s">
        <v>449</v>
      </c>
      <c r="E1317" s="107" t="s">
        <v>450</v>
      </c>
      <c r="F1317" s="161">
        <v>45353</v>
      </c>
      <c r="G1317" s="107">
        <f t="shared" si="44"/>
        <v>5</v>
      </c>
    </row>
    <row r="1318" spans="1:7">
      <c r="A1318" s="107">
        <v>27</v>
      </c>
      <c r="B1318" s="107">
        <v>6</v>
      </c>
      <c r="C1318" s="107">
        <v>1</v>
      </c>
      <c r="D1318" s="107" t="s">
        <v>451</v>
      </c>
      <c r="E1318" s="107" t="s">
        <v>452</v>
      </c>
      <c r="F1318" s="161">
        <v>45353</v>
      </c>
      <c r="G1318" s="107">
        <f t="shared" si="44"/>
        <v>5</v>
      </c>
    </row>
    <row r="1319" spans="1:7">
      <c r="A1319" s="107">
        <v>27</v>
      </c>
      <c r="B1319" s="107">
        <v>6</v>
      </c>
      <c r="C1319" s="107">
        <v>2</v>
      </c>
      <c r="D1319" s="107" t="s">
        <v>451</v>
      </c>
      <c r="E1319" s="107" t="s">
        <v>452</v>
      </c>
      <c r="F1319" s="161">
        <v>45353</v>
      </c>
      <c r="G1319" s="107">
        <f t="shared" si="44"/>
        <v>5</v>
      </c>
    </row>
    <row r="1320" spans="1:7">
      <c r="A1320" s="107">
        <v>27</v>
      </c>
      <c r="B1320" s="107">
        <v>6</v>
      </c>
      <c r="C1320" s="107">
        <v>3</v>
      </c>
      <c r="D1320" s="107" t="s">
        <v>451</v>
      </c>
      <c r="E1320" s="107" t="s">
        <v>452</v>
      </c>
      <c r="F1320" s="161">
        <v>45353</v>
      </c>
      <c r="G1320" s="107">
        <f t="shared" si="44"/>
        <v>5</v>
      </c>
    </row>
    <row r="1321" spans="1:7">
      <c r="A1321" s="107">
        <v>27</v>
      </c>
      <c r="B1321" s="107">
        <v>6</v>
      </c>
      <c r="C1321" s="107">
        <v>4</v>
      </c>
      <c r="D1321" s="107" t="s">
        <v>451</v>
      </c>
      <c r="E1321" s="107" t="s">
        <v>452</v>
      </c>
      <c r="F1321" s="161">
        <v>45353</v>
      </c>
      <c r="G1321" s="107">
        <f t="shared" si="44"/>
        <v>5</v>
      </c>
    </row>
    <row r="1322" spans="1:7">
      <c r="A1322" s="107">
        <v>27</v>
      </c>
      <c r="B1322" s="107">
        <v>6</v>
      </c>
      <c r="C1322" s="107">
        <v>5</v>
      </c>
      <c r="D1322" s="107" t="s">
        <v>451</v>
      </c>
      <c r="E1322" s="107" t="s">
        <v>452</v>
      </c>
      <c r="F1322" s="161">
        <v>45353</v>
      </c>
      <c r="G1322" s="107">
        <f t="shared" si="44"/>
        <v>5</v>
      </c>
    </row>
    <row r="1323" spans="1:7">
      <c r="A1323" s="107">
        <v>27</v>
      </c>
      <c r="B1323" s="107">
        <v>6</v>
      </c>
      <c r="C1323" s="107">
        <v>6</v>
      </c>
      <c r="D1323" s="107" t="s">
        <v>451</v>
      </c>
      <c r="E1323" s="107" t="s">
        <v>452</v>
      </c>
      <c r="F1323" s="161">
        <v>45353</v>
      </c>
      <c r="G1323" s="107">
        <f t="shared" si="44"/>
        <v>5</v>
      </c>
    </row>
    <row r="1324" spans="1:7">
      <c r="A1324" s="107">
        <v>27</v>
      </c>
      <c r="B1324" s="107">
        <v>6</v>
      </c>
      <c r="C1324" s="107">
        <v>7</v>
      </c>
      <c r="D1324" s="107" t="s">
        <v>451</v>
      </c>
      <c r="E1324" s="107" t="s">
        <v>452</v>
      </c>
      <c r="F1324" s="161">
        <v>45353</v>
      </c>
      <c r="G1324" s="107">
        <f t="shared" si="44"/>
        <v>5</v>
      </c>
    </row>
    <row r="1325" spans="1:7">
      <c r="A1325" s="107">
        <v>27</v>
      </c>
      <c r="B1325" s="107">
        <v>6</v>
      </c>
      <c r="C1325" s="107">
        <v>8</v>
      </c>
      <c r="D1325" s="159" t="s">
        <v>451</v>
      </c>
      <c r="E1325" s="159" t="s">
        <v>452</v>
      </c>
      <c r="F1325" s="171">
        <v>45353</v>
      </c>
      <c r="G1325" s="107">
        <f t="shared" si="44"/>
        <v>5</v>
      </c>
    </row>
    <row r="1326" spans="1:7">
      <c r="D1326" s="139"/>
      <c r="E1326" s="139"/>
      <c r="F1326" s="139"/>
      <c r="G1326" s="139"/>
    </row>
    <row r="1327" spans="1:7">
      <c r="A1327" s="107">
        <v>28</v>
      </c>
      <c r="B1327" s="107">
        <v>1</v>
      </c>
      <c r="C1327" s="107">
        <v>1</v>
      </c>
      <c r="D1327" s="170" t="s">
        <v>453</v>
      </c>
      <c r="E1327" s="170" t="s">
        <v>454</v>
      </c>
      <c r="F1327" s="100">
        <v>45352</v>
      </c>
      <c r="G1327" s="107">
        <f t="shared" ref="G1327:G1374" si="45">DATEDIF(G$2,F1327,"d")</f>
        <v>4</v>
      </c>
    </row>
    <row r="1328" spans="1:7">
      <c r="A1328" s="107">
        <v>28</v>
      </c>
      <c r="B1328" s="107">
        <v>1</v>
      </c>
      <c r="C1328" s="107">
        <v>2</v>
      </c>
      <c r="D1328" s="107" t="s">
        <v>453</v>
      </c>
      <c r="E1328" s="107" t="s">
        <v>454</v>
      </c>
      <c r="F1328" s="161">
        <v>45352</v>
      </c>
      <c r="G1328" s="107">
        <f t="shared" si="45"/>
        <v>4</v>
      </c>
    </row>
    <row r="1329" spans="1:7">
      <c r="A1329" s="107">
        <v>28</v>
      </c>
      <c r="B1329" s="107">
        <v>1</v>
      </c>
      <c r="C1329" s="107">
        <v>3</v>
      </c>
      <c r="D1329" s="107" t="s">
        <v>453</v>
      </c>
      <c r="E1329" s="107" t="s">
        <v>454</v>
      </c>
      <c r="F1329" s="161">
        <v>45352</v>
      </c>
      <c r="G1329" s="107">
        <f t="shared" si="45"/>
        <v>4</v>
      </c>
    </row>
    <row r="1330" spans="1:7">
      <c r="A1330" s="107">
        <v>28</v>
      </c>
      <c r="B1330" s="107">
        <v>1</v>
      </c>
      <c r="C1330" s="107">
        <v>4</v>
      </c>
      <c r="D1330" s="107" t="s">
        <v>453</v>
      </c>
      <c r="E1330" s="107" t="s">
        <v>454</v>
      </c>
      <c r="F1330" s="161">
        <v>45353</v>
      </c>
      <c r="G1330" s="107">
        <f t="shared" si="45"/>
        <v>5</v>
      </c>
    </row>
    <row r="1331" spans="1:7">
      <c r="A1331" s="107">
        <v>28</v>
      </c>
      <c r="B1331" s="107">
        <v>1</v>
      </c>
      <c r="C1331" s="107">
        <v>5</v>
      </c>
      <c r="D1331" s="107" t="s">
        <v>453</v>
      </c>
      <c r="E1331" s="107" t="s">
        <v>454</v>
      </c>
      <c r="F1331" s="161">
        <v>45353</v>
      </c>
      <c r="G1331" s="107">
        <f t="shared" si="45"/>
        <v>5</v>
      </c>
    </row>
    <row r="1332" spans="1:7">
      <c r="A1332" s="107">
        <v>28</v>
      </c>
      <c r="B1332" s="107">
        <v>1</v>
      </c>
      <c r="C1332" s="107">
        <v>6</v>
      </c>
      <c r="D1332" s="107" t="s">
        <v>453</v>
      </c>
      <c r="E1332" s="107" t="s">
        <v>454</v>
      </c>
      <c r="F1332" s="161">
        <v>45353</v>
      </c>
      <c r="G1332" s="107">
        <f t="shared" si="45"/>
        <v>5</v>
      </c>
    </row>
    <row r="1333" spans="1:7">
      <c r="A1333" s="107">
        <v>28</v>
      </c>
      <c r="B1333" s="107">
        <v>1</v>
      </c>
      <c r="C1333" s="107">
        <v>7</v>
      </c>
      <c r="D1333" s="107" t="s">
        <v>453</v>
      </c>
      <c r="E1333" s="107" t="s">
        <v>454</v>
      </c>
      <c r="F1333" s="161">
        <v>45352</v>
      </c>
      <c r="G1333" s="107">
        <f t="shared" si="45"/>
        <v>4</v>
      </c>
    </row>
    <row r="1334" spans="1:7">
      <c r="A1334" s="107">
        <v>28</v>
      </c>
      <c r="B1334" s="107">
        <v>1</v>
      </c>
      <c r="C1334" s="107">
        <v>8</v>
      </c>
      <c r="D1334" s="107" t="s">
        <v>453</v>
      </c>
      <c r="E1334" s="107" t="s">
        <v>454</v>
      </c>
      <c r="F1334" s="161">
        <v>45353</v>
      </c>
      <c r="G1334" s="107">
        <f t="shared" si="45"/>
        <v>5</v>
      </c>
    </row>
    <row r="1335" spans="1:7">
      <c r="A1335" s="107">
        <v>28</v>
      </c>
      <c r="B1335" s="107">
        <v>2</v>
      </c>
      <c r="C1335" s="107">
        <v>1</v>
      </c>
      <c r="D1335" s="107" t="s">
        <v>455</v>
      </c>
      <c r="E1335" s="107" t="s">
        <v>456</v>
      </c>
      <c r="F1335" s="161">
        <v>45353</v>
      </c>
      <c r="G1335" s="107">
        <f t="shared" si="45"/>
        <v>5</v>
      </c>
    </row>
    <row r="1336" spans="1:7">
      <c r="A1336" s="107">
        <v>28</v>
      </c>
      <c r="B1336" s="107">
        <v>2</v>
      </c>
      <c r="C1336" s="107">
        <v>2</v>
      </c>
      <c r="D1336" s="107" t="s">
        <v>455</v>
      </c>
      <c r="E1336" s="107" t="s">
        <v>456</v>
      </c>
      <c r="F1336" s="161">
        <v>45352</v>
      </c>
      <c r="G1336" s="107">
        <f t="shared" si="45"/>
        <v>4</v>
      </c>
    </row>
    <row r="1337" spans="1:7">
      <c r="A1337" s="107">
        <v>28</v>
      </c>
      <c r="B1337" s="107">
        <v>2</v>
      </c>
      <c r="C1337" s="107">
        <v>3</v>
      </c>
      <c r="D1337" s="107" t="s">
        <v>455</v>
      </c>
      <c r="E1337" s="107" t="s">
        <v>456</v>
      </c>
      <c r="F1337" s="161">
        <v>45353</v>
      </c>
      <c r="G1337" s="107">
        <f t="shared" si="45"/>
        <v>5</v>
      </c>
    </row>
    <row r="1338" spans="1:7">
      <c r="A1338" s="107">
        <v>28</v>
      </c>
      <c r="B1338" s="107">
        <v>2</v>
      </c>
      <c r="C1338" s="107">
        <v>4</v>
      </c>
      <c r="D1338" s="107" t="s">
        <v>455</v>
      </c>
      <c r="E1338" s="107" t="s">
        <v>456</v>
      </c>
      <c r="F1338" s="161">
        <v>45353</v>
      </c>
      <c r="G1338" s="107">
        <f t="shared" si="45"/>
        <v>5</v>
      </c>
    </row>
    <row r="1339" spans="1:7">
      <c r="A1339" s="107">
        <v>28</v>
      </c>
      <c r="B1339" s="107">
        <v>2</v>
      </c>
      <c r="C1339" s="107">
        <v>5</v>
      </c>
      <c r="D1339" s="107" t="s">
        <v>455</v>
      </c>
      <c r="E1339" s="107" t="s">
        <v>456</v>
      </c>
      <c r="F1339" s="161">
        <v>45353</v>
      </c>
      <c r="G1339" s="107">
        <f t="shared" si="45"/>
        <v>5</v>
      </c>
    </row>
    <row r="1340" spans="1:7">
      <c r="A1340" s="107">
        <v>28</v>
      </c>
      <c r="B1340" s="107">
        <v>2</v>
      </c>
      <c r="C1340" s="107">
        <v>6</v>
      </c>
      <c r="D1340" s="107" t="s">
        <v>455</v>
      </c>
      <c r="E1340" s="107" t="s">
        <v>456</v>
      </c>
      <c r="F1340" s="161">
        <v>45353</v>
      </c>
      <c r="G1340" s="107">
        <f t="shared" si="45"/>
        <v>5</v>
      </c>
    </row>
    <row r="1341" spans="1:7">
      <c r="A1341" s="107">
        <v>28</v>
      </c>
      <c r="B1341" s="107">
        <v>2</v>
      </c>
      <c r="C1341" s="107">
        <v>7</v>
      </c>
      <c r="D1341" s="107" t="s">
        <v>455</v>
      </c>
      <c r="E1341" s="107" t="s">
        <v>456</v>
      </c>
      <c r="F1341" s="161">
        <v>45353</v>
      </c>
      <c r="G1341" s="107">
        <f t="shared" si="45"/>
        <v>5</v>
      </c>
    </row>
    <row r="1342" spans="1:7">
      <c r="A1342" s="107">
        <v>28</v>
      </c>
      <c r="B1342" s="107">
        <v>2</v>
      </c>
      <c r="C1342" s="107">
        <v>8</v>
      </c>
      <c r="D1342" s="107" t="s">
        <v>455</v>
      </c>
      <c r="E1342" s="107" t="s">
        <v>456</v>
      </c>
      <c r="F1342" s="161">
        <v>45353</v>
      </c>
      <c r="G1342" s="107">
        <f t="shared" si="45"/>
        <v>5</v>
      </c>
    </row>
    <row r="1343" spans="1:7">
      <c r="A1343" s="107">
        <v>28</v>
      </c>
      <c r="B1343" s="107">
        <v>3</v>
      </c>
      <c r="C1343" s="107">
        <v>1</v>
      </c>
      <c r="D1343" s="107" t="s">
        <v>457</v>
      </c>
      <c r="E1343" s="107" t="s">
        <v>458</v>
      </c>
      <c r="F1343" s="161">
        <v>45353</v>
      </c>
      <c r="G1343" s="107">
        <f t="shared" si="45"/>
        <v>5</v>
      </c>
    </row>
    <row r="1344" spans="1:7">
      <c r="A1344" s="107">
        <v>28</v>
      </c>
      <c r="B1344" s="107">
        <v>3</v>
      </c>
      <c r="C1344" s="107">
        <v>2</v>
      </c>
      <c r="D1344" s="107" t="s">
        <v>457</v>
      </c>
      <c r="E1344" s="107" t="s">
        <v>458</v>
      </c>
      <c r="F1344" s="161">
        <v>45355</v>
      </c>
      <c r="G1344" s="107">
        <f t="shared" si="45"/>
        <v>7</v>
      </c>
    </row>
    <row r="1345" spans="1:7">
      <c r="A1345" s="107">
        <v>28</v>
      </c>
      <c r="B1345" s="107">
        <v>3</v>
      </c>
      <c r="C1345" s="107">
        <v>3</v>
      </c>
      <c r="D1345" s="107" t="s">
        <v>457</v>
      </c>
      <c r="E1345" s="107" t="s">
        <v>458</v>
      </c>
      <c r="F1345" s="161">
        <v>45352</v>
      </c>
      <c r="G1345" s="107">
        <f t="shared" si="45"/>
        <v>4</v>
      </c>
    </row>
    <row r="1346" spans="1:7">
      <c r="A1346" s="107">
        <v>28</v>
      </c>
      <c r="B1346" s="107">
        <v>3</v>
      </c>
      <c r="C1346" s="107">
        <v>4</v>
      </c>
      <c r="D1346" s="107" t="s">
        <v>457</v>
      </c>
      <c r="E1346" s="107" t="s">
        <v>458</v>
      </c>
      <c r="F1346" s="161">
        <v>45352</v>
      </c>
      <c r="G1346" s="107">
        <f t="shared" si="45"/>
        <v>4</v>
      </c>
    </row>
    <row r="1347" spans="1:7">
      <c r="A1347" s="107">
        <v>28</v>
      </c>
      <c r="B1347" s="107">
        <v>3</v>
      </c>
      <c r="C1347" s="107">
        <v>5</v>
      </c>
      <c r="D1347" s="107" t="s">
        <v>457</v>
      </c>
      <c r="E1347" s="107" t="s">
        <v>458</v>
      </c>
      <c r="F1347" s="161">
        <v>45353</v>
      </c>
      <c r="G1347" s="107">
        <f t="shared" si="45"/>
        <v>5</v>
      </c>
    </row>
    <row r="1348" spans="1:7">
      <c r="A1348" s="107">
        <v>28</v>
      </c>
      <c r="B1348" s="107">
        <v>3</v>
      </c>
      <c r="C1348" s="107">
        <v>6</v>
      </c>
      <c r="D1348" s="107" t="s">
        <v>457</v>
      </c>
      <c r="E1348" s="107" t="s">
        <v>458</v>
      </c>
      <c r="F1348" s="161">
        <v>45357</v>
      </c>
      <c r="G1348" s="107">
        <f t="shared" si="45"/>
        <v>9</v>
      </c>
    </row>
    <row r="1349" spans="1:7">
      <c r="A1349" s="107">
        <v>28</v>
      </c>
      <c r="B1349" s="107">
        <v>3</v>
      </c>
      <c r="C1349" s="107">
        <v>7</v>
      </c>
      <c r="D1349" s="107" t="s">
        <v>457</v>
      </c>
      <c r="E1349" s="107" t="s">
        <v>458</v>
      </c>
      <c r="F1349" s="161">
        <v>45352</v>
      </c>
      <c r="G1349" s="107">
        <f t="shared" si="45"/>
        <v>4</v>
      </c>
    </row>
    <row r="1350" spans="1:7">
      <c r="A1350" s="107">
        <v>28</v>
      </c>
      <c r="B1350" s="107">
        <v>3</v>
      </c>
      <c r="C1350" s="107">
        <v>8</v>
      </c>
      <c r="D1350" s="107" t="s">
        <v>457</v>
      </c>
      <c r="E1350" s="107" t="s">
        <v>458</v>
      </c>
      <c r="F1350" s="161">
        <v>45353</v>
      </c>
      <c r="G1350" s="107">
        <f t="shared" si="45"/>
        <v>5</v>
      </c>
    </row>
    <row r="1351" spans="1:7">
      <c r="A1351" s="107">
        <v>28</v>
      </c>
      <c r="B1351" s="107">
        <v>4</v>
      </c>
      <c r="C1351" s="107">
        <v>1</v>
      </c>
      <c r="D1351" s="107" t="s">
        <v>459</v>
      </c>
      <c r="E1351" s="107" t="s">
        <v>460</v>
      </c>
      <c r="F1351" s="161">
        <v>45353</v>
      </c>
      <c r="G1351" s="107">
        <f t="shared" si="45"/>
        <v>5</v>
      </c>
    </row>
    <row r="1352" spans="1:7">
      <c r="A1352" s="107">
        <v>28</v>
      </c>
      <c r="B1352" s="107">
        <v>4</v>
      </c>
      <c r="C1352" s="107">
        <v>2</v>
      </c>
      <c r="D1352" s="107" t="s">
        <v>459</v>
      </c>
      <c r="E1352" s="107" t="s">
        <v>460</v>
      </c>
      <c r="F1352" s="161">
        <v>45353</v>
      </c>
      <c r="G1352" s="107">
        <f t="shared" si="45"/>
        <v>5</v>
      </c>
    </row>
    <row r="1353" spans="1:7">
      <c r="A1353" s="107">
        <v>28</v>
      </c>
      <c r="B1353" s="107">
        <v>4</v>
      </c>
      <c r="C1353" s="107">
        <v>3</v>
      </c>
      <c r="D1353" s="107" t="s">
        <v>459</v>
      </c>
      <c r="E1353" s="107" t="s">
        <v>460</v>
      </c>
      <c r="F1353" s="161">
        <v>45353</v>
      </c>
      <c r="G1353" s="107">
        <f t="shared" si="45"/>
        <v>5</v>
      </c>
    </row>
    <row r="1354" spans="1:7">
      <c r="A1354" s="107">
        <v>28</v>
      </c>
      <c r="B1354" s="107">
        <v>4</v>
      </c>
      <c r="C1354" s="107">
        <v>4</v>
      </c>
      <c r="D1354" s="107" t="s">
        <v>459</v>
      </c>
      <c r="E1354" s="107" t="s">
        <v>460</v>
      </c>
      <c r="F1354" s="161">
        <v>45353</v>
      </c>
      <c r="G1354" s="107">
        <f t="shared" si="45"/>
        <v>5</v>
      </c>
    </row>
    <row r="1355" spans="1:7">
      <c r="A1355" s="107">
        <v>28</v>
      </c>
      <c r="B1355" s="107">
        <v>4</v>
      </c>
      <c r="C1355" s="107">
        <v>5</v>
      </c>
      <c r="D1355" s="107" t="s">
        <v>459</v>
      </c>
      <c r="E1355" s="107" t="s">
        <v>460</v>
      </c>
      <c r="F1355" s="161">
        <v>45353</v>
      </c>
      <c r="G1355" s="107">
        <f t="shared" si="45"/>
        <v>5</v>
      </c>
    </row>
    <row r="1356" spans="1:7">
      <c r="A1356" s="107">
        <v>28</v>
      </c>
      <c r="B1356" s="107">
        <v>4</v>
      </c>
      <c r="C1356" s="107">
        <v>6</v>
      </c>
      <c r="D1356" s="107" t="s">
        <v>459</v>
      </c>
      <c r="E1356" s="107" t="s">
        <v>460</v>
      </c>
      <c r="F1356" s="161">
        <v>45353</v>
      </c>
      <c r="G1356" s="107">
        <f t="shared" si="45"/>
        <v>5</v>
      </c>
    </row>
    <row r="1357" spans="1:7">
      <c r="A1357" s="107">
        <v>28</v>
      </c>
      <c r="B1357" s="107">
        <v>4</v>
      </c>
      <c r="C1357" s="107">
        <v>7</v>
      </c>
      <c r="D1357" s="107" t="s">
        <v>459</v>
      </c>
      <c r="E1357" s="107" t="s">
        <v>460</v>
      </c>
      <c r="F1357" s="161">
        <v>45353</v>
      </c>
      <c r="G1357" s="107">
        <f t="shared" si="45"/>
        <v>5</v>
      </c>
    </row>
    <row r="1358" spans="1:7">
      <c r="A1358" s="107">
        <v>28</v>
      </c>
      <c r="B1358" s="107">
        <v>4</v>
      </c>
      <c r="C1358" s="107">
        <v>8</v>
      </c>
      <c r="D1358" s="107" t="s">
        <v>459</v>
      </c>
      <c r="E1358" s="107" t="s">
        <v>460</v>
      </c>
      <c r="F1358" s="161">
        <v>45353</v>
      </c>
      <c r="G1358" s="107">
        <f t="shared" si="45"/>
        <v>5</v>
      </c>
    </row>
    <row r="1359" spans="1:7">
      <c r="A1359" s="107">
        <v>28</v>
      </c>
      <c r="B1359" s="107">
        <v>5</v>
      </c>
      <c r="C1359" s="107">
        <v>1</v>
      </c>
      <c r="D1359" s="107" t="s">
        <v>461</v>
      </c>
      <c r="E1359" s="107" t="s">
        <v>462</v>
      </c>
      <c r="F1359" s="161">
        <v>45353</v>
      </c>
      <c r="G1359" s="107">
        <f t="shared" si="45"/>
        <v>5</v>
      </c>
    </row>
    <row r="1360" spans="1:7">
      <c r="A1360" s="107">
        <v>28</v>
      </c>
      <c r="B1360" s="107">
        <v>5</v>
      </c>
      <c r="C1360" s="107">
        <v>2</v>
      </c>
      <c r="D1360" s="107" t="s">
        <v>461</v>
      </c>
      <c r="E1360" s="107" t="s">
        <v>462</v>
      </c>
      <c r="F1360" s="161">
        <v>45353</v>
      </c>
      <c r="G1360" s="107">
        <f t="shared" si="45"/>
        <v>5</v>
      </c>
    </row>
    <row r="1361" spans="1:7">
      <c r="A1361" s="107">
        <v>28</v>
      </c>
      <c r="B1361" s="107">
        <v>5</v>
      </c>
      <c r="C1361" s="107">
        <v>3</v>
      </c>
      <c r="D1361" s="107" t="s">
        <v>461</v>
      </c>
      <c r="E1361" s="107" t="s">
        <v>462</v>
      </c>
      <c r="F1361" s="161">
        <v>45352</v>
      </c>
      <c r="G1361" s="107">
        <f t="shared" si="45"/>
        <v>4</v>
      </c>
    </row>
    <row r="1362" spans="1:7">
      <c r="A1362" s="107">
        <v>28</v>
      </c>
      <c r="B1362" s="107">
        <v>5</v>
      </c>
      <c r="C1362" s="107">
        <v>4</v>
      </c>
      <c r="D1362" s="107" t="s">
        <v>461</v>
      </c>
      <c r="E1362" s="107" t="s">
        <v>462</v>
      </c>
      <c r="F1362" s="161">
        <v>45353</v>
      </c>
      <c r="G1362" s="107">
        <f t="shared" si="45"/>
        <v>5</v>
      </c>
    </row>
    <row r="1363" spans="1:7">
      <c r="A1363" s="107">
        <v>28</v>
      </c>
      <c r="B1363" s="107">
        <v>5</v>
      </c>
      <c r="C1363" s="107">
        <v>5</v>
      </c>
      <c r="D1363" s="107" t="s">
        <v>461</v>
      </c>
      <c r="E1363" s="107" t="s">
        <v>462</v>
      </c>
      <c r="F1363" s="161">
        <v>45353</v>
      </c>
      <c r="G1363" s="107">
        <f t="shared" si="45"/>
        <v>5</v>
      </c>
    </row>
    <row r="1364" spans="1:7">
      <c r="A1364" s="107">
        <v>28</v>
      </c>
      <c r="B1364" s="107">
        <v>5</v>
      </c>
      <c r="C1364" s="107">
        <v>6</v>
      </c>
      <c r="D1364" s="107" t="s">
        <v>461</v>
      </c>
      <c r="E1364" s="107" t="s">
        <v>462</v>
      </c>
      <c r="F1364" s="161">
        <v>45354</v>
      </c>
      <c r="G1364" s="107">
        <f t="shared" si="45"/>
        <v>6</v>
      </c>
    </row>
    <row r="1365" spans="1:7">
      <c r="A1365" s="107">
        <v>28</v>
      </c>
      <c r="B1365" s="107">
        <v>5</v>
      </c>
      <c r="C1365" s="107">
        <v>7</v>
      </c>
      <c r="D1365" s="107" t="s">
        <v>461</v>
      </c>
      <c r="E1365" s="107" t="s">
        <v>462</v>
      </c>
      <c r="F1365" s="161">
        <v>45353</v>
      </c>
      <c r="G1365" s="107">
        <f t="shared" si="45"/>
        <v>5</v>
      </c>
    </row>
    <row r="1366" spans="1:7">
      <c r="A1366" s="107">
        <v>28</v>
      </c>
      <c r="B1366" s="107">
        <v>5</v>
      </c>
      <c r="C1366" s="107">
        <v>8</v>
      </c>
      <c r="D1366" s="107" t="s">
        <v>461</v>
      </c>
      <c r="E1366" s="107" t="s">
        <v>462</v>
      </c>
      <c r="F1366" s="161">
        <v>45353</v>
      </c>
      <c r="G1366" s="107">
        <f t="shared" si="45"/>
        <v>5</v>
      </c>
    </row>
    <row r="1367" spans="1:7">
      <c r="A1367" s="107">
        <v>28</v>
      </c>
      <c r="B1367" s="107">
        <v>6</v>
      </c>
      <c r="C1367" s="107">
        <v>1</v>
      </c>
      <c r="D1367" s="107" t="s">
        <v>463</v>
      </c>
      <c r="E1367" s="107" t="s">
        <v>464</v>
      </c>
      <c r="F1367" s="161">
        <v>45353</v>
      </c>
      <c r="G1367" s="107">
        <f t="shared" si="45"/>
        <v>5</v>
      </c>
    </row>
    <row r="1368" spans="1:7">
      <c r="A1368" s="107">
        <v>28</v>
      </c>
      <c r="B1368" s="107">
        <v>6</v>
      </c>
      <c r="C1368" s="107">
        <v>2</v>
      </c>
      <c r="D1368" s="107" t="s">
        <v>463</v>
      </c>
      <c r="E1368" s="107" t="s">
        <v>464</v>
      </c>
      <c r="F1368" s="161">
        <v>45352</v>
      </c>
      <c r="G1368" s="107">
        <f t="shared" si="45"/>
        <v>4</v>
      </c>
    </row>
    <row r="1369" spans="1:7">
      <c r="A1369" s="107">
        <v>28</v>
      </c>
      <c r="B1369" s="107">
        <v>6</v>
      </c>
      <c r="C1369" s="107">
        <v>3</v>
      </c>
      <c r="D1369" s="107" t="s">
        <v>463</v>
      </c>
      <c r="E1369" s="107" t="s">
        <v>464</v>
      </c>
      <c r="F1369" s="161">
        <v>45353</v>
      </c>
      <c r="G1369" s="107">
        <f t="shared" si="45"/>
        <v>5</v>
      </c>
    </row>
    <row r="1370" spans="1:7">
      <c r="A1370" s="107">
        <v>28</v>
      </c>
      <c r="B1370" s="107">
        <v>6</v>
      </c>
      <c r="C1370" s="107">
        <v>4</v>
      </c>
      <c r="D1370" s="107" t="s">
        <v>463</v>
      </c>
      <c r="E1370" s="107" t="s">
        <v>464</v>
      </c>
      <c r="F1370" s="161">
        <v>45353</v>
      </c>
      <c r="G1370" s="107">
        <f t="shared" si="45"/>
        <v>5</v>
      </c>
    </row>
    <row r="1371" spans="1:7">
      <c r="A1371" s="107">
        <v>28</v>
      </c>
      <c r="B1371" s="107">
        <v>6</v>
      </c>
      <c r="C1371" s="107">
        <v>5</v>
      </c>
      <c r="D1371" s="107" t="s">
        <v>463</v>
      </c>
      <c r="E1371" s="107" t="s">
        <v>464</v>
      </c>
      <c r="F1371" s="161">
        <v>45353</v>
      </c>
      <c r="G1371" s="107">
        <f t="shared" si="45"/>
        <v>5</v>
      </c>
    </row>
    <row r="1372" spans="1:7">
      <c r="A1372" s="107">
        <v>28</v>
      </c>
      <c r="B1372" s="107">
        <v>6</v>
      </c>
      <c r="C1372" s="107">
        <v>6</v>
      </c>
      <c r="D1372" s="107" t="s">
        <v>463</v>
      </c>
      <c r="E1372" s="107" t="s">
        <v>464</v>
      </c>
      <c r="F1372" s="161">
        <v>45353</v>
      </c>
      <c r="G1372" s="107">
        <f t="shared" si="45"/>
        <v>5</v>
      </c>
    </row>
    <row r="1373" spans="1:7">
      <c r="A1373" s="107">
        <v>28</v>
      </c>
      <c r="B1373" s="107">
        <v>6</v>
      </c>
      <c r="C1373" s="107">
        <v>7</v>
      </c>
      <c r="D1373" s="107" t="s">
        <v>463</v>
      </c>
      <c r="E1373" s="107" t="s">
        <v>464</v>
      </c>
      <c r="F1373" s="161">
        <v>45353</v>
      </c>
      <c r="G1373" s="107">
        <f t="shared" si="45"/>
        <v>5</v>
      </c>
    </row>
    <row r="1374" spans="1:7">
      <c r="A1374" s="107">
        <v>28</v>
      </c>
      <c r="B1374" s="107">
        <v>6</v>
      </c>
      <c r="C1374" s="107">
        <v>8</v>
      </c>
      <c r="D1374" s="107" t="s">
        <v>463</v>
      </c>
      <c r="E1374" s="107" t="s">
        <v>464</v>
      </c>
      <c r="F1374" s="161">
        <v>45353</v>
      </c>
      <c r="G1374" s="107">
        <f t="shared" si="45"/>
        <v>5</v>
      </c>
    </row>
    <row r="1376" spans="1:7">
      <c r="A1376" s="107">
        <v>29</v>
      </c>
      <c r="B1376" s="107">
        <v>1</v>
      </c>
      <c r="C1376" s="107">
        <v>1</v>
      </c>
      <c r="D1376" s="107" t="s">
        <v>465</v>
      </c>
      <c r="E1376" s="107" t="s">
        <v>466</v>
      </c>
      <c r="F1376" s="161">
        <v>45353</v>
      </c>
      <c r="G1376" s="107">
        <f t="shared" ref="G1376:G1406" si="46">DATEDIF(G$2,F1376,"d")</f>
        <v>5</v>
      </c>
    </row>
    <row r="1377" spans="1:7">
      <c r="A1377" s="107">
        <v>29</v>
      </c>
      <c r="B1377" s="107">
        <v>1</v>
      </c>
      <c r="C1377" s="107">
        <v>2</v>
      </c>
      <c r="D1377" s="107" t="s">
        <v>465</v>
      </c>
      <c r="E1377" s="107" t="s">
        <v>466</v>
      </c>
      <c r="F1377" s="161">
        <v>45353</v>
      </c>
      <c r="G1377" s="107">
        <f t="shared" si="46"/>
        <v>5</v>
      </c>
    </row>
    <row r="1378" spans="1:7">
      <c r="A1378" s="107">
        <v>29</v>
      </c>
      <c r="B1378" s="107">
        <v>1</v>
      </c>
      <c r="C1378" s="107">
        <v>3</v>
      </c>
      <c r="D1378" s="107" t="s">
        <v>465</v>
      </c>
      <c r="E1378" s="107" t="s">
        <v>466</v>
      </c>
      <c r="F1378" s="161">
        <v>45353</v>
      </c>
      <c r="G1378" s="107">
        <f t="shared" si="46"/>
        <v>5</v>
      </c>
    </row>
    <row r="1379" spans="1:7">
      <c r="A1379" s="107">
        <v>29</v>
      </c>
      <c r="B1379" s="107">
        <v>1</v>
      </c>
      <c r="C1379" s="107">
        <v>4</v>
      </c>
      <c r="D1379" s="107" t="s">
        <v>465</v>
      </c>
      <c r="E1379" s="107" t="s">
        <v>466</v>
      </c>
      <c r="F1379" s="161">
        <v>45353</v>
      </c>
      <c r="G1379" s="107">
        <f t="shared" si="46"/>
        <v>5</v>
      </c>
    </row>
    <row r="1380" spans="1:7">
      <c r="A1380" s="107">
        <v>29</v>
      </c>
      <c r="B1380" s="107">
        <v>1</v>
      </c>
      <c r="C1380" s="107">
        <v>5</v>
      </c>
      <c r="D1380" s="107" t="s">
        <v>465</v>
      </c>
      <c r="E1380" s="107" t="s">
        <v>466</v>
      </c>
      <c r="F1380" s="161">
        <v>45353</v>
      </c>
      <c r="G1380" s="107">
        <f t="shared" si="46"/>
        <v>5</v>
      </c>
    </row>
    <row r="1381" spans="1:7">
      <c r="A1381" s="107">
        <v>29</v>
      </c>
      <c r="B1381" s="107">
        <v>1</v>
      </c>
      <c r="C1381" s="107">
        <v>6</v>
      </c>
      <c r="D1381" s="107" t="s">
        <v>465</v>
      </c>
      <c r="E1381" s="107" t="s">
        <v>466</v>
      </c>
      <c r="F1381" s="161">
        <v>45353</v>
      </c>
      <c r="G1381" s="107">
        <f t="shared" si="46"/>
        <v>5</v>
      </c>
    </row>
    <row r="1382" spans="1:7">
      <c r="A1382" s="107">
        <v>29</v>
      </c>
      <c r="B1382" s="107">
        <v>1</v>
      </c>
      <c r="C1382" s="107">
        <v>7</v>
      </c>
      <c r="D1382" s="107" t="s">
        <v>465</v>
      </c>
      <c r="E1382" s="107" t="s">
        <v>466</v>
      </c>
      <c r="F1382" s="161">
        <v>45353</v>
      </c>
      <c r="G1382" s="107">
        <f t="shared" si="46"/>
        <v>5</v>
      </c>
    </row>
    <row r="1383" spans="1:7">
      <c r="A1383" s="107">
        <v>29</v>
      </c>
      <c r="B1383" s="107">
        <v>1</v>
      </c>
      <c r="C1383" s="107">
        <v>8</v>
      </c>
      <c r="D1383" s="107" t="s">
        <v>465</v>
      </c>
      <c r="E1383" s="107" t="s">
        <v>466</v>
      </c>
      <c r="F1383" s="161">
        <v>45353</v>
      </c>
      <c r="G1383" s="107">
        <f t="shared" si="46"/>
        <v>5</v>
      </c>
    </row>
    <row r="1384" spans="1:7">
      <c r="A1384" s="107">
        <v>29</v>
      </c>
      <c r="B1384" s="107">
        <v>2</v>
      </c>
      <c r="C1384" s="107">
        <v>1</v>
      </c>
      <c r="D1384" s="107" t="s">
        <v>467</v>
      </c>
      <c r="E1384" s="107" t="s">
        <v>468</v>
      </c>
      <c r="F1384" s="161">
        <v>45353</v>
      </c>
      <c r="G1384" s="107">
        <f t="shared" si="46"/>
        <v>5</v>
      </c>
    </row>
    <row r="1385" spans="1:7">
      <c r="A1385" s="107">
        <v>29</v>
      </c>
      <c r="B1385" s="107">
        <v>2</v>
      </c>
      <c r="C1385" s="107">
        <v>2</v>
      </c>
      <c r="D1385" s="107" t="s">
        <v>467</v>
      </c>
      <c r="E1385" s="107" t="s">
        <v>468</v>
      </c>
      <c r="F1385" s="161">
        <v>45353</v>
      </c>
      <c r="G1385" s="107">
        <f t="shared" si="46"/>
        <v>5</v>
      </c>
    </row>
    <row r="1386" spans="1:7">
      <c r="A1386" s="107">
        <v>29</v>
      </c>
      <c r="B1386" s="107">
        <v>2</v>
      </c>
      <c r="C1386" s="107">
        <v>3</v>
      </c>
      <c r="D1386" s="107" t="s">
        <v>467</v>
      </c>
      <c r="E1386" s="107" t="s">
        <v>468</v>
      </c>
      <c r="F1386" s="161">
        <v>45353</v>
      </c>
      <c r="G1386" s="107">
        <f t="shared" si="46"/>
        <v>5</v>
      </c>
    </row>
    <row r="1387" spans="1:7">
      <c r="A1387" s="107">
        <v>29</v>
      </c>
      <c r="B1387" s="107">
        <v>2</v>
      </c>
      <c r="C1387" s="107">
        <v>4</v>
      </c>
      <c r="D1387" s="107" t="s">
        <v>467</v>
      </c>
      <c r="E1387" s="107" t="s">
        <v>468</v>
      </c>
      <c r="F1387" s="161">
        <v>45353</v>
      </c>
      <c r="G1387" s="107">
        <f t="shared" si="46"/>
        <v>5</v>
      </c>
    </row>
    <row r="1388" spans="1:7">
      <c r="A1388" s="107">
        <v>29</v>
      </c>
      <c r="B1388" s="107">
        <v>2</v>
      </c>
      <c r="C1388" s="107">
        <v>5</v>
      </c>
      <c r="D1388" s="107" t="s">
        <v>467</v>
      </c>
      <c r="E1388" s="107" t="s">
        <v>468</v>
      </c>
      <c r="F1388" s="161">
        <v>45353</v>
      </c>
      <c r="G1388" s="107">
        <f t="shared" si="46"/>
        <v>5</v>
      </c>
    </row>
    <row r="1389" spans="1:7">
      <c r="A1389" s="107">
        <v>29</v>
      </c>
      <c r="B1389" s="107">
        <v>2</v>
      </c>
      <c r="C1389" s="107">
        <v>6</v>
      </c>
      <c r="D1389" s="107" t="s">
        <v>467</v>
      </c>
      <c r="E1389" s="107" t="s">
        <v>468</v>
      </c>
      <c r="F1389" s="161">
        <v>45353</v>
      </c>
      <c r="G1389" s="107">
        <f t="shared" si="46"/>
        <v>5</v>
      </c>
    </row>
    <row r="1390" spans="1:7">
      <c r="A1390" s="107">
        <v>29</v>
      </c>
      <c r="B1390" s="107">
        <v>2</v>
      </c>
      <c r="C1390" s="107">
        <v>7</v>
      </c>
      <c r="D1390" s="107" t="s">
        <v>467</v>
      </c>
      <c r="E1390" s="107" t="s">
        <v>468</v>
      </c>
      <c r="F1390" s="161">
        <v>45353</v>
      </c>
      <c r="G1390" s="107">
        <f t="shared" si="46"/>
        <v>5</v>
      </c>
    </row>
    <row r="1391" spans="1:7">
      <c r="A1391" s="107">
        <v>29</v>
      </c>
      <c r="B1391" s="107">
        <v>2</v>
      </c>
      <c r="C1391" s="107">
        <v>8</v>
      </c>
      <c r="D1391" s="107" t="s">
        <v>467</v>
      </c>
      <c r="E1391" s="107" t="s">
        <v>468</v>
      </c>
      <c r="F1391" s="161">
        <v>45353</v>
      </c>
      <c r="G1391" s="107">
        <f t="shared" si="46"/>
        <v>5</v>
      </c>
    </row>
    <row r="1392" spans="1:7">
      <c r="A1392" s="107">
        <v>29</v>
      </c>
      <c r="B1392" s="107">
        <v>3</v>
      </c>
      <c r="C1392" s="107">
        <v>1</v>
      </c>
      <c r="D1392" s="107" t="s">
        <v>469</v>
      </c>
      <c r="E1392" s="107" t="s">
        <v>470</v>
      </c>
      <c r="F1392" s="161">
        <v>45353</v>
      </c>
      <c r="G1392" s="107">
        <f t="shared" si="46"/>
        <v>5</v>
      </c>
    </row>
    <row r="1393" spans="1:7">
      <c r="A1393" s="107">
        <v>29</v>
      </c>
      <c r="B1393" s="107">
        <v>3</v>
      </c>
      <c r="C1393" s="107">
        <v>2</v>
      </c>
      <c r="D1393" s="107" t="s">
        <v>469</v>
      </c>
      <c r="E1393" s="107" t="s">
        <v>470</v>
      </c>
      <c r="F1393" s="161">
        <v>45354</v>
      </c>
      <c r="G1393" s="107">
        <f t="shared" si="46"/>
        <v>6</v>
      </c>
    </row>
    <row r="1394" spans="1:7">
      <c r="A1394" s="107">
        <v>29</v>
      </c>
      <c r="B1394" s="107">
        <v>3</v>
      </c>
      <c r="C1394" s="107">
        <v>3</v>
      </c>
      <c r="D1394" s="107" t="s">
        <v>469</v>
      </c>
      <c r="E1394" s="107" t="s">
        <v>470</v>
      </c>
      <c r="F1394" s="161">
        <v>45353</v>
      </c>
      <c r="G1394" s="107">
        <f t="shared" si="46"/>
        <v>5</v>
      </c>
    </row>
    <row r="1395" spans="1:7">
      <c r="A1395" s="107">
        <v>29</v>
      </c>
      <c r="B1395" s="107">
        <v>3</v>
      </c>
      <c r="C1395" s="107">
        <v>4</v>
      </c>
      <c r="D1395" s="107" t="s">
        <v>469</v>
      </c>
      <c r="E1395" s="107" t="s">
        <v>470</v>
      </c>
      <c r="F1395" s="161">
        <v>45353</v>
      </c>
      <c r="G1395" s="107">
        <f t="shared" si="46"/>
        <v>5</v>
      </c>
    </row>
    <row r="1396" spans="1:7">
      <c r="A1396" s="107">
        <v>29</v>
      </c>
      <c r="B1396" s="107">
        <v>3</v>
      </c>
      <c r="C1396" s="107">
        <v>5</v>
      </c>
      <c r="D1396" s="107" t="s">
        <v>469</v>
      </c>
      <c r="E1396" s="107" t="s">
        <v>470</v>
      </c>
      <c r="F1396" s="161">
        <v>45353</v>
      </c>
      <c r="G1396" s="107">
        <f t="shared" si="46"/>
        <v>5</v>
      </c>
    </row>
    <row r="1397" spans="1:7">
      <c r="A1397" s="107">
        <v>29</v>
      </c>
      <c r="B1397" s="107">
        <v>3</v>
      </c>
      <c r="C1397" s="107">
        <v>6</v>
      </c>
      <c r="D1397" s="107" t="s">
        <v>469</v>
      </c>
      <c r="E1397" s="107" t="s">
        <v>470</v>
      </c>
      <c r="F1397" s="161">
        <v>45353</v>
      </c>
      <c r="G1397" s="107">
        <f t="shared" si="46"/>
        <v>5</v>
      </c>
    </row>
    <row r="1398" spans="1:7">
      <c r="A1398" s="107">
        <v>29</v>
      </c>
      <c r="B1398" s="107">
        <v>3</v>
      </c>
      <c r="C1398" s="107">
        <v>7</v>
      </c>
      <c r="D1398" s="107" t="s">
        <v>469</v>
      </c>
      <c r="E1398" s="107" t="s">
        <v>470</v>
      </c>
      <c r="F1398" s="161">
        <v>45353</v>
      </c>
      <c r="G1398" s="107">
        <f t="shared" si="46"/>
        <v>5</v>
      </c>
    </row>
    <row r="1399" spans="1:7">
      <c r="A1399" s="107">
        <v>29</v>
      </c>
      <c r="B1399" s="107">
        <v>3</v>
      </c>
      <c r="C1399" s="107">
        <v>8</v>
      </c>
      <c r="D1399" s="107" t="s">
        <v>469</v>
      </c>
      <c r="E1399" s="107" t="s">
        <v>470</v>
      </c>
      <c r="F1399" s="161">
        <v>45352</v>
      </c>
      <c r="G1399" s="107">
        <f t="shared" si="46"/>
        <v>4</v>
      </c>
    </row>
    <row r="1400" spans="1:7">
      <c r="A1400" s="107">
        <v>29</v>
      </c>
      <c r="B1400" s="107">
        <v>4</v>
      </c>
      <c r="C1400" s="107">
        <v>1</v>
      </c>
      <c r="D1400" s="107" t="s">
        <v>471</v>
      </c>
      <c r="E1400" s="107" t="s">
        <v>472</v>
      </c>
      <c r="F1400" s="161">
        <v>45353</v>
      </c>
      <c r="G1400" s="107">
        <f t="shared" si="46"/>
        <v>5</v>
      </c>
    </row>
    <row r="1401" spans="1:7">
      <c r="A1401" s="107">
        <v>29</v>
      </c>
      <c r="B1401" s="107">
        <v>4</v>
      </c>
      <c r="C1401" s="107">
        <v>2</v>
      </c>
      <c r="D1401" s="107" t="s">
        <v>471</v>
      </c>
      <c r="E1401" s="107" t="s">
        <v>472</v>
      </c>
      <c r="F1401" s="161">
        <v>45353</v>
      </c>
      <c r="G1401" s="107">
        <f t="shared" si="46"/>
        <v>5</v>
      </c>
    </row>
    <row r="1402" spans="1:7">
      <c r="A1402" s="107">
        <v>29</v>
      </c>
      <c r="B1402" s="107">
        <v>4</v>
      </c>
      <c r="C1402" s="107">
        <v>3</v>
      </c>
      <c r="D1402" s="107" t="s">
        <v>471</v>
      </c>
      <c r="E1402" s="107" t="s">
        <v>472</v>
      </c>
      <c r="F1402" s="161">
        <v>45353</v>
      </c>
      <c r="G1402" s="107">
        <f t="shared" si="46"/>
        <v>5</v>
      </c>
    </row>
    <row r="1403" spans="1:7">
      <c r="A1403" s="107">
        <v>29</v>
      </c>
      <c r="B1403" s="107">
        <v>4</v>
      </c>
      <c r="C1403" s="107">
        <v>4</v>
      </c>
      <c r="D1403" s="107" t="s">
        <v>471</v>
      </c>
      <c r="E1403" s="107" t="s">
        <v>472</v>
      </c>
      <c r="F1403" s="161">
        <v>45352</v>
      </c>
      <c r="G1403" s="107">
        <f t="shared" si="46"/>
        <v>4</v>
      </c>
    </row>
    <row r="1404" spans="1:7">
      <c r="A1404" s="107">
        <v>29</v>
      </c>
      <c r="B1404" s="107">
        <v>4</v>
      </c>
      <c r="C1404" s="107">
        <v>5</v>
      </c>
      <c r="D1404" s="107" t="s">
        <v>471</v>
      </c>
      <c r="E1404" s="107" t="s">
        <v>472</v>
      </c>
      <c r="F1404" s="161">
        <v>45353</v>
      </c>
      <c r="G1404" s="107">
        <f t="shared" si="46"/>
        <v>5</v>
      </c>
    </row>
    <row r="1405" spans="1:7">
      <c r="A1405" s="107">
        <v>29</v>
      </c>
      <c r="B1405" s="107">
        <v>4</v>
      </c>
      <c r="C1405" s="107">
        <v>6</v>
      </c>
      <c r="D1405" s="107" t="s">
        <v>471</v>
      </c>
      <c r="E1405" s="107" t="s">
        <v>472</v>
      </c>
      <c r="F1405" s="161">
        <v>45353</v>
      </c>
      <c r="G1405" s="107">
        <f t="shared" si="46"/>
        <v>5</v>
      </c>
    </row>
    <row r="1406" spans="1:7">
      <c r="A1406" s="107">
        <v>29</v>
      </c>
      <c r="B1406" s="107">
        <v>4</v>
      </c>
      <c r="C1406" s="107">
        <v>7</v>
      </c>
      <c r="D1406" s="107" t="s">
        <v>471</v>
      </c>
      <c r="E1406" s="107" t="s">
        <v>472</v>
      </c>
      <c r="F1406" s="161">
        <v>45353</v>
      </c>
      <c r="G1406" s="107">
        <f t="shared" si="46"/>
        <v>5</v>
      </c>
    </row>
    <row r="1407" spans="1:7">
      <c r="A1407" s="107">
        <v>29</v>
      </c>
      <c r="B1407" s="107">
        <v>4</v>
      </c>
      <c r="C1407" s="107">
        <v>8</v>
      </c>
      <c r="D1407" s="107" t="s">
        <v>471</v>
      </c>
      <c r="E1407" s="107" t="s">
        <v>472</v>
      </c>
      <c r="F1407" s="107"/>
      <c r="G1407" s="107"/>
    </row>
    <row r="1408" spans="1:7">
      <c r="A1408" s="107">
        <v>29</v>
      </c>
      <c r="B1408" s="107">
        <v>5</v>
      </c>
      <c r="C1408" s="107">
        <v>1</v>
      </c>
      <c r="D1408" s="107" t="s">
        <v>473</v>
      </c>
      <c r="E1408" s="107" t="s">
        <v>474</v>
      </c>
      <c r="F1408" s="161">
        <v>45353</v>
      </c>
      <c r="G1408" s="107">
        <f t="shared" ref="G1408:G1423" si="47">DATEDIF(G$2,F1408,"d")</f>
        <v>5</v>
      </c>
    </row>
    <row r="1409" spans="1:7">
      <c r="A1409" s="107">
        <v>29</v>
      </c>
      <c r="B1409" s="107">
        <v>5</v>
      </c>
      <c r="C1409" s="107">
        <v>2</v>
      </c>
      <c r="D1409" s="107" t="s">
        <v>473</v>
      </c>
      <c r="E1409" s="107" t="s">
        <v>474</v>
      </c>
      <c r="F1409" s="161">
        <v>45353</v>
      </c>
      <c r="G1409" s="107">
        <f t="shared" si="47"/>
        <v>5</v>
      </c>
    </row>
    <row r="1410" spans="1:7">
      <c r="A1410" s="107">
        <v>29</v>
      </c>
      <c r="B1410" s="107">
        <v>5</v>
      </c>
      <c r="C1410" s="107">
        <v>3</v>
      </c>
      <c r="D1410" s="107" t="s">
        <v>473</v>
      </c>
      <c r="E1410" s="107" t="s">
        <v>474</v>
      </c>
      <c r="F1410" s="161">
        <v>45353</v>
      </c>
      <c r="G1410" s="107">
        <f t="shared" si="47"/>
        <v>5</v>
      </c>
    </row>
    <row r="1411" spans="1:7">
      <c r="A1411" s="107">
        <v>29</v>
      </c>
      <c r="B1411" s="107">
        <v>5</v>
      </c>
      <c r="C1411" s="107">
        <v>4</v>
      </c>
      <c r="D1411" s="107" t="s">
        <v>473</v>
      </c>
      <c r="E1411" s="107" t="s">
        <v>474</v>
      </c>
      <c r="F1411" s="161">
        <v>45353</v>
      </c>
      <c r="G1411" s="107">
        <f t="shared" si="47"/>
        <v>5</v>
      </c>
    </row>
    <row r="1412" spans="1:7">
      <c r="A1412" s="107">
        <v>29</v>
      </c>
      <c r="B1412" s="107">
        <v>5</v>
      </c>
      <c r="C1412" s="107">
        <v>5</v>
      </c>
      <c r="D1412" s="107" t="s">
        <v>473</v>
      </c>
      <c r="E1412" s="107" t="s">
        <v>474</v>
      </c>
      <c r="F1412" s="161">
        <v>45353</v>
      </c>
      <c r="G1412" s="107">
        <f t="shared" si="47"/>
        <v>5</v>
      </c>
    </row>
    <row r="1413" spans="1:7">
      <c r="A1413" s="107">
        <v>29</v>
      </c>
      <c r="B1413" s="107">
        <v>5</v>
      </c>
      <c r="C1413" s="107">
        <v>6</v>
      </c>
      <c r="D1413" s="107" t="s">
        <v>473</v>
      </c>
      <c r="E1413" s="107" t="s">
        <v>474</v>
      </c>
      <c r="F1413" s="161">
        <v>45352</v>
      </c>
      <c r="G1413" s="107">
        <f t="shared" si="47"/>
        <v>4</v>
      </c>
    </row>
    <row r="1414" spans="1:7">
      <c r="A1414" s="107">
        <v>29</v>
      </c>
      <c r="B1414" s="107">
        <v>5</v>
      </c>
      <c r="C1414" s="107">
        <v>7</v>
      </c>
      <c r="D1414" s="107" t="s">
        <v>473</v>
      </c>
      <c r="E1414" s="107" t="s">
        <v>474</v>
      </c>
      <c r="F1414" s="161">
        <v>45353</v>
      </c>
      <c r="G1414" s="107">
        <f t="shared" si="47"/>
        <v>5</v>
      </c>
    </row>
    <row r="1415" spans="1:7">
      <c r="A1415" s="107">
        <v>29</v>
      </c>
      <c r="B1415" s="107">
        <v>5</v>
      </c>
      <c r="C1415" s="107">
        <v>8</v>
      </c>
      <c r="D1415" s="107" t="s">
        <v>473</v>
      </c>
      <c r="E1415" s="107" t="s">
        <v>474</v>
      </c>
      <c r="F1415" s="161">
        <v>45353</v>
      </c>
      <c r="G1415" s="107">
        <f t="shared" si="47"/>
        <v>5</v>
      </c>
    </row>
    <row r="1416" spans="1:7">
      <c r="A1416" s="107">
        <v>29</v>
      </c>
      <c r="B1416" s="107">
        <v>6</v>
      </c>
      <c r="C1416" s="107">
        <v>1</v>
      </c>
      <c r="D1416" s="107" t="s">
        <v>475</v>
      </c>
      <c r="E1416" s="107" t="s">
        <v>476</v>
      </c>
      <c r="F1416" s="161">
        <v>45352</v>
      </c>
      <c r="G1416" s="107">
        <f t="shared" si="47"/>
        <v>4</v>
      </c>
    </row>
    <row r="1417" spans="1:7">
      <c r="A1417" s="107">
        <v>29</v>
      </c>
      <c r="B1417" s="107">
        <v>6</v>
      </c>
      <c r="C1417" s="107">
        <v>2</v>
      </c>
      <c r="D1417" s="107" t="s">
        <v>475</v>
      </c>
      <c r="E1417" s="107" t="s">
        <v>476</v>
      </c>
      <c r="F1417" s="161">
        <v>45353</v>
      </c>
      <c r="G1417" s="107">
        <f t="shared" si="47"/>
        <v>5</v>
      </c>
    </row>
    <row r="1418" spans="1:7">
      <c r="A1418" s="107">
        <v>29</v>
      </c>
      <c r="B1418" s="107">
        <v>6</v>
      </c>
      <c r="C1418" s="107">
        <v>3</v>
      </c>
      <c r="D1418" s="107" t="s">
        <v>475</v>
      </c>
      <c r="E1418" s="107" t="s">
        <v>476</v>
      </c>
      <c r="F1418" s="161">
        <v>45353</v>
      </c>
      <c r="G1418" s="107">
        <f t="shared" si="47"/>
        <v>5</v>
      </c>
    </row>
    <row r="1419" spans="1:7">
      <c r="A1419" s="107">
        <v>29</v>
      </c>
      <c r="B1419" s="107">
        <v>6</v>
      </c>
      <c r="C1419" s="107">
        <v>4</v>
      </c>
      <c r="D1419" s="107" t="s">
        <v>475</v>
      </c>
      <c r="E1419" s="107" t="s">
        <v>476</v>
      </c>
      <c r="F1419" s="161">
        <v>45353</v>
      </c>
      <c r="G1419" s="107">
        <f t="shared" si="47"/>
        <v>5</v>
      </c>
    </row>
    <row r="1420" spans="1:7">
      <c r="A1420" s="107">
        <v>29</v>
      </c>
      <c r="B1420" s="107">
        <v>6</v>
      </c>
      <c r="C1420" s="107">
        <v>5</v>
      </c>
      <c r="D1420" s="107" t="s">
        <v>475</v>
      </c>
      <c r="E1420" s="107" t="s">
        <v>476</v>
      </c>
      <c r="F1420" s="161">
        <v>45353</v>
      </c>
      <c r="G1420" s="107">
        <f t="shared" si="47"/>
        <v>5</v>
      </c>
    </row>
    <row r="1421" spans="1:7">
      <c r="A1421" s="107">
        <v>29</v>
      </c>
      <c r="B1421" s="107">
        <v>6</v>
      </c>
      <c r="C1421" s="107">
        <v>6</v>
      </c>
      <c r="D1421" s="107" t="s">
        <v>475</v>
      </c>
      <c r="E1421" s="107" t="s">
        <v>476</v>
      </c>
      <c r="F1421" s="161">
        <v>45353</v>
      </c>
      <c r="G1421" s="107">
        <f t="shared" si="47"/>
        <v>5</v>
      </c>
    </row>
    <row r="1422" spans="1:7">
      <c r="A1422" s="107">
        <v>29</v>
      </c>
      <c r="B1422" s="107">
        <v>6</v>
      </c>
      <c r="C1422" s="107">
        <v>7</v>
      </c>
      <c r="D1422" s="107" t="s">
        <v>475</v>
      </c>
      <c r="E1422" s="107" t="s">
        <v>476</v>
      </c>
      <c r="F1422" s="161">
        <v>45353</v>
      </c>
      <c r="G1422" s="107">
        <f t="shared" si="47"/>
        <v>5</v>
      </c>
    </row>
    <row r="1423" spans="1:7">
      <c r="A1423" s="107">
        <v>29</v>
      </c>
      <c r="B1423" s="107">
        <v>6</v>
      </c>
      <c r="C1423" s="107">
        <v>8</v>
      </c>
      <c r="D1423" s="107" t="s">
        <v>475</v>
      </c>
      <c r="E1423" s="107" t="s">
        <v>476</v>
      </c>
      <c r="F1423" s="161">
        <v>45353</v>
      </c>
      <c r="G1423" s="107">
        <f t="shared" si="47"/>
        <v>5</v>
      </c>
    </row>
    <row r="1425" spans="1:7">
      <c r="A1425" s="107">
        <v>30</v>
      </c>
      <c r="B1425" s="107">
        <v>1</v>
      </c>
      <c r="C1425" s="107">
        <v>1</v>
      </c>
      <c r="D1425" s="107" t="s">
        <v>477</v>
      </c>
      <c r="E1425" s="107" t="s">
        <v>478</v>
      </c>
      <c r="F1425" s="161">
        <v>45353</v>
      </c>
      <c r="G1425" s="107">
        <f t="shared" ref="G1425:G1472" si="48">DATEDIF(G$2,F1425,"d")</f>
        <v>5</v>
      </c>
    </row>
    <row r="1426" spans="1:7">
      <c r="A1426" s="107">
        <v>30</v>
      </c>
      <c r="B1426" s="107">
        <v>1</v>
      </c>
      <c r="C1426" s="107">
        <v>2</v>
      </c>
      <c r="D1426" s="107" t="s">
        <v>477</v>
      </c>
      <c r="E1426" s="107" t="s">
        <v>478</v>
      </c>
      <c r="F1426" s="161">
        <v>45353</v>
      </c>
      <c r="G1426" s="107">
        <f t="shared" si="48"/>
        <v>5</v>
      </c>
    </row>
    <row r="1427" spans="1:7">
      <c r="A1427" s="107">
        <v>30</v>
      </c>
      <c r="B1427" s="107">
        <v>1</v>
      </c>
      <c r="C1427" s="107">
        <v>3</v>
      </c>
      <c r="D1427" s="107" t="s">
        <v>477</v>
      </c>
      <c r="E1427" s="107" t="s">
        <v>478</v>
      </c>
      <c r="F1427" s="161">
        <v>45353</v>
      </c>
      <c r="G1427" s="107">
        <f t="shared" si="48"/>
        <v>5</v>
      </c>
    </row>
    <row r="1428" spans="1:7">
      <c r="A1428" s="107">
        <v>30</v>
      </c>
      <c r="B1428" s="107">
        <v>1</v>
      </c>
      <c r="C1428" s="107">
        <v>4</v>
      </c>
      <c r="D1428" s="107" t="s">
        <v>477</v>
      </c>
      <c r="E1428" s="107" t="s">
        <v>478</v>
      </c>
      <c r="F1428" s="161">
        <v>45352</v>
      </c>
      <c r="G1428" s="107">
        <f t="shared" si="48"/>
        <v>4</v>
      </c>
    </row>
    <row r="1429" spans="1:7">
      <c r="A1429" s="107">
        <v>30</v>
      </c>
      <c r="B1429" s="107">
        <v>1</v>
      </c>
      <c r="C1429" s="107">
        <v>5</v>
      </c>
      <c r="D1429" s="107" t="s">
        <v>477</v>
      </c>
      <c r="E1429" s="107" t="s">
        <v>478</v>
      </c>
      <c r="F1429" s="161">
        <v>45353</v>
      </c>
      <c r="G1429" s="107">
        <f t="shared" si="48"/>
        <v>5</v>
      </c>
    </row>
    <row r="1430" spans="1:7">
      <c r="A1430" s="107">
        <v>30</v>
      </c>
      <c r="B1430" s="107">
        <v>1</v>
      </c>
      <c r="C1430" s="107">
        <v>6</v>
      </c>
      <c r="D1430" s="107" t="s">
        <v>477</v>
      </c>
      <c r="E1430" s="107" t="s">
        <v>478</v>
      </c>
      <c r="F1430" s="161">
        <v>45353</v>
      </c>
      <c r="G1430" s="107">
        <f t="shared" si="48"/>
        <v>5</v>
      </c>
    </row>
    <row r="1431" spans="1:7">
      <c r="A1431" s="107">
        <v>30</v>
      </c>
      <c r="B1431" s="107">
        <v>1</v>
      </c>
      <c r="C1431" s="107">
        <v>7</v>
      </c>
      <c r="D1431" s="107" t="s">
        <v>477</v>
      </c>
      <c r="E1431" s="107" t="s">
        <v>478</v>
      </c>
      <c r="F1431" s="161">
        <v>45353</v>
      </c>
      <c r="G1431" s="107">
        <f t="shared" si="48"/>
        <v>5</v>
      </c>
    </row>
    <row r="1432" spans="1:7">
      <c r="A1432" s="107">
        <v>30</v>
      </c>
      <c r="B1432" s="107">
        <v>1</v>
      </c>
      <c r="C1432" s="107">
        <v>8</v>
      </c>
      <c r="D1432" s="107" t="s">
        <v>477</v>
      </c>
      <c r="E1432" s="107" t="s">
        <v>478</v>
      </c>
      <c r="F1432" s="161">
        <v>45354</v>
      </c>
      <c r="G1432" s="107">
        <f t="shared" si="48"/>
        <v>6</v>
      </c>
    </row>
    <row r="1433" spans="1:7">
      <c r="A1433" s="107">
        <v>30</v>
      </c>
      <c r="B1433" s="107">
        <v>2</v>
      </c>
      <c r="C1433" s="107">
        <v>1</v>
      </c>
      <c r="D1433" s="107" t="s">
        <v>479</v>
      </c>
      <c r="E1433" s="107" t="s">
        <v>480</v>
      </c>
      <c r="F1433" s="161">
        <v>45353</v>
      </c>
      <c r="G1433" s="107">
        <f t="shared" si="48"/>
        <v>5</v>
      </c>
    </row>
    <row r="1434" spans="1:7">
      <c r="A1434" s="107">
        <v>30</v>
      </c>
      <c r="B1434" s="107">
        <v>2</v>
      </c>
      <c r="C1434" s="107">
        <v>2</v>
      </c>
      <c r="D1434" s="107" t="s">
        <v>479</v>
      </c>
      <c r="E1434" s="107" t="s">
        <v>480</v>
      </c>
      <c r="F1434" s="161">
        <v>45354</v>
      </c>
      <c r="G1434" s="107">
        <f t="shared" si="48"/>
        <v>6</v>
      </c>
    </row>
    <row r="1435" spans="1:7">
      <c r="A1435" s="107">
        <v>30</v>
      </c>
      <c r="B1435" s="107">
        <v>2</v>
      </c>
      <c r="C1435" s="107">
        <v>3</v>
      </c>
      <c r="D1435" s="107" t="s">
        <v>479</v>
      </c>
      <c r="E1435" s="107" t="s">
        <v>480</v>
      </c>
      <c r="F1435" s="161">
        <v>45353</v>
      </c>
      <c r="G1435" s="107">
        <f t="shared" si="48"/>
        <v>5</v>
      </c>
    </row>
    <row r="1436" spans="1:7">
      <c r="A1436" s="107">
        <v>30</v>
      </c>
      <c r="B1436" s="107">
        <v>2</v>
      </c>
      <c r="C1436" s="107">
        <v>4</v>
      </c>
      <c r="D1436" s="107" t="s">
        <v>479</v>
      </c>
      <c r="E1436" s="107" t="s">
        <v>480</v>
      </c>
      <c r="F1436" s="161">
        <v>45354</v>
      </c>
      <c r="G1436" s="107">
        <f t="shared" si="48"/>
        <v>6</v>
      </c>
    </row>
    <row r="1437" spans="1:7">
      <c r="A1437" s="107">
        <v>30</v>
      </c>
      <c r="B1437" s="107">
        <v>2</v>
      </c>
      <c r="C1437" s="107">
        <v>5</v>
      </c>
      <c r="D1437" s="107" t="s">
        <v>479</v>
      </c>
      <c r="E1437" s="107" t="s">
        <v>480</v>
      </c>
      <c r="F1437" s="161">
        <v>45353</v>
      </c>
      <c r="G1437" s="107">
        <f t="shared" si="48"/>
        <v>5</v>
      </c>
    </row>
    <row r="1438" spans="1:7">
      <c r="A1438" s="107">
        <v>30</v>
      </c>
      <c r="B1438" s="107">
        <v>2</v>
      </c>
      <c r="C1438" s="107">
        <v>6</v>
      </c>
      <c r="D1438" s="107" t="s">
        <v>479</v>
      </c>
      <c r="E1438" s="107" t="s">
        <v>480</v>
      </c>
      <c r="F1438" s="161">
        <v>45353</v>
      </c>
      <c r="G1438" s="107">
        <f t="shared" si="48"/>
        <v>5</v>
      </c>
    </row>
    <row r="1439" spans="1:7">
      <c r="A1439" s="107">
        <v>30</v>
      </c>
      <c r="B1439" s="107">
        <v>2</v>
      </c>
      <c r="C1439" s="107">
        <v>7</v>
      </c>
      <c r="D1439" s="107" t="s">
        <v>479</v>
      </c>
      <c r="E1439" s="107" t="s">
        <v>480</v>
      </c>
      <c r="F1439" s="161">
        <v>45353</v>
      </c>
      <c r="G1439" s="107">
        <f t="shared" si="48"/>
        <v>5</v>
      </c>
    </row>
    <row r="1440" spans="1:7">
      <c r="A1440" s="107">
        <v>30</v>
      </c>
      <c r="B1440" s="107">
        <v>2</v>
      </c>
      <c r="C1440" s="107">
        <v>8</v>
      </c>
      <c r="D1440" s="107" t="s">
        <v>479</v>
      </c>
      <c r="E1440" s="107" t="s">
        <v>480</v>
      </c>
      <c r="F1440" s="161">
        <v>45353</v>
      </c>
      <c r="G1440" s="107">
        <f t="shared" si="48"/>
        <v>5</v>
      </c>
    </row>
    <row r="1441" spans="1:7">
      <c r="A1441" s="107">
        <v>30</v>
      </c>
      <c r="B1441" s="107">
        <v>3</v>
      </c>
      <c r="C1441" s="107">
        <v>1</v>
      </c>
      <c r="D1441" s="107" t="s">
        <v>481</v>
      </c>
      <c r="E1441" s="107" t="s">
        <v>482</v>
      </c>
      <c r="F1441" s="161">
        <v>45353</v>
      </c>
      <c r="G1441" s="107">
        <f t="shared" si="48"/>
        <v>5</v>
      </c>
    </row>
    <row r="1442" spans="1:7">
      <c r="A1442" s="107">
        <v>30</v>
      </c>
      <c r="B1442" s="107">
        <v>3</v>
      </c>
      <c r="C1442" s="107">
        <v>2</v>
      </c>
      <c r="D1442" s="107" t="s">
        <v>481</v>
      </c>
      <c r="E1442" s="107" t="s">
        <v>482</v>
      </c>
      <c r="F1442" s="161">
        <v>45353</v>
      </c>
      <c r="G1442" s="107">
        <f t="shared" si="48"/>
        <v>5</v>
      </c>
    </row>
    <row r="1443" spans="1:7">
      <c r="A1443" s="107">
        <v>30</v>
      </c>
      <c r="B1443" s="107">
        <v>3</v>
      </c>
      <c r="C1443" s="107">
        <v>3</v>
      </c>
      <c r="D1443" s="107" t="s">
        <v>481</v>
      </c>
      <c r="E1443" s="107" t="s">
        <v>482</v>
      </c>
      <c r="F1443" s="161">
        <v>45353</v>
      </c>
      <c r="G1443" s="107">
        <f t="shared" si="48"/>
        <v>5</v>
      </c>
    </row>
    <row r="1444" spans="1:7">
      <c r="A1444" s="107">
        <v>30</v>
      </c>
      <c r="B1444" s="107">
        <v>3</v>
      </c>
      <c r="C1444" s="107">
        <v>4</v>
      </c>
      <c r="D1444" s="107" t="s">
        <v>481</v>
      </c>
      <c r="E1444" s="107" t="s">
        <v>482</v>
      </c>
      <c r="F1444" s="161">
        <v>45353</v>
      </c>
      <c r="G1444" s="107">
        <f t="shared" si="48"/>
        <v>5</v>
      </c>
    </row>
    <row r="1445" spans="1:7">
      <c r="A1445" s="107">
        <v>30</v>
      </c>
      <c r="B1445" s="107">
        <v>3</v>
      </c>
      <c r="C1445" s="107">
        <v>5</v>
      </c>
      <c r="D1445" s="107" t="s">
        <v>481</v>
      </c>
      <c r="E1445" s="107" t="s">
        <v>482</v>
      </c>
      <c r="F1445" s="161">
        <v>45353</v>
      </c>
      <c r="G1445" s="107">
        <f t="shared" si="48"/>
        <v>5</v>
      </c>
    </row>
    <row r="1446" spans="1:7">
      <c r="A1446" s="107">
        <v>30</v>
      </c>
      <c r="B1446" s="107">
        <v>3</v>
      </c>
      <c r="C1446" s="107">
        <v>6</v>
      </c>
      <c r="D1446" s="107" t="s">
        <v>481</v>
      </c>
      <c r="E1446" s="107" t="s">
        <v>482</v>
      </c>
      <c r="F1446" s="161">
        <v>45353</v>
      </c>
      <c r="G1446" s="107">
        <f t="shared" si="48"/>
        <v>5</v>
      </c>
    </row>
    <row r="1447" spans="1:7">
      <c r="A1447" s="107">
        <v>30</v>
      </c>
      <c r="B1447" s="107">
        <v>3</v>
      </c>
      <c r="C1447" s="107">
        <v>7</v>
      </c>
      <c r="D1447" s="107" t="s">
        <v>481</v>
      </c>
      <c r="E1447" s="107" t="s">
        <v>482</v>
      </c>
      <c r="F1447" s="161">
        <v>45353</v>
      </c>
      <c r="G1447" s="107">
        <f t="shared" si="48"/>
        <v>5</v>
      </c>
    </row>
    <row r="1448" spans="1:7">
      <c r="A1448" s="107">
        <v>30</v>
      </c>
      <c r="B1448" s="107">
        <v>3</v>
      </c>
      <c r="C1448" s="107">
        <v>8</v>
      </c>
      <c r="D1448" s="107" t="s">
        <v>481</v>
      </c>
      <c r="E1448" s="107" t="s">
        <v>482</v>
      </c>
      <c r="F1448" s="161">
        <v>45353</v>
      </c>
      <c r="G1448" s="107">
        <f t="shared" si="48"/>
        <v>5</v>
      </c>
    </row>
    <row r="1449" spans="1:7">
      <c r="A1449" s="107">
        <v>30</v>
      </c>
      <c r="B1449" s="107">
        <v>4</v>
      </c>
      <c r="C1449" s="107">
        <v>1</v>
      </c>
      <c r="D1449" s="107" t="s">
        <v>483</v>
      </c>
      <c r="E1449" s="107" t="s">
        <v>484</v>
      </c>
      <c r="F1449" s="161">
        <v>45353</v>
      </c>
      <c r="G1449" s="107">
        <f t="shared" si="48"/>
        <v>5</v>
      </c>
    </row>
    <row r="1450" spans="1:7">
      <c r="A1450" s="107">
        <v>30</v>
      </c>
      <c r="B1450" s="107">
        <v>4</v>
      </c>
      <c r="C1450" s="107">
        <v>2</v>
      </c>
      <c r="D1450" s="107" t="s">
        <v>483</v>
      </c>
      <c r="E1450" s="107" t="s">
        <v>484</v>
      </c>
      <c r="F1450" s="161">
        <v>45353</v>
      </c>
      <c r="G1450" s="107">
        <f t="shared" si="48"/>
        <v>5</v>
      </c>
    </row>
    <row r="1451" spans="1:7">
      <c r="A1451" s="107">
        <v>30</v>
      </c>
      <c r="B1451" s="107">
        <v>4</v>
      </c>
      <c r="C1451" s="107">
        <v>3</v>
      </c>
      <c r="D1451" s="107" t="s">
        <v>483</v>
      </c>
      <c r="E1451" s="107" t="s">
        <v>484</v>
      </c>
      <c r="F1451" s="161">
        <v>45353</v>
      </c>
      <c r="G1451" s="107">
        <f t="shared" si="48"/>
        <v>5</v>
      </c>
    </row>
    <row r="1452" spans="1:7">
      <c r="A1452" s="107">
        <v>30</v>
      </c>
      <c r="B1452" s="107">
        <v>4</v>
      </c>
      <c r="C1452" s="107">
        <v>4</v>
      </c>
      <c r="D1452" s="107" t="s">
        <v>483</v>
      </c>
      <c r="E1452" s="107" t="s">
        <v>484</v>
      </c>
      <c r="F1452" s="161">
        <v>45353</v>
      </c>
      <c r="G1452" s="107">
        <f t="shared" si="48"/>
        <v>5</v>
      </c>
    </row>
    <row r="1453" spans="1:7">
      <c r="A1453" s="107">
        <v>30</v>
      </c>
      <c r="B1453" s="107">
        <v>4</v>
      </c>
      <c r="C1453" s="107">
        <v>5</v>
      </c>
      <c r="D1453" s="107" t="s">
        <v>483</v>
      </c>
      <c r="E1453" s="107" t="s">
        <v>484</v>
      </c>
      <c r="F1453" s="161">
        <v>45353</v>
      </c>
      <c r="G1453" s="107">
        <f t="shared" si="48"/>
        <v>5</v>
      </c>
    </row>
    <row r="1454" spans="1:7">
      <c r="A1454" s="107">
        <v>30</v>
      </c>
      <c r="B1454" s="107">
        <v>4</v>
      </c>
      <c r="C1454" s="107">
        <v>6</v>
      </c>
      <c r="D1454" s="107" t="s">
        <v>483</v>
      </c>
      <c r="E1454" s="107" t="s">
        <v>484</v>
      </c>
      <c r="F1454" s="161">
        <v>45353</v>
      </c>
      <c r="G1454" s="107">
        <f t="shared" si="48"/>
        <v>5</v>
      </c>
    </row>
    <row r="1455" spans="1:7">
      <c r="A1455" s="107">
        <v>30</v>
      </c>
      <c r="B1455" s="107">
        <v>4</v>
      </c>
      <c r="C1455" s="107">
        <v>7</v>
      </c>
      <c r="D1455" s="107" t="s">
        <v>483</v>
      </c>
      <c r="E1455" s="107" t="s">
        <v>484</v>
      </c>
      <c r="F1455" s="161">
        <v>45353</v>
      </c>
      <c r="G1455" s="107">
        <f t="shared" si="48"/>
        <v>5</v>
      </c>
    </row>
    <row r="1456" spans="1:7">
      <c r="A1456" s="107">
        <v>30</v>
      </c>
      <c r="B1456" s="107">
        <v>4</v>
      </c>
      <c r="C1456" s="107">
        <v>8</v>
      </c>
      <c r="D1456" s="107" t="s">
        <v>483</v>
      </c>
      <c r="E1456" s="107" t="s">
        <v>484</v>
      </c>
      <c r="F1456" s="161">
        <v>45354</v>
      </c>
      <c r="G1456" s="107">
        <f t="shared" si="48"/>
        <v>6</v>
      </c>
    </row>
    <row r="1457" spans="1:7">
      <c r="A1457" s="107">
        <v>30</v>
      </c>
      <c r="B1457" s="107">
        <v>5</v>
      </c>
      <c r="C1457" s="107">
        <v>1</v>
      </c>
      <c r="D1457" s="107" t="s">
        <v>485</v>
      </c>
      <c r="E1457" s="107" t="s">
        <v>486</v>
      </c>
      <c r="F1457" s="161">
        <v>45353</v>
      </c>
      <c r="G1457" s="107">
        <f t="shared" si="48"/>
        <v>5</v>
      </c>
    </row>
    <row r="1458" spans="1:7">
      <c r="A1458" s="107">
        <v>30</v>
      </c>
      <c r="B1458" s="107">
        <v>5</v>
      </c>
      <c r="C1458" s="107">
        <v>2</v>
      </c>
      <c r="D1458" s="107" t="s">
        <v>485</v>
      </c>
      <c r="E1458" s="107" t="s">
        <v>486</v>
      </c>
      <c r="F1458" s="161">
        <v>45353</v>
      </c>
      <c r="G1458" s="107">
        <f t="shared" si="48"/>
        <v>5</v>
      </c>
    </row>
    <row r="1459" spans="1:7">
      <c r="A1459" s="107">
        <v>30</v>
      </c>
      <c r="B1459" s="107">
        <v>5</v>
      </c>
      <c r="C1459" s="107">
        <v>3</v>
      </c>
      <c r="D1459" s="107" t="s">
        <v>485</v>
      </c>
      <c r="E1459" s="107" t="s">
        <v>486</v>
      </c>
      <c r="F1459" s="161">
        <v>45353</v>
      </c>
      <c r="G1459" s="107">
        <f t="shared" si="48"/>
        <v>5</v>
      </c>
    </row>
    <row r="1460" spans="1:7">
      <c r="A1460" s="107">
        <v>30</v>
      </c>
      <c r="B1460" s="107">
        <v>5</v>
      </c>
      <c r="C1460" s="107">
        <v>4</v>
      </c>
      <c r="D1460" s="107" t="s">
        <v>485</v>
      </c>
      <c r="E1460" s="107" t="s">
        <v>486</v>
      </c>
      <c r="F1460" s="161">
        <v>45353</v>
      </c>
      <c r="G1460" s="107">
        <f t="shared" si="48"/>
        <v>5</v>
      </c>
    </row>
    <row r="1461" spans="1:7">
      <c r="A1461" s="107">
        <v>30</v>
      </c>
      <c r="B1461" s="107">
        <v>5</v>
      </c>
      <c r="C1461" s="107">
        <v>5</v>
      </c>
      <c r="D1461" s="107" t="s">
        <v>485</v>
      </c>
      <c r="E1461" s="107" t="s">
        <v>486</v>
      </c>
      <c r="F1461" s="161">
        <v>45353</v>
      </c>
      <c r="G1461" s="107">
        <f t="shared" si="48"/>
        <v>5</v>
      </c>
    </row>
    <row r="1462" spans="1:7">
      <c r="A1462" s="107">
        <v>30</v>
      </c>
      <c r="B1462" s="107">
        <v>5</v>
      </c>
      <c r="C1462" s="107">
        <v>6</v>
      </c>
      <c r="D1462" s="107" t="s">
        <v>485</v>
      </c>
      <c r="E1462" s="107" t="s">
        <v>486</v>
      </c>
      <c r="F1462" s="161">
        <v>45353</v>
      </c>
      <c r="G1462" s="107">
        <f t="shared" si="48"/>
        <v>5</v>
      </c>
    </row>
    <row r="1463" spans="1:7">
      <c r="A1463" s="107">
        <v>30</v>
      </c>
      <c r="B1463" s="107">
        <v>5</v>
      </c>
      <c r="C1463" s="107">
        <v>7</v>
      </c>
      <c r="D1463" s="107" t="s">
        <v>485</v>
      </c>
      <c r="E1463" s="107" t="s">
        <v>486</v>
      </c>
      <c r="F1463" s="161">
        <v>45353</v>
      </c>
      <c r="G1463" s="107">
        <f t="shared" si="48"/>
        <v>5</v>
      </c>
    </row>
    <row r="1464" spans="1:7">
      <c r="A1464" s="107">
        <v>30</v>
      </c>
      <c r="B1464" s="107">
        <v>5</v>
      </c>
      <c r="C1464" s="107">
        <v>8</v>
      </c>
      <c r="D1464" s="107" t="s">
        <v>485</v>
      </c>
      <c r="E1464" s="107" t="s">
        <v>486</v>
      </c>
      <c r="F1464" s="161">
        <v>45352</v>
      </c>
      <c r="G1464" s="107">
        <f t="shared" si="48"/>
        <v>4</v>
      </c>
    </row>
    <row r="1465" spans="1:7">
      <c r="A1465" s="107">
        <v>30</v>
      </c>
      <c r="B1465" s="107">
        <v>6</v>
      </c>
      <c r="C1465" s="107">
        <v>1</v>
      </c>
      <c r="D1465" s="107" t="s">
        <v>487</v>
      </c>
      <c r="E1465" s="107" t="s">
        <v>488</v>
      </c>
      <c r="F1465" s="161">
        <v>45353</v>
      </c>
      <c r="G1465" s="107">
        <f t="shared" si="48"/>
        <v>5</v>
      </c>
    </row>
    <row r="1466" spans="1:7">
      <c r="A1466" s="107">
        <v>30</v>
      </c>
      <c r="B1466" s="107">
        <v>6</v>
      </c>
      <c r="C1466" s="107">
        <v>2</v>
      </c>
      <c r="D1466" s="107" t="s">
        <v>487</v>
      </c>
      <c r="E1466" s="107" t="s">
        <v>488</v>
      </c>
      <c r="F1466" s="161">
        <v>45353</v>
      </c>
      <c r="G1466" s="107">
        <f t="shared" si="48"/>
        <v>5</v>
      </c>
    </row>
    <row r="1467" spans="1:7">
      <c r="A1467" s="107">
        <v>30</v>
      </c>
      <c r="B1467" s="107">
        <v>6</v>
      </c>
      <c r="C1467" s="107">
        <v>3</v>
      </c>
      <c r="D1467" s="107" t="s">
        <v>487</v>
      </c>
      <c r="E1467" s="107" t="s">
        <v>488</v>
      </c>
      <c r="F1467" s="161">
        <v>45353</v>
      </c>
      <c r="G1467" s="107">
        <f t="shared" si="48"/>
        <v>5</v>
      </c>
    </row>
    <row r="1468" spans="1:7">
      <c r="A1468" s="107">
        <v>30</v>
      </c>
      <c r="B1468" s="107">
        <v>6</v>
      </c>
      <c r="C1468" s="107">
        <v>4</v>
      </c>
      <c r="D1468" s="107" t="s">
        <v>487</v>
      </c>
      <c r="E1468" s="107" t="s">
        <v>951</v>
      </c>
      <c r="F1468" s="161">
        <v>45353</v>
      </c>
      <c r="G1468" s="107">
        <f t="shared" si="48"/>
        <v>5</v>
      </c>
    </row>
    <row r="1469" spans="1:7">
      <c r="A1469" s="107">
        <v>30</v>
      </c>
      <c r="B1469" s="107">
        <v>6</v>
      </c>
      <c r="C1469" s="107">
        <v>5</v>
      </c>
      <c r="D1469" s="107" t="s">
        <v>487</v>
      </c>
      <c r="E1469" s="107" t="s">
        <v>488</v>
      </c>
      <c r="F1469" s="161">
        <v>45353</v>
      </c>
      <c r="G1469" s="107">
        <f t="shared" si="48"/>
        <v>5</v>
      </c>
    </row>
    <row r="1470" spans="1:7">
      <c r="A1470" s="107">
        <v>30</v>
      </c>
      <c r="B1470" s="107">
        <v>6</v>
      </c>
      <c r="C1470" s="107">
        <v>6</v>
      </c>
      <c r="D1470" s="107" t="s">
        <v>487</v>
      </c>
      <c r="E1470" s="107" t="s">
        <v>488</v>
      </c>
      <c r="F1470" s="161">
        <v>45353</v>
      </c>
      <c r="G1470" s="107">
        <f t="shared" si="48"/>
        <v>5</v>
      </c>
    </row>
    <row r="1471" spans="1:7">
      <c r="A1471" s="107">
        <v>30</v>
      </c>
      <c r="B1471" s="107">
        <v>6</v>
      </c>
      <c r="C1471" s="107">
        <v>7</v>
      </c>
      <c r="D1471" s="107" t="s">
        <v>487</v>
      </c>
      <c r="E1471" s="107" t="s">
        <v>488</v>
      </c>
      <c r="F1471" s="161">
        <v>45353</v>
      </c>
      <c r="G1471" s="107">
        <f t="shared" si="48"/>
        <v>5</v>
      </c>
    </row>
    <row r="1472" spans="1:7">
      <c r="A1472" s="107">
        <v>30</v>
      </c>
      <c r="B1472" s="107">
        <v>6</v>
      </c>
      <c r="C1472" s="107">
        <v>8</v>
      </c>
      <c r="D1472" s="107" t="s">
        <v>487</v>
      </c>
      <c r="E1472" s="107" t="s">
        <v>488</v>
      </c>
      <c r="F1472" s="161">
        <v>45353</v>
      </c>
      <c r="G1472" s="107">
        <f t="shared" si="48"/>
        <v>5</v>
      </c>
    </row>
    <row r="1474" spans="1:7">
      <c r="A1474" s="107">
        <v>31</v>
      </c>
      <c r="B1474" s="107">
        <v>1</v>
      </c>
      <c r="C1474" s="107">
        <v>1</v>
      </c>
      <c r="D1474" s="107" t="s">
        <v>489</v>
      </c>
      <c r="E1474" s="107" t="s">
        <v>490</v>
      </c>
      <c r="F1474" s="161">
        <v>45353</v>
      </c>
      <c r="G1474" s="107">
        <f t="shared" ref="G1474:G1521" si="49">DATEDIF(G$2,F1474,"d")</f>
        <v>5</v>
      </c>
    </row>
    <row r="1475" spans="1:7">
      <c r="A1475" s="107">
        <v>31</v>
      </c>
      <c r="B1475" s="107">
        <v>1</v>
      </c>
      <c r="C1475" s="107">
        <v>2</v>
      </c>
      <c r="D1475" s="107" t="s">
        <v>489</v>
      </c>
      <c r="E1475" s="107" t="s">
        <v>490</v>
      </c>
      <c r="F1475" s="161">
        <v>45353</v>
      </c>
      <c r="G1475" s="107">
        <f t="shared" si="49"/>
        <v>5</v>
      </c>
    </row>
    <row r="1476" spans="1:7">
      <c r="A1476" s="107">
        <v>31</v>
      </c>
      <c r="B1476" s="107">
        <v>1</v>
      </c>
      <c r="C1476" s="107">
        <v>3</v>
      </c>
      <c r="D1476" s="107" t="s">
        <v>489</v>
      </c>
      <c r="E1476" s="107" t="s">
        <v>490</v>
      </c>
      <c r="F1476" s="161">
        <v>45357</v>
      </c>
      <c r="G1476" s="107">
        <f t="shared" si="49"/>
        <v>9</v>
      </c>
    </row>
    <row r="1477" spans="1:7">
      <c r="A1477" s="107">
        <v>31</v>
      </c>
      <c r="B1477" s="107">
        <v>1</v>
      </c>
      <c r="C1477" s="107">
        <v>4</v>
      </c>
      <c r="D1477" s="107" t="s">
        <v>489</v>
      </c>
      <c r="E1477" s="107" t="s">
        <v>490</v>
      </c>
      <c r="F1477" s="161">
        <v>45353</v>
      </c>
      <c r="G1477" s="107">
        <f t="shared" si="49"/>
        <v>5</v>
      </c>
    </row>
    <row r="1478" spans="1:7">
      <c r="A1478" s="107">
        <v>31</v>
      </c>
      <c r="B1478" s="107">
        <v>1</v>
      </c>
      <c r="C1478" s="107">
        <v>5</v>
      </c>
      <c r="D1478" s="107" t="s">
        <v>489</v>
      </c>
      <c r="E1478" s="107" t="s">
        <v>490</v>
      </c>
      <c r="F1478" s="161">
        <v>45353</v>
      </c>
      <c r="G1478" s="107">
        <f t="shared" si="49"/>
        <v>5</v>
      </c>
    </row>
    <row r="1479" spans="1:7">
      <c r="A1479" s="107">
        <v>31</v>
      </c>
      <c r="B1479" s="107">
        <v>1</v>
      </c>
      <c r="C1479" s="107">
        <v>6</v>
      </c>
      <c r="D1479" s="107" t="s">
        <v>489</v>
      </c>
      <c r="E1479" s="107" t="s">
        <v>490</v>
      </c>
      <c r="F1479" s="161">
        <v>45353</v>
      </c>
      <c r="G1479" s="107">
        <f t="shared" si="49"/>
        <v>5</v>
      </c>
    </row>
    <row r="1480" spans="1:7">
      <c r="A1480" s="107">
        <v>31</v>
      </c>
      <c r="B1480" s="107">
        <v>1</v>
      </c>
      <c r="C1480" s="107">
        <v>7</v>
      </c>
      <c r="D1480" s="107" t="s">
        <v>489</v>
      </c>
      <c r="E1480" s="107" t="s">
        <v>490</v>
      </c>
      <c r="F1480" s="161">
        <v>45352</v>
      </c>
      <c r="G1480" s="107">
        <f t="shared" si="49"/>
        <v>4</v>
      </c>
    </row>
    <row r="1481" spans="1:7">
      <c r="A1481" s="107">
        <v>31</v>
      </c>
      <c r="B1481" s="107">
        <v>1</v>
      </c>
      <c r="C1481" s="107">
        <v>8</v>
      </c>
      <c r="D1481" s="107" t="s">
        <v>489</v>
      </c>
      <c r="E1481" s="107" t="s">
        <v>490</v>
      </c>
      <c r="F1481" s="161">
        <v>45353</v>
      </c>
      <c r="G1481" s="107">
        <f t="shared" si="49"/>
        <v>5</v>
      </c>
    </row>
    <row r="1482" spans="1:7">
      <c r="A1482" s="107">
        <v>31</v>
      </c>
      <c r="B1482" s="107">
        <v>2</v>
      </c>
      <c r="C1482" s="107">
        <v>1</v>
      </c>
      <c r="D1482" s="107" t="s">
        <v>491</v>
      </c>
      <c r="E1482" s="107" t="s">
        <v>492</v>
      </c>
      <c r="F1482" s="161">
        <v>45353</v>
      </c>
      <c r="G1482" s="107">
        <f t="shared" si="49"/>
        <v>5</v>
      </c>
    </row>
    <row r="1483" spans="1:7">
      <c r="A1483" s="107">
        <v>31</v>
      </c>
      <c r="B1483" s="107">
        <v>2</v>
      </c>
      <c r="C1483" s="107">
        <v>2</v>
      </c>
      <c r="D1483" s="107" t="s">
        <v>491</v>
      </c>
      <c r="E1483" s="107" t="s">
        <v>492</v>
      </c>
      <c r="F1483" s="161">
        <v>45353</v>
      </c>
      <c r="G1483" s="107">
        <f t="shared" si="49"/>
        <v>5</v>
      </c>
    </row>
    <row r="1484" spans="1:7">
      <c r="A1484" s="107">
        <v>31</v>
      </c>
      <c r="B1484" s="107">
        <v>2</v>
      </c>
      <c r="C1484" s="107">
        <v>3</v>
      </c>
      <c r="D1484" s="107" t="s">
        <v>491</v>
      </c>
      <c r="E1484" s="107" t="s">
        <v>492</v>
      </c>
      <c r="F1484" s="161">
        <v>45353</v>
      </c>
      <c r="G1484" s="107">
        <f t="shared" si="49"/>
        <v>5</v>
      </c>
    </row>
    <row r="1485" spans="1:7">
      <c r="A1485" s="107">
        <v>31</v>
      </c>
      <c r="B1485" s="107">
        <v>2</v>
      </c>
      <c r="C1485" s="107">
        <v>4</v>
      </c>
      <c r="D1485" s="107" t="s">
        <v>491</v>
      </c>
      <c r="E1485" s="107" t="s">
        <v>492</v>
      </c>
      <c r="F1485" s="161">
        <v>45353</v>
      </c>
      <c r="G1485" s="107">
        <f t="shared" si="49"/>
        <v>5</v>
      </c>
    </row>
    <row r="1486" spans="1:7">
      <c r="A1486" s="107">
        <v>31</v>
      </c>
      <c r="B1486" s="107">
        <v>2</v>
      </c>
      <c r="C1486" s="107">
        <v>5</v>
      </c>
      <c r="D1486" s="107" t="s">
        <v>491</v>
      </c>
      <c r="E1486" s="107" t="s">
        <v>492</v>
      </c>
      <c r="F1486" s="161">
        <v>45352</v>
      </c>
      <c r="G1486" s="107">
        <f t="shared" si="49"/>
        <v>4</v>
      </c>
    </row>
    <row r="1487" spans="1:7">
      <c r="A1487" s="107">
        <v>31</v>
      </c>
      <c r="B1487" s="107">
        <v>2</v>
      </c>
      <c r="C1487" s="107">
        <v>6</v>
      </c>
      <c r="D1487" s="107" t="s">
        <v>491</v>
      </c>
      <c r="E1487" s="107" t="s">
        <v>492</v>
      </c>
      <c r="F1487" s="161">
        <v>45352</v>
      </c>
      <c r="G1487" s="107">
        <f t="shared" si="49"/>
        <v>4</v>
      </c>
    </row>
    <row r="1488" spans="1:7">
      <c r="A1488" s="107">
        <v>31</v>
      </c>
      <c r="B1488" s="107">
        <v>2</v>
      </c>
      <c r="C1488" s="107">
        <v>7</v>
      </c>
      <c r="D1488" s="107" t="s">
        <v>491</v>
      </c>
      <c r="E1488" s="107" t="s">
        <v>492</v>
      </c>
      <c r="F1488" s="161">
        <v>45353</v>
      </c>
      <c r="G1488" s="107">
        <f t="shared" si="49"/>
        <v>5</v>
      </c>
    </row>
    <row r="1489" spans="1:7">
      <c r="A1489" s="107">
        <v>31</v>
      </c>
      <c r="B1489" s="107">
        <v>2</v>
      </c>
      <c r="C1489" s="107">
        <v>8</v>
      </c>
      <c r="D1489" s="107" t="s">
        <v>491</v>
      </c>
      <c r="E1489" s="107" t="s">
        <v>492</v>
      </c>
      <c r="F1489" s="161">
        <v>45353</v>
      </c>
      <c r="G1489" s="107">
        <f t="shared" si="49"/>
        <v>5</v>
      </c>
    </row>
    <row r="1490" spans="1:7">
      <c r="A1490" s="107">
        <v>31</v>
      </c>
      <c r="B1490" s="107">
        <v>3</v>
      </c>
      <c r="C1490" s="107">
        <v>1</v>
      </c>
      <c r="D1490" s="107" t="s">
        <v>493</v>
      </c>
      <c r="E1490" s="107" t="s">
        <v>494</v>
      </c>
      <c r="F1490" s="161">
        <v>45352</v>
      </c>
      <c r="G1490" s="107">
        <f t="shared" si="49"/>
        <v>4</v>
      </c>
    </row>
    <row r="1491" spans="1:7">
      <c r="A1491" s="107">
        <v>31</v>
      </c>
      <c r="B1491" s="107">
        <v>3</v>
      </c>
      <c r="C1491" s="107">
        <v>2</v>
      </c>
      <c r="D1491" s="107" t="s">
        <v>493</v>
      </c>
      <c r="E1491" s="107" t="s">
        <v>494</v>
      </c>
      <c r="F1491" s="161">
        <v>45352</v>
      </c>
      <c r="G1491" s="107">
        <f t="shared" si="49"/>
        <v>4</v>
      </c>
    </row>
    <row r="1492" spans="1:7">
      <c r="A1492" s="107">
        <v>31</v>
      </c>
      <c r="B1492" s="107">
        <v>3</v>
      </c>
      <c r="C1492" s="107">
        <v>3</v>
      </c>
      <c r="D1492" s="107" t="s">
        <v>493</v>
      </c>
      <c r="E1492" s="107" t="s">
        <v>494</v>
      </c>
      <c r="F1492" s="161">
        <v>45356</v>
      </c>
      <c r="G1492" s="107">
        <f t="shared" si="49"/>
        <v>8</v>
      </c>
    </row>
    <row r="1493" spans="1:7">
      <c r="A1493" s="107">
        <v>31</v>
      </c>
      <c r="B1493" s="107">
        <v>3</v>
      </c>
      <c r="C1493" s="107">
        <v>4</v>
      </c>
      <c r="D1493" s="107" t="s">
        <v>493</v>
      </c>
      <c r="E1493" s="107" t="s">
        <v>494</v>
      </c>
      <c r="F1493" s="161">
        <v>45353</v>
      </c>
      <c r="G1493" s="107">
        <f t="shared" si="49"/>
        <v>5</v>
      </c>
    </row>
    <row r="1494" spans="1:7">
      <c r="A1494" s="107">
        <v>31</v>
      </c>
      <c r="B1494" s="107">
        <v>3</v>
      </c>
      <c r="C1494" s="107">
        <v>5</v>
      </c>
      <c r="D1494" s="107" t="s">
        <v>493</v>
      </c>
      <c r="E1494" s="107" t="s">
        <v>494</v>
      </c>
      <c r="F1494" s="161">
        <v>45354</v>
      </c>
      <c r="G1494" s="107">
        <f t="shared" si="49"/>
        <v>6</v>
      </c>
    </row>
    <row r="1495" spans="1:7">
      <c r="A1495" s="107">
        <v>31</v>
      </c>
      <c r="B1495" s="107">
        <v>3</v>
      </c>
      <c r="C1495" s="107">
        <v>6</v>
      </c>
      <c r="D1495" s="107" t="s">
        <v>493</v>
      </c>
      <c r="E1495" s="107" t="s">
        <v>494</v>
      </c>
      <c r="F1495" s="161">
        <v>45352</v>
      </c>
      <c r="G1495" s="107">
        <f t="shared" si="49"/>
        <v>4</v>
      </c>
    </row>
    <row r="1496" spans="1:7">
      <c r="A1496" s="107">
        <v>31</v>
      </c>
      <c r="B1496" s="107">
        <v>3</v>
      </c>
      <c r="C1496" s="107">
        <v>7</v>
      </c>
      <c r="D1496" s="107" t="s">
        <v>493</v>
      </c>
      <c r="E1496" s="107" t="s">
        <v>494</v>
      </c>
      <c r="F1496" s="161">
        <v>45353</v>
      </c>
      <c r="G1496" s="107">
        <f t="shared" si="49"/>
        <v>5</v>
      </c>
    </row>
    <row r="1497" spans="1:7">
      <c r="A1497" s="107">
        <v>31</v>
      </c>
      <c r="B1497" s="107">
        <v>3</v>
      </c>
      <c r="C1497" s="107">
        <v>8</v>
      </c>
      <c r="D1497" s="107" t="s">
        <v>493</v>
      </c>
      <c r="E1497" s="107" t="s">
        <v>494</v>
      </c>
      <c r="F1497" s="161">
        <v>45352</v>
      </c>
      <c r="G1497" s="107">
        <f t="shared" si="49"/>
        <v>4</v>
      </c>
    </row>
    <row r="1498" spans="1:7">
      <c r="A1498" s="107">
        <v>31</v>
      </c>
      <c r="B1498" s="107">
        <v>4</v>
      </c>
      <c r="C1498" s="107">
        <v>1</v>
      </c>
      <c r="D1498" s="107" t="s">
        <v>495</v>
      </c>
      <c r="E1498" s="107" t="s">
        <v>496</v>
      </c>
      <c r="F1498" s="161">
        <v>45353</v>
      </c>
      <c r="G1498" s="107">
        <f t="shared" si="49"/>
        <v>5</v>
      </c>
    </row>
    <row r="1499" spans="1:7">
      <c r="A1499" s="107">
        <v>31</v>
      </c>
      <c r="B1499" s="107">
        <v>4</v>
      </c>
      <c r="C1499" s="107">
        <v>2</v>
      </c>
      <c r="D1499" s="107" t="s">
        <v>495</v>
      </c>
      <c r="E1499" s="107" t="s">
        <v>496</v>
      </c>
      <c r="F1499" s="161">
        <v>45353</v>
      </c>
      <c r="G1499" s="107">
        <f t="shared" si="49"/>
        <v>5</v>
      </c>
    </row>
    <row r="1500" spans="1:7">
      <c r="A1500" s="107">
        <v>31</v>
      </c>
      <c r="B1500" s="107">
        <v>4</v>
      </c>
      <c r="C1500" s="107">
        <v>3</v>
      </c>
      <c r="D1500" s="107" t="s">
        <v>495</v>
      </c>
      <c r="E1500" s="107" t="s">
        <v>496</v>
      </c>
      <c r="F1500" s="161">
        <v>45353</v>
      </c>
      <c r="G1500" s="107">
        <f t="shared" si="49"/>
        <v>5</v>
      </c>
    </row>
    <row r="1501" spans="1:7">
      <c r="A1501" s="107">
        <v>31</v>
      </c>
      <c r="B1501" s="107">
        <v>4</v>
      </c>
      <c r="C1501" s="107">
        <v>4</v>
      </c>
      <c r="D1501" s="107" t="s">
        <v>495</v>
      </c>
      <c r="E1501" s="107" t="s">
        <v>496</v>
      </c>
      <c r="F1501" s="161">
        <v>45353</v>
      </c>
      <c r="G1501" s="107">
        <f t="shared" si="49"/>
        <v>5</v>
      </c>
    </row>
    <row r="1502" spans="1:7">
      <c r="A1502" s="107">
        <v>31</v>
      </c>
      <c r="B1502" s="107">
        <v>4</v>
      </c>
      <c r="C1502" s="107">
        <v>5</v>
      </c>
      <c r="D1502" s="107" t="s">
        <v>495</v>
      </c>
      <c r="E1502" s="107" t="s">
        <v>496</v>
      </c>
      <c r="F1502" s="161">
        <v>45353</v>
      </c>
      <c r="G1502" s="107">
        <f t="shared" si="49"/>
        <v>5</v>
      </c>
    </row>
    <row r="1503" spans="1:7">
      <c r="A1503" s="107">
        <v>31</v>
      </c>
      <c r="B1503" s="107">
        <v>4</v>
      </c>
      <c r="C1503" s="107">
        <v>6</v>
      </c>
      <c r="D1503" s="107" t="s">
        <v>495</v>
      </c>
      <c r="E1503" s="107" t="s">
        <v>496</v>
      </c>
      <c r="F1503" s="161">
        <v>45353</v>
      </c>
      <c r="G1503" s="107">
        <f t="shared" si="49"/>
        <v>5</v>
      </c>
    </row>
    <row r="1504" spans="1:7">
      <c r="A1504" s="107">
        <v>31</v>
      </c>
      <c r="B1504" s="107">
        <v>4</v>
      </c>
      <c r="C1504" s="107">
        <v>7</v>
      </c>
      <c r="D1504" s="107" t="s">
        <v>495</v>
      </c>
      <c r="E1504" s="107" t="s">
        <v>496</v>
      </c>
      <c r="F1504" s="161">
        <v>45353</v>
      </c>
      <c r="G1504" s="107">
        <f t="shared" si="49"/>
        <v>5</v>
      </c>
    </row>
    <row r="1505" spans="1:7">
      <c r="A1505" s="107">
        <v>31</v>
      </c>
      <c r="B1505" s="107">
        <v>4</v>
      </c>
      <c r="C1505" s="107">
        <v>8</v>
      </c>
      <c r="D1505" s="107" t="s">
        <v>495</v>
      </c>
      <c r="E1505" s="107" t="s">
        <v>496</v>
      </c>
      <c r="F1505" s="161">
        <v>45353</v>
      </c>
      <c r="G1505" s="107">
        <f t="shared" si="49"/>
        <v>5</v>
      </c>
    </row>
    <row r="1506" spans="1:7">
      <c r="A1506" s="107">
        <v>31</v>
      </c>
      <c r="B1506" s="107">
        <v>5</v>
      </c>
      <c r="C1506" s="107">
        <v>1</v>
      </c>
      <c r="D1506" s="107" t="s">
        <v>497</v>
      </c>
      <c r="E1506" s="107" t="s">
        <v>496</v>
      </c>
      <c r="F1506" s="161">
        <v>45353</v>
      </c>
      <c r="G1506" s="107">
        <f t="shared" si="49"/>
        <v>5</v>
      </c>
    </row>
    <row r="1507" spans="1:7">
      <c r="A1507" s="107">
        <v>31</v>
      </c>
      <c r="B1507" s="107">
        <v>5</v>
      </c>
      <c r="C1507" s="107">
        <v>2</v>
      </c>
      <c r="D1507" s="107" t="s">
        <v>497</v>
      </c>
      <c r="E1507" s="107" t="s">
        <v>496</v>
      </c>
      <c r="F1507" s="161">
        <v>45353</v>
      </c>
      <c r="G1507" s="107">
        <f t="shared" si="49"/>
        <v>5</v>
      </c>
    </row>
    <row r="1508" spans="1:7">
      <c r="A1508" s="107">
        <v>31</v>
      </c>
      <c r="B1508" s="107">
        <v>5</v>
      </c>
      <c r="C1508" s="107">
        <v>3</v>
      </c>
      <c r="D1508" s="107" t="s">
        <v>497</v>
      </c>
      <c r="E1508" s="107" t="s">
        <v>496</v>
      </c>
      <c r="F1508" s="161">
        <v>45353</v>
      </c>
      <c r="G1508" s="107">
        <f t="shared" si="49"/>
        <v>5</v>
      </c>
    </row>
    <row r="1509" spans="1:7">
      <c r="A1509" s="107">
        <v>31</v>
      </c>
      <c r="B1509" s="107">
        <v>5</v>
      </c>
      <c r="C1509" s="107">
        <v>4</v>
      </c>
      <c r="D1509" s="107" t="s">
        <v>497</v>
      </c>
      <c r="E1509" s="107" t="s">
        <v>496</v>
      </c>
      <c r="F1509" s="161">
        <v>45353</v>
      </c>
      <c r="G1509" s="107">
        <f t="shared" si="49"/>
        <v>5</v>
      </c>
    </row>
    <row r="1510" spans="1:7">
      <c r="A1510" s="107">
        <v>31</v>
      </c>
      <c r="B1510" s="107">
        <v>5</v>
      </c>
      <c r="C1510" s="107">
        <v>5</v>
      </c>
      <c r="D1510" s="107" t="s">
        <v>497</v>
      </c>
      <c r="E1510" s="107" t="s">
        <v>496</v>
      </c>
      <c r="F1510" s="161">
        <v>45353</v>
      </c>
      <c r="G1510" s="107">
        <f t="shared" si="49"/>
        <v>5</v>
      </c>
    </row>
    <row r="1511" spans="1:7">
      <c r="A1511" s="107">
        <v>31</v>
      </c>
      <c r="B1511" s="107">
        <v>5</v>
      </c>
      <c r="C1511" s="107">
        <v>6</v>
      </c>
      <c r="D1511" s="107" t="s">
        <v>497</v>
      </c>
      <c r="E1511" s="107" t="s">
        <v>496</v>
      </c>
      <c r="F1511" s="161">
        <v>45353</v>
      </c>
      <c r="G1511" s="107">
        <f t="shared" si="49"/>
        <v>5</v>
      </c>
    </row>
    <row r="1512" spans="1:7">
      <c r="A1512" s="107">
        <v>31</v>
      </c>
      <c r="B1512" s="107">
        <v>5</v>
      </c>
      <c r="C1512" s="107">
        <v>7</v>
      </c>
      <c r="D1512" s="107" t="s">
        <v>497</v>
      </c>
      <c r="E1512" s="107" t="s">
        <v>496</v>
      </c>
      <c r="F1512" s="161">
        <v>45353</v>
      </c>
      <c r="G1512" s="107">
        <f t="shared" si="49"/>
        <v>5</v>
      </c>
    </row>
    <row r="1513" spans="1:7">
      <c r="A1513" s="107">
        <v>31</v>
      </c>
      <c r="B1513" s="107">
        <v>5</v>
      </c>
      <c r="C1513" s="107">
        <v>8</v>
      </c>
      <c r="D1513" s="107" t="s">
        <v>497</v>
      </c>
      <c r="E1513" s="107" t="s">
        <v>496</v>
      </c>
      <c r="F1513" s="161">
        <v>45353</v>
      </c>
      <c r="G1513" s="107">
        <f t="shared" si="49"/>
        <v>5</v>
      </c>
    </row>
    <row r="1514" spans="1:7">
      <c r="A1514" s="107">
        <v>31</v>
      </c>
      <c r="B1514" s="107">
        <v>6</v>
      </c>
      <c r="C1514" s="107">
        <v>1</v>
      </c>
      <c r="D1514" s="107" t="s">
        <v>498</v>
      </c>
      <c r="E1514" s="107" t="s">
        <v>499</v>
      </c>
      <c r="F1514" s="161">
        <v>45353</v>
      </c>
      <c r="G1514" s="107">
        <f t="shared" si="49"/>
        <v>5</v>
      </c>
    </row>
    <row r="1515" spans="1:7">
      <c r="A1515" s="107">
        <v>31</v>
      </c>
      <c r="B1515" s="107">
        <v>6</v>
      </c>
      <c r="C1515" s="107">
        <v>2</v>
      </c>
      <c r="D1515" s="107" t="s">
        <v>498</v>
      </c>
      <c r="E1515" s="107" t="s">
        <v>499</v>
      </c>
      <c r="F1515" s="161">
        <v>45353</v>
      </c>
      <c r="G1515" s="107">
        <f t="shared" si="49"/>
        <v>5</v>
      </c>
    </row>
    <row r="1516" spans="1:7">
      <c r="A1516" s="107">
        <v>31</v>
      </c>
      <c r="B1516" s="107">
        <v>6</v>
      </c>
      <c r="C1516" s="107">
        <v>3</v>
      </c>
      <c r="D1516" s="107" t="s">
        <v>498</v>
      </c>
      <c r="E1516" s="107" t="s">
        <v>499</v>
      </c>
      <c r="F1516" s="161">
        <v>45352</v>
      </c>
      <c r="G1516" s="107">
        <f t="shared" si="49"/>
        <v>4</v>
      </c>
    </row>
    <row r="1517" spans="1:7">
      <c r="A1517" s="107">
        <v>31</v>
      </c>
      <c r="B1517" s="107">
        <v>6</v>
      </c>
      <c r="C1517" s="107">
        <v>4</v>
      </c>
      <c r="D1517" s="107" t="s">
        <v>498</v>
      </c>
      <c r="E1517" s="107" t="s">
        <v>499</v>
      </c>
      <c r="F1517" s="161">
        <v>45352</v>
      </c>
      <c r="G1517" s="107">
        <f t="shared" si="49"/>
        <v>4</v>
      </c>
    </row>
    <row r="1518" spans="1:7">
      <c r="A1518" s="107">
        <v>31</v>
      </c>
      <c r="B1518" s="107">
        <v>6</v>
      </c>
      <c r="C1518" s="107">
        <v>5</v>
      </c>
      <c r="D1518" s="107" t="s">
        <v>498</v>
      </c>
      <c r="E1518" s="107" t="s">
        <v>499</v>
      </c>
      <c r="F1518" s="161">
        <v>45353</v>
      </c>
      <c r="G1518" s="107">
        <f t="shared" si="49"/>
        <v>5</v>
      </c>
    </row>
    <row r="1519" spans="1:7">
      <c r="A1519" s="107">
        <v>31</v>
      </c>
      <c r="B1519" s="107">
        <v>6</v>
      </c>
      <c r="C1519" s="107">
        <v>6</v>
      </c>
      <c r="D1519" s="107" t="s">
        <v>498</v>
      </c>
      <c r="E1519" s="107" t="s">
        <v>499</v>
      </c>
      <c r="F1519" s="161">
        <v>45353</v>
      </c>
      <c r="G1519" s="107">
        <f t="shared" si="49"/>
        <v>5</v>
      </c>
    </row>
    <row r="1520" spans="1:7">
      <c r="A1520" s="107">
        <v>31</v>
      </c>
      <c r="B1520" s="107">
        <v>6</v>
      </c>
      <c r="C1520" s="107">
        <v>7</v>
      </c>
      <c r="D1520" s="107" t="s">
        <v>498</v>
      </c>
      <c r="E1520" s="107" t="s">
        <v>499</v>
      </c>
      <c r="F1520" s="161">
        <v>45358</v>
      </c>
      <c r="G1520" s="107">
        <f t="shared" si="49"/>
        <v>10</v>
      </c>
    </row>
    <row r="1521" spans="1:7">
      <c r="A1521" s="107">
        <v>31</v>
      </c>
      <c r="B1521" s="107">
        <v>6</v>
      </c>
      <c r="C1521" s="107">
        <v>8</v>
      </c>
      <c r="D1521" s="107" t="s">
        <v>498</v>
      </c>
      <c r="E1521" s="107" t="s">
        <v>499</v>
      </c>
      <c r="F1521" s="161">
        <v>45352</v>
      </c>
      <c r="G1521" s="107">
        <f t="shared" si="49"/>
        <v>4</v>
      </c>
    </row>
    <row r="1523" spans="1:7">
      <c r="A1523" s="107">
        <v>32</v>
      </c>
      <c r="B1523" s="107">
        <v>1</v>
      </c>
      <c r="C1523" s="107">
        <v>1</v>
      </c>
      <c r="D1523" s="107" t="s">
        <v>500</v>
      </c>
      <c r="E1523" s="107" t="s">
        <v>501</v>
      </c>
      <c r="F1523" s="161">
        <v>45352</v>
      </c>
      <c r="G1523" s="107">
        <f>DATEDIF(G$2,F1523,"d")</f>
        <v>4</v>
      </c>
    </row>
    <row r="1524" spans="1:7">
      <c r="A1524" s="107">
        <v>32</v>
      </c>
      <c r="B1524" s="107">
        <v>1</v>
      </c>
      <c r="C1524" s="107">
        <v>2</v>
      </c>
      <c r="D1524" s="107" t="s">
        <v>500</v>
      </c>
      <c r="E1524" s="107" t="s">
        <v>501</v>
      </c>
      <c r="F1524" s="161">
        <v>45353</v>
      </c>
      <c r="G1524" s="107">
        <f>DATEDIF(G$2,F1524,"d")</f>
        <v>5</v>
      </c>
    </row>
    <row r="1525" spans="1:7">
      <c r="A1525" s="107">
        <v>32</v>
      </c>
      <c r="B1525" s="107">
        <v>1</v>
      </c>
      <c r="C1525" s="107">
        <v>3</v>
      </c>
      <c r="D1525" s="107" t="s">
        <v>500</v>
      </c>
      <c r="E1525" s="107" t="s">
        <v>501</v>
      </c>
      <c r="F1525" s="107"/>
      <c r="G1525" s="107"/>
    </row>
    <row r="1526" spans="1:7">
      <c r="A1526" s="107">
        <v>32</v>
      </c>
      <c r="B1526" s="107">
        <v>1</v>
      </c>
      <c r="C1526" s="107">
        <v>4</v>
      </c>
      <c r="D1526" s="107" t="s">
        <v>500</v>
      </c>
      <c r="E1526" s="107" t="s">
        <v>501</v>
      </c>
      <c r="F1526" s="161">
        <v>45352</v>
      </c>
      <c r="G1526" s="107">
        <f>DATEDIF(G$2,F1526,"d")</f>
        <v>4</v>
      </c>
    </row>
    <row r="1527" spans="1:7">
      <c r="A1527" s="107">
        <v>32</v>
      </c>
      <c r="B1527" s="107">
        <v>1</v>
      </c>
      <c r="C1527" s="107">
        <v>5</v>
      </c>
      <c r="D1527" s="107" t="s">
        <v>500</v>
      </c>
      <c r="E1527" s="107" t="s">
        <v>501</v>
      </c>
      <c r="F1527" s="161">
        <v>45353</v>
      </c>
      <c r="G1527" s="107">
        <f>DATEDIF(G$2,F1527,"d")</f>
        <v>5</v>
      </c>
    </row>
    <row r="1528" spans="1:7">
      <c r="A1528" s="107">
        <v>32</v>
      </c>
      <c r="B1528" s="107">
        <v>1</v>
      </c>
      <c r="C1528" s="107">
        <v>6</v>
      </c>
      <c r="D1528" s="107" t="s">
        <v>500</v>
      </c>
      <c r="E1528" s="107" t="s">
        <v>501</v>
      </c>
      <c r="F1528" s="161">
        <v>45353</v>
      </c>
      <c r="G1528" s="107">
        <f>DATEDIF(G$2,F1528,"d")</f>
        <v>5</v>
      </c>
    </row>
    <row r="1529" spans="1:7">
      <c r="A1529" s="107">
        <v>32</v>
      </c>
      <c r="B1529" s="107">
        <v>1</v>
      </c>
      <c r="C1529" s="107">
        <v>7</v>
      </c>
      <c r="D1529" s="107" t="s">
        <v>500</v>
      </c>
      <c r="E1529" s="107" t="s">
        <v>501</v>
      </c>
      <c r="F1529" s="107"/>
      <c r="G1529" s="107"/>
    </row>
    <row r="1530" spans="1:7">
      <c r="A1530" s="107">
        <v>32</v>
      </c>
      <c r="B1530" s="107">
        <v>1</v>
      </c>
      <c r="C1530" s="107">
        <v>8</v>
      </c>
      <c r="D1530" s="107" t="s">
        <v>500</v>
      </c>
      <c r="E1530" s="107" t="s">
        <v>501</v>
      </c>
      <c r="F1530" s="161">
        <v>45353</v>
      </c>
      <c r="G1530" s="107">
        <f t="shared" ref="G1530:G1570" si="50">DATEDIF(G$2,F1530,"d")</f>
        <v>5</v>
      </c>
    </row>
    <row r="1531" spans="1:7">
      <c r="A1531" s="107">
        <v>32</v>
      </c>
      <c r="B1531" s="107">
        <v>2</v>
      </c>
      <c r="C1531" s="107">
        <v>1</v>
      </c>
      <c r="D1531" s="107" t="s">
        <v>502</v>
      </c>
      <c r="E1531" s="107" t="s">
        <v>503</v>
      </c>
      <c r="F1531" s="161">
        <v>45353</v>
      </c>
      <c r="G1531" s="107">
        <f t="shared" si="50"/>
        <v>5</v>
      </c>
    </row>
    <row r="1532" spans="1:7">
      <c r="A1532" s="107">
        <v>32</v>
      </c>
      <c r="B1532" s="107">
        <v>2</v>
      </c>
      <c r="C1532" s="107">
        <v>2</v>
      </c>
      <c r="D1532" s="107" t="s">
        <v>502</v>
      </c>
      <c r="E1532" s="107" t="s">
        <v>503</v>
      </c>
      <c r="F1532" s="161">
        <v>45352</v>
      </c>
      <c r="G1532" s="107">
        <f t="shared" si="50"/>
        <v>4</v>
      </c>
    </row>
    <row r="1533" spans="1:7">
      <c r="A1533" s="107">
        <v>32</v>
      </c>
      <c r="B1533" s="107">
        <v>2</v>
      </c>
      <c r="C1533" s="107">
        <v>3</v>
      </c>
      <c r="D1533" s="107" t="s">
        <v>502</v>
      </c>
      <c r="E1533" s="107" t="s">
        <v>503</v>
      </c>
      <c r="F1533" s="161">
        <v>45353</v>
      </c>
      <c r="G1533" s="107">
        <f t="shared" si="50"/>
        <v>5</v>
      </c>
    </row>
    <row r="1534" spans="1:7">
      <c r="A1534" s="107">
        <v>32</v>
      </c>
      <c r="B1534" s="107">
        <v>2</v>
      </c>
      <c r="C1534" s="107">
        <v>4</v>
      </c>
      <c r="D1534" s="107" t="s">
        <v>502</v>
      </c>
      <c r="E1534" s="107" t="s">
        <v>503</v>
      </c>
      <c r="F1534" s="161">
        <v>45352</v>
      </c>
      <c r="G1534" s="107">
        <f t="shared" si="50"/>
        <v>4</v>
      </c>
    </row>
    <row r="1535" spans="1:7">
      <c r="A1535" s="107">
        <v>32</v>
      </c>
      <c r="B1535" s="107">
        <v>2</v>
      </c>
      <c r="C1535" s="107">
        <v>5</v>
      </c>
      <c r="D1535" s="107" t="s">
        <v>502</v>
      </c>
      <c r="E1535" s="107" t="s">
        <v>503</v>
      </c>
      <c r="F1535" s="161">
        <v>45353</v>
      </c>
      <c r="G1535" s="107">
        <f t="shared" si="50"/>
        <v>5</v>
      </c>
    </row>
    <row r="1536" spans="1:7">
      <c r="A1536" s="107">
        <v>32</v>
      </c>
      <c r="B1536" s="107">
        <v>2</v>
      </c>
      <c r="C1536" s="107">
        <v>6</v>
      </c>
      <c r="D1536" s="107" t="s">
        <v>502</v>
      </c>
      <c r="E1536" s="107" t="s">
        <v>503</v>
      </c>
      <c r="F1536" s="161">
        <v>45352</v>
      </c>
      <c r="G1536" s="107">
        <f t="shared" si="50"/>
        <v>4</v>
      </c>
    </row>
    <row r="1537" spans="1:7">
      <c r="A1537" s="107">
        <v>32</v>
      </c>
      <c r="B1537" s="107">
        <v>2</v>
      </c>
      <c r="C1537" s="107">
        <v>7</v>
      </c>
      <c r="D1537" s="107" t="s">
        <v>502</v>
      </c>
      <c r="E1537" s="107" t="s">
        <v>503</v>
      </c>
      <c r="F1537" s="161">
        <v>45353</v>
      </c>
      <c r="G1537" s="107">
        <f t="shared" si="50"/>
        <v>5</v>
      </c>
    </row>
    <row r="1538" spans="1:7">
      <c r="A1538" s="107">
        <v>32</v>
      </c>
      <c r="B1538" s="107">
        <v>2</v>
      </c>
      <c r="C1538" s="107">
        <v>8</v>
      </c>
      <c r="D1538" s="107" t="s">
        <v>502</v>
      </c>
      <c r="E1538" s="107" t="s">
        <v>503</v>
      </c>
      <c r="F1538" s="161">
        <v>45352</v>
      </c>
      <c r="G1538" s="107">
        <f t="shared" si="50"/>
        <v>4</v>
      </c>
    </row>
    <row r="1539" spans="1:7">
      <c r="A1539" s="107">
        <v>32</v>
      </c>
      <c r="B1539" s="107">
        <v>3</v>
      </c>
      <c r="C1539" s="107">
        <v>1</v>
      </c>
      <c r="D1539" s="107" t="s">
        <v>504</v>
      </c>
      <c r="E1539" s="107" t="s">
        <v>505</v>
      </c>
      <c r="F1539" s="161">
        <v>45353</v>
      </c>
      <c r="G1539" s="107">
        <f t="shared" si="50"/>
        <v>5</v>
      </c>
    </row>
    <row r="1540" spans="1:7">
      <c r="A1540" s="107">
        <v>32</v>
      </c>
      <c r="B1540" s="107">
        <v>3</v>
      </c>
      <c r="C1540" s="107">
        <v>2</v>
      </c>
      <c r="D1540" s="107" t="s">
        <v>504</v>
      </c>
      <c r="E1540" s="107" t="s">
        <v>505</v>
      </c>
      <c r="F1540" s="161">
        <v>45353</v>
      </c>
      <c r="G1540" s="107">
        <f t="shared" si="50"/>
        <v>5</v>
      </c>
    </row>
    <row r="1541" spans="1:7">
      <c r="A1541" s="107">
        <v>32</v>
      </c>
      <c r="B1541" s="107">
        <v>3</v>
      </c>
      <c r="C1541" s="107">
        <v>3</v>
      </c>
      <c r="D1541" s="107" t="s">
        <v>504</v>
      </c>
      <c r="E1541" s="107" t="s">
        <v>505</v>
      </c>
      <c r="F1541" s="161">
        <v>45353</v>
      </c>
      <c r="G1541" s="107">
        <f t="shared" si="50"/>
        <v>5</v>
      </c>
    </row>
    <row r="1542" spans="1:7">
      <c r="A1542" s="107">
        <v>32</v>
      </c>
      <c r="B1542" s="107">
        <v>3</v>
      </c>
      <c r="C1542" s="107">
        <v>4</v>
      </c>
      <c r="D1542" s="107" t="s">
        <v>504</v>
      </c>
      <c r="E1542" s="107" t="s">
        <v>505</v>
      </c>
      <c r="F1542" s="161">
        <v>45352</v>
      </c>
      <c r="G1542" s="107">
        <f t="shared" si="50"/>
        <v>4</v>
      </c>
    </row>
    <row r="1543" spans="1:7">
      <c r="A1543" s="107">
        <v>32</v>
      </c>
      <c r="B1543" s="107">
        <v>3</v>
      </c>
      <c r="C1543" s="107">
        <v>5</v>
      </c>
      <c r="D1543" s="107" t="s">
        <v>504</v>
      </c>
      <c r="E1543" s="107" t="s">
        <v>505</v>
      </c>
      <c r="F1543" s="161">
        <v>45352</v>
      </c>
      <c r="G1543" s="107">
        <f t="shared" si="50"/>
        <v>4</v>
      </c>
    </row>
    <row r="1544" spans="1:7">
      <c r="A1544" s="107">
        <v>32</v>
      </c>
      <c r="B1544" s="107">
        <v>3</v>
      </c>
      <c r="C1544" s="107">
        <v>6</v>
      </c>
      <c r="D1544" s="107" t="s">
        <v>504</v>
      </c>
      <c r="E1544" s="107" t="s">
        <v>505</v>
      </c>
      <c r="F1544" s="161">
        <v>45353</v>
      </c>
      <c r="G1544" s="107">
        <f t="shared" si="50"/>
        <v>5</v>
      </c>
    </row>
    <row r="1545" spans="1:7">
      <c r="A1545" s="107">
        <v>32</v>
      </c>
      <c r="B1545" s="107">
        <v>3</v>
      </c>
      <c r="C1545" s="107">
        <v>7</v>
      </c>
      <c r="D1545" s="107" t="s">
        <v>504</v>
      </c>
      <c r="E1545" s="107" t="s">
        <v>505</v>
      </c>
      <c r="F1545" s="161">
        <v>45353</v>
      </c>
      <c r="G1545" s="107">
        <f t="shared" si="50"/>
        <v>5</v>
      </c>
    </row>
    <row r="1546" spans="1:7">
      <c r="A1546" s="107">
        <v>32</v>
      </c>
      <c r="B1546" s="107">
        <v>3</v>
      </c>
      <c r="C1546" s="107">
        <v>8</v>
      </c>
      <c r="D1546" s="107" t="s">
        <v>504</v>
      </c>
      <c r="E1546" s="107" t="s">
        <v>505</v>
      </c>
      <c r="F1546" s="161">
        <v>45353</v>
      </c>
      <c r="G1546" s="107">
        <f t="shared" si="50"/>
        <v>5</v>
      </c>
    </row>
    <row r="1547" spans="1:7">
      <c r="A1547" s="107">
        <v>32</v>
      </c>
      <c r="B1547" s="107">
        <v>4</v>
      </c>
      <c r="C1547" s="107">
        <v>1</v>
      </c>
      <c r="D1547" s="107" t="s">
        <v>506</v>
      </c>
      <c r="E1547" s="107" t="s">
        <v>507</v>
      </c>
      <c r="F1547" s="161">
        <v>45353</v>
      </c>
      <c r="G1547" s="107">
        <f t="shared" si="50"/>
        <v>5</v>
      </c>
    </row>
    <row r="1548" spans="1:7">
      <c r="A1548" s="107">
        <v>32</v>
      </c>
      <c r="B1548" s="107">
        <v>4</v>
      </c>
      <c r="C1548" s="107">
        <v>2</v>
      </c>
      <c r="D1548" s="107" t="s">
        <v>506</v>
      </c>
      <c r="E1548" s="107" t="s">
        <v>507</v>
      </c>
      <c r="F1548" s="161">
        <v>45352</v>
      </c>
      <c r="G1548" s="107">
        <f t="shared" si="50"/>
        <v>4</v>
      </c>
    </row>
    <row r="1549" spans="1:7">
      <c r="A1549" s="107">
        <v>32</v>
      </c>
      <c r="B1549" s="107">
        <v>4</v>
      </c>
      <c r="C1549" s="107">
        <v>3</v>
      </c>
      <c r="D1549" s="107" t="s">
        <v>506</v>
      </c>
      <c r="E1549" s="107" t="s">
        <v>507</v>
      </c>
      <c r="F1549" s="161">
        <v>45353</v>
      </c>
      <c r="G1549" s="107">
        <f t="shared" si="50"/>
        <v>5</v>
      </c>
    </row>
    <row r="1550" spans="1:7">
      <c r="A1550" s="107">
        <v>32</v>
      </c>
      <c r="B1550" s="107">
        <v>4</v>
      </c>
      <c r="C1550" s="107">
        <v>4</v>
      </c>
      <c r="D1550" s="107" t="s">
        <v>506</v>
      </c>
      <c r="E1550" s="107" t="s">
        <v>507</v>
      </c>
      <c r="F1550" s="161">
        <v>45353</v>
      </c>
      <c r="G1550" s="107">
        <f t="shared" si="50"/>
        <v>5</v>
      </c>
    </row>
    <row r="1551" spans="1:7">
      <c r="A1551" s="107">
        <v>32</v>
      </c>
      <c r="B1551" s="107">
        <v>4</v>
      </c>
      <c r="C1551" s="107">
        <v>5</v>
      </c>
      <c r="D1551" s="107" t="s">
        <v>506</v>
      </c>
      <c r="E1551" s="107" t="s">
        <v>507</v>
      </c>
      <c r="F1551" s="161">
        <v>45353</v>
      </c>
      <c r="G1551" s="107">
        <f t="shared" si="50"/>
        <v>5</v>
      </c>
    </row>
    <row r="1552" spans="1:7">
      <c r="A1552" s="107">
        <v>32</v>
      </c>
      <c r="B1552" s="107">
        <v>4</v>
      </c>
      <c r="C1552" s="107">
        <v>6</v>
      </c>
      <c r="D1552" s="107" t="s">
        <v>506</v>
      </c>
      <c r="E1552" s="107" t="s">
        <v>507</v>
      </c>
      <c r="F1552" s="161">
        <v>45353</v>
      </c>
      <c r="G1552" s="107">
        <f t="shared" si="50"/>
        <v>5</v>
      </c>
    </row>
    <row r="1553" spans="1:7">
      <c r="A1553" s="107">
        <v>32</v>
      </c>
      <c r="B1553" s="107">
        <v>4</v>
      </c>
      <c r="C1553" s="107">
        <v>7</v>
      </c>
      <c r="D1553" s="107" t="s">
        <v>506</v>
      </c>
      <c r="E1553" s="107" t="s">
        <v>507</v>
      </c>
      <c r="F1553" s="161">
        <v>45353</v>
      </c>
      <c r="G1553" s="107">
        <f t="shared" si="50"/>
        <v>5</v>
      </c>
    </row>
    <row r="1554" spans="1:7">
      <c r="A1554" s="107">
        <v>32</v>
      </c>
      <c r="B1554" s="107">
        <v>4</v>
      </c>
      <c r="C1554" s="107">
        <v>8</v>
      </c>
      <c r="D1554" s="107" t="s">
        <v>506</v>
      </c>
      <c r="E1554" s="107" t="s">
        <v>507</v>
      </c>
      <c r="F1554" s="161">
        <v>45352</v>
      </c>
      <c r="G1554" s="107">
        <f t="shared" si="50"/>
        <v>4</v>
      </c>
    </row>
    <row r="1555" spans="1:7">
      <c r="A1555" s="107">
        <v>32</v>
      </c>
      <c r="B1555" s="107">
        <v>5</v>
      </c>
      <c r="C1555" s="107">
        <v>1</v>
      </c>
      <c r="D1555" s="107" t="s">
        <v>508</v>
      </c>
      <c r="E1555" s="107" t="s">
        <v>509</v>
      </c>
      <c r="F1555" s="161">
        <v>45353</v>
      </c>
      <c r="G1555" s="107">
        <f t="shared" si="50"/>
        <v>5</v>
      </c>
    </row>
    <row r="1556" spans="1:7">
      <c r="A1556" s="107">
        <v>32</v>
      </c>
      <c r="B1556" s="107">
        <v>5</v>
      </c>
      <c r="C1556" s="107">
        <v>2</v>
      </c>
      <c r="D1556" s="107" t="s">
        <v>508</v>
      </c>
      <c r="E1556" s="107" t="s">
        <v>509</v>
      </c>
      <c r="F1556" s="161">
        <v>45353</v>
      </c>
      <c r="G1556" s="107">
        <f t="shared" si="50"/>
        <v>5</v>
      </c>
    </row>
    <row r="1557" spans="1:7">
      <c r="A1557" s="107">
        <v>32</v>
      </c>
      <c r="B1557" s="107">
        <v>5</v>
      </c>
      <c r="C1557" s="107">
        <v>3</v>
      </c>
      <c r="D1557" s="107" t="s">
        <v>508</v>
      </c>
      <c r="E1557" s="107" t="s">
        <v>509</v>
      </c>
      <c r="F1557" s="161">
        <v>45353</v>
      </c>
      <c r="G1557" s="107">
        <f t="shared" si="50"/>
        <v>5</v>
      </c>
    </row>
    <row r="1558" spans="1:7">
      <c r="A1558" s="107">
        <v>32</v>
      </c>
      <c r="B1558" s="107">
        <v>5</v>
      </c>
      <c r="C1558" s="107">
        <v>4</v>
      </c>
      <c r="D1558" s="107" t="s">
        <v>508</v>
      </c>
      <c r="E1558" s="107" t="s">
        <v>509</v>
      </c>
      <c r="F1558" s="161">
        <v>45353</v>
      </c>
      <c r="G1558" s="107">
        <f t="shared" si="50"/>
        <v>5</v>
      </c>
    </row>
    <row r="1559" spans="1:7">
      <c r="A1559" s="107">
        <v>32</v>
      </c>
      <c r="B1559" s="107">
        <v>5</v>
      </c>
      <c r="C1559" s="107">
        <v>5</v>
      </c>
      <c r="D1559" s="107" t="s">
        <v>508</v>
      </c>
      <c r="E1559" s="107" t="s">
        <v>509</v>
      </c>
      <c r="F1559" s="161">
        <v>45353</v>
      </c>
      <c r="G1559" s="107">
        <f t="shared" si="50"/>
        <v>5</v>
      </c>
    </row>
    <row r="1560" spans="1:7">
      <c r="A1560" s="107">
        <v>32</v>
      </c>
      <c r="B1560" s="107">
        <v>5</v>
      </c>
      <c r="C1560" s="107">
        <v>6</v>
      </c>
      <c r="D1560" s="107" t="s">
        <v>508</v>
      </c>
      <c r="E1560" s="107" t="s">
        <v>509</v>
      </c>
      <c r="F1560" s="161">
        <v>45353</v>
      </c>
      <c r="G1560" s="107">
        <f t="shared" si="50"/>
        <v>5</v>
      </c>
    </row>
    <row r="1561" spans="1:7">
      <c r="A1561" s="107">
        <v>32</v>
      </c>
      <c r="B1561" s="107">
        <v>5</v>
      </c>
      <c r="C1561" s="107">
        <v>7</v>
      </c>
      <c r="D1561" s="107" t="s">
        <v>508</v>
      </c>
      <c r="E1561" s="107" t="s">
        <v>509</v>
      </c>
      <c r="F1561" s="161">
        <v>45353</v>
      </c>
      <c r="G1561" s="107">
        <f t="shared" si="50"/>
        <v>5</v>
      </c>
    </row>
    <row r="1562" spans="1:7">
      <c r="A1562" s="107">
        <v>32</v>
      </c>
      <c r="B1562" s="107">
        <v>5</v>
      </c>
      <c r="C1562" s="107">
        <v>8</v>
      </c>
      <c r="D1562" s="107" t="s">
        <v>508</v>
      </c>
      <c r="E1562" s="107" t="s">
        <v>509</v>
      </c>
      <c r="F1562" s="161">
        <v>45353</v>
      </c>
      <c r="G1562" s="107">
        <f t="shared" si="50"/>
        <v>5</v>
      </c>
    </row>
    <row r="1563" spans="1:7">
      <c r="A1563" s="107">
        <v>32</v>
      </c>
      <c r="B1563" s="107">
        <v>6</v>
      </c>
      <c r="C1563" s="107">
        <v>1</v>
      </c>
      <c r="D1563" s="107" t="s">
        <v>510</v>
      </c>
      <c r="E1563" s="107" t="s">
        <v>503</v>
      </c>
      <c r="F1563" s="161">
        <v>45353</v>
      </c>
      <c r="G1563" s="107">
        <f t="shared" si="50"/>
        <v>5</v>
      </c>
    </row>
    <row r="1564" spans="1:7">
      <c r="A1564" s="107">
        <v>32</v>
      </c>
      <c r="B1564" s="107">
        <v>6</v>
      </c>
      <c r="C1564" s="107">
        <v>2</v>
      </c>
      <c r="D1564" s="107" t="s">
        <v>510</v>
      </c>
      <c r="E1564" s="107" t="s">
        <v>503</v>
      </c>
      <c r="F1564" s="161">
        <v>45353</v>
      </c>
      <c r="G1564" s="107">
        <f t="shared" si="50"/>
        <v>5</v>
      </c>
    </row>
    <row r="1565" spans="1:7">
      <c r="A1565" s="107">
        <v>32</v>
      </c>
      <c r="B1565" s="107">
        <v>6</v>
      </c>
      <c r="C1565" s="107">
        <v>3</v>
      </c>
      <c r="D1565" s="107" t="s">
        <v>510</v>
      </c>
      <c r="E1565" s="107" t="s">
        <v>503</v>
      </c>
      <c r="F1565" s="161">
        <v>45353</v>
      </c>
      <c r="G1565" s="107">
        <f t="shared" si="50"/>
        <v>5</v>
      </c>
    </row>
    <row r="1566" spans="1:7">
      <c r="A1566" s="107">
        <v>32</v>
      </c>
      <c r="B1566" s="107">
        <v>6</v>
      </c>
      <c r="C1566" s="107">
        <v>4</v>
      </c>
      <c r="D1566" s="107" t="s">
        <v>510</v>
      </c>
      <c r="E1566" s="107" t="s">
        <v>503</v>
      </c>
      <c r="F1566" s="161">
        <v>45353</v>
      </c>
      <c r="G1566" s="107">
        <f t="shared" si="50"/>
        <v>5</v>
      </c>
    </row>
    <row r="1567" spans="1:7">
      <c r="A1567" s="107">
        <v>32</v>
      </c>
      <c r="B1567" s="107">
        <v>6</v>
      </c>
      <c r="C1567" s="107">
        <v>5</v>
      </c>
      <c r="D1567" s="107" t="s">
        <v>510</v>
      </c>
      <c r="E1567" s="107" t="s">
        <v>503</v>
      </c>
      <c r="F1567" s="161">
        <v>45353</v>
      </c>
      <c r="G1567" s="107">
        <f t="shared" si="50"/>
        <v>5</v>
      </c>
    </row>
    <row r="1568" spans="1:7">
      <c r="A1568" s="107">
        <v>32</v>
      </c>
      <c r="B1568" s="107">
        <v>6</v>
      </c>
      <c r="C1568" s="107">
        <v>6</v>
      </c>
      <c r="D1568" s="107" t="s">
        <v>510</v>
      </c>
      <c r="E1568" s="107" t="s">
        <v>503</v>
      </c>
      <c r="F1568" s="161">
        <v>45353</v>
      </c>
      <c r="G1568" s="107">
        <f t="shared" si="50"/>
        <v>5</v>
      </c>
    </row>
    <row r="1569" spans="1:7">
      <c r="A1569" s="107">
        <v>32</v>
      </c>
      <c r="B1569" s="107">
        <v>6</v>
      </c>
      <c r="C1569" s="107">
        <v>7</v>
      </c>
      <c r="D1569" s="107" t="s">
        <v>510</v>
      </c>
      <c r="E1569" s="107" t="s">
        <v>503</v>
      </c>
      <c r="F1569" s="161">
        <v>45352</v>
      </c>
      <c r="G1569" s="107">
        <f t="shared" si="50"/>
        <v>4</v>
      </c>
    </row>
    <row r="1570" spans="1:7">
      <c r="A1570" s="107">
        <v>32</v>
      </c>
      <c r="B1570" s="107">
        <v>6</v>
      </c>
      <c r="C1570" s="107">
        <v>8</v>
      </c>
      <c r="D1570" s="107" t="s">
        <v>510</v>
      </c>
      <c r="E1570" s="107" t="s">
        <v>503</v>
      </c>
      <c r="F1570" s="161">
        <v>45353</v>
      </c>
      <c r="G1570" s="107">
        <f t="shared" si="50"/>
        <v>5</v>
      </c>
    </row>
    <row r="1572" spans="1:7">
      <c r="A1572" s="107">
        <v>33</v>
      </c>
      <c r="B1572" s="107">
        <v>1</v>
      </c>
      <c r="C1572" s="107">
        <v>1</v>
      </c>
      <c r="D1572" s="107" t="s">
        <v>511</v>
      </c>
      <c r="E1572" s="107" t="s">
        <v>512</v>
      </c>
      <c r="F1572" s="161">
        <v>45353</v>
      </c>
      <c r="G1572" s="107">
        <f t="shared" ref="G1572:G1619" si="51">DATEDIF(G$2,F1572,"d")</f>
        <v>5</v>
      </c>
    </row>
    <row r="1573" spans="1:7">
      <c r="A1573" s="107">
        <v>33</v>
      </c>
      <c r="B1573" s="107">
        <v>1</v>
      </c>
      <c r="C1573" s="107">
        <v>2</v>
      </c>
      <c r="D1573" s="107" t="s">
        <v>511</v>
      </c>
      <c r="E1573" s="107" t="s">
        <v>512</v>
      </c>
      <c r="F1573" s="161">
        <v>45353</v>
      </c>
      <c r="G1573" s="107">
        <f t="shared" si="51"/>
        <v>5</v>
      </c>
    </row>
    <row r="1574" spans="1:7">
      <c r="A1574" s="107">
        <v>33</v>
      </c>
      <c r="B1574" s="107">
        <v>1</v>
      </c>
      <c r="C1574" s="107">
        <v>3</v>
      </c>
      <c r="D1574" s="107" t="s">
        <v>511</v>
      </c>
      <c r="E1574" s="107" t="s">
        <v>512</v>
      </c>
      <c r="F1574" s="161">
        <v>45353</v>
      </c>
      <c r="G1574" s="107">
        <f t="shared" si="51"/>
        <v>5</v>
      </c>
    </row>
    <row r="1575" spans="1:7">
      <c r="A1575" s="107">
        <v>33</v>
      </c>
      <c r="B1575" s="107">
        <v>1</v>
      </c>
      <c r="C1575" s="107">
        <v>4</v>
      </c>
      <c r="D1575" s="107" t="s">
        <v>511</v>
      </c>
      <c r="E1575" s="107" t="s">
        <v>512</v>
      </c>
      <c r="F1575" s="161">
        <v>45353</v>
      </c>
      <c r="G1575" s="107">
        <f t="shared" si="51"/>
        <v>5</v>
      </c>
    </row>
    <row r="1576" spans="1:7">
      <c r="A1576" s="107">
        <v>33</v>
      </c>
      <c r="B1576" s="107">
        <v>1</v>
      </c>
      <c r="C1576" s="107">
        <v>5</v>
      </c>
      <c r="D1576" s="107" t="s">
        <v>511</v>
      </c>
      <c r="E1576" s="107" t="s">
        <v>512</v>
      </c>
      <c r="F1576" s="161">
        <v>45353</v>
      </c>
      <c r="G1576" s="107">
        <f t="shared" si="51"/>
        <v>5</v>
      </c>
    </row>
    <row r="1577" spans="1:7">
      <c r="A1577" s="107">
        <v>33</v>
      </c>
      <c r="B1577" s="107">
        <v>1</v>
      </c>
      <c r="C1577" s="107">
        <v>6</v>
      </c>
      <c r="D1577" s="107" t="s">
        <v>511</v>
      </c>
      <c r="E1577" s="107" t="s">
        <v>512</v>
      </c>
      <c r="F1577" s="161">
        <v>45353</v>
      </c>
      <c r="G1577" s="107">
        <f t="shared" si="51"/>
        <v>5</v>
      </c>
    </row>
    <row r="1578" spans="1:7">
      <c r="A1578" s="107">
        <v>33</v>
      </c>
      <c r="B1578" s="107">
        <v>1</v>
      </c>
      <c r="C1578" s="107">
        <v>7</v>
      </c>
      <c r="D1578" s="107" t="s">
        <v>511</v>
      </c>
      <c r="E1578" s="107" t="s">
        <v>512</v>
      </c>
      <c r="F1578" s="161">
        <v>45353</v>
      </c>
      <c r="G1578" s="107">
        <f t="shared" si="51"/>
        <v>5</v>
      </c>
    </row>
    <row r="1579" spans="1:7">
      <c r="A1579" s="107">
        <v>33</v>
      </c>
      <c r="B1579" s="107">
        <v>1</v>
      </c>
      <c r="C1579" s="107">
        <v>8</v>
      </c>
      <c r="D1579" s="107" t="s">
        <v>511</v>
      </c>
      <c r="E1579" s="107" t="s">
        <v>512</v>
      </c>
      <c r="F1579" s="161">
        <v>45353</v>
      </c>
      <c r="G1579" s="107">
        <f t="shared" si="51"/>
        <v>5</v>
      </c>
    </row>
    <row r="1580" spans="1:7">
      <c r="A1580" s="107">
        <v>33</v>
      </c>
      <c r="B1580" s="107">
        <v>2</v>
      </c>
      <c r="C1580" s="107">
        <v>1</v>
      </c>
      <c r="D1580" s="107" t="s">
        <v>513</v>
      </c>
      <c r="E1580" s="107" t="s">
        <v>505</v>
      </c>
      <c r="F1580" s="161">
        <v>45353</v>
      </c>
      <c r="G1580" s="107">
        <f t="shared" si="51"/>
        <v>5</v>
      </c>
    </row>
    <row r="1581" spans="1:7">
      <c r="A1581" s="107">
        <v>33</v>
      </c>
      <c r="B1581" s="107">
        <v>2</v>
      </c>
      <c r="C1581" s="107">
        <v>2</v>
      </c>
      <c r="D1581" s="107" t="s">
        <v>513</v>
      </c>
      <c r="E1581" s="107" t="s">
        <v>505</v>
      </c>
      <c r="F1581" s="161">
        <v>45353</v>
      </c>
      <c r="G1581" s="107">
        <f t="shared" si="51"/>
        <v>5</v>
      </c>
    </row>
    <row r="1582" spans="1:7">
      <c r="A1582" s="107">
        <v>33</v>
      </c>
      <c r="B1582" s="107">
        <v>2</v>
      </c>
      <c r="C1582" s="107">
        <v>3</v>
      </c>
      <c r="D1582" s="107" t="s">
        <v>513</v>
      </c>
      <c r="E1582" s="107" t="s">
        <v>505</v>
      </c>
      <c r="F1582" s="161">
        <v>45354</v>
      </c>
      <c r="G1582" s="107">
        <f t="shared" si="51"/>
        <v>6</v>
      </c>
    </row>
    <row r="1583" spans="1:7">
      <c r="A1583" s="107">
        <v>33</v>
      </c>
      <c r="B1583" s="107">
        <v>2</v>
      </c>
      <c r="C1583" s="107">
        <v>4</v>
      </c>
      <c r="D1583" s="107" t="s">
        <v>513</v>
      </c>
      <c r="E1583" s="107" t="s">
        <v>505</v>
      </c>
      <c r="F1583" s="161">
        <v>45354</v>
      </c>
      <c r="G1583" s="107">
        <f t="shared" si="51"/>
        <v>6</v>
      </c>
    </row>
    <row r="1584" spans="1:7">
      <c r="A1584" s="107">
        <v>33</v>
      </c>
      <c r="B1584" s="107">
        <v>2</v>
      </c>
      <c r="C1584" s="107">
        <v>5</v>
      </c>
      <c r="D1584" s="107" t="s">
        <v>513</v>
      </c>
      <c r="E1584" s="107" t="s">
        <v>505</v>
      </c>
      <c r="F1584" s="161">
        <v>45354</v>
      </c>
      <c r="G1584" s="107">
        <f t="shared" si="51"/>
        <v>6</v>
      </c>
    </row>
    <row r="1585" spans="1:7">
      <c r="A1585" s="107">
        <v>33</v>
      </c>
      <c r="B1585" s="107">
        <v>2</v>
      </c>
      <c r="C1585" s="107">
        <v>6</v>
      </c>
      <c r="D1585" s="107" t="s">
        <v>513</v>
      </c>
      <c r="E1585" s="107" t="s">
        <v>505</v>
      </c>
      <c r="F1585" s="161">
        <v>45353</v>
      </c>
      <c r="G1585" s="107">
        <f t="shared" si="51"/>
        <v>5</v>
      </c>
    </row>
    <row r="1586" spans="1:7">
      <c r="A1586" s="107">
        <v>33</v>
      </c>
      <c r="B1586" s="107">
        <v>2</v>
      </c>
      <c r="C1586" s="107">
        <v>7</v>
      </c>
      <c r="D1586" s="107" t="s">
        <v>513</v>
      </c>
      <c r="E1586" s="107" t="s">
        <v>505</v>
      </c>
      <c r="F1586" s="161">
        <v>45353</v>
      </c>
      <c r="G1586" s="107">
        <f t="shared" si="51"/>
        <v>5</v>
      </c>
    </row>
    <row r="1587" spans="1:7">
      <c r="A1587" s="107">
        <v>33</v>
      </c>
      <c r="B1587" s="107">
        <v>2</v>
      </c>
      <c r="C1587" s="107">
        <v>8</v>
      </c>
      <c r="D1587" s="107" t="s">
        <v>513</v>
      </c>
      <c r="E1587" s="107" t="s">
        <v>505</v>
      </c>
      <c r="F1587" s="161">
        <v>45352</v>
      </c>
      <c r="G1587" s="107">
        <f t="shared" si="51"/>
        <v>4</v>
      </c>
    </row>
    <row r="1588" spans="1:7">
      <c r="A1588" s="107">
        <v>33</v>
      </c>
      <c r="B1588" s="107">
        <v>3</v>
      </c>
      <c r="C1588" s="107">
        <v>1</v>
      </c>
      <c r="D1588" s="107" t="s">
        <v>514</v>
      </c>
      <c r="E1588" s="107" t="s">
        <v>515</v>
      </c>
      <c r="F1588" s="161">
        <v>45353</v>
      </c>
      <c r="G1588" s="107">
        <f t="shared" si="51"/>
        <v>5</v>
      </c>
    </row>
    <row r="1589" spans="1:7">
      <c r="A1589" s="107">
        <v>33</v>
      </c>
      <c r="B1589" s="107">
        <v>3</v>
      </c>
      <c r="C1589" s="107">
        <v>2</v>
      </c>
      <c r="D1589" s="107" t="s">
        <v>514</v>
      </c>
      <c r="E1589" s="107" t="s">
        <v>515</v>
      </c>
      <c r="F1589" s="161">
        <v>45353</v>
      </c>
      <c r="G1589" s="107">
        <f t="shared" si="51"/>
        <v>5</v>
      </c>
    </row>
    <row r="1590" spans="1:7">
      <c r="A1590" s="107">
        <v>33</v>
      </c>
      <c r="B1590" s="107">
        <v>3</v>
      </c>
      <c r="C1590" s="107">
        <v>3</v>
      </c>
      <c r="D1590" s="107" t="s">
        <v>514</v>
      </c>
      <c r="E1590" s="107" t="s">
        <v>515</v>
      </c>
      <c r="F1590" s="161">
        <v>45353</v>
      </c>
      <c r="G1590" s="107">
        <f t="shared" si="51"/>
        <v>5</v>
      </c>
    </row>
    <row r="1591" spans="1:7">
      <c r="A1591" s="107">
        <v>33</v>
      </c>
      <c r="B1591" s="107">
        <v>3</v>
      </c>
      <c r="C1591" s="107">
        <v>4</v>
      </c>
      <c r="D1591" s="107" t="s">
        <v>514</v>
      </c>
      <c r="E1591" s="107" t="s">
        <v>515</v>
      </c>
      <c r="F1591" s="161">
        <v>45353</v>
      </c>
      <c r="G1591" s="107">
        <f t="shared" si="51"/>
        <v>5</v>
      </c>
    </row>
    <row r="1592" spans="1:7">
      <c r="A1592" s="107">
        <v>33</v>
      </c>
      <c r="B1592" s="107">
        <v>3</v>
      </c>
      <c r="C1592" s="107">
        <v>5</v>
      </c>
      <c r="D1592" s="107" t="s">
        <v>514</v>
      </c>
      <c r="E1592" s="107" t="s">
        <v>515</v>
      </c>
      <c r="F1592" s="161">
        <v>45353</v>
      </c>
      <c r="G1592" s="107">
        <f t="shared" si="51"/>
        <v>5</v>
      </c>
    </row>
    <row r="1593" spans="1:7">
      <c r="A1593" s="107">
        <v>33</v>
      </c>
      <c r="B1593" s="107">
        <v>3</v>
      </c>
      <c r="C1593" s="107">
        <v>6</v>
      </c>
      <c r="D1593" s="107" t="s">
        <v>514</v>
      </c>
      <c r="E1593" s="107" t="s">
        <v>515</v>
      </c>
      <c r="F1593" s="161">
        <v>45353</v>
      </c>
      <c r="G1593" s="107">
        <f t="shared" si="51"/>
        <v>5</v>
      </c>
    </row>
    <row r="1594" spans="1:7">
      <c r="A1594" s="107">
        <v>33</v>
      </c>
      <c r="B1594" s="107">
        <v>3</v>
      </c>
      <c r="C1594" s="107">
        <v>7</v>
      </c>
      <c r="D1594" s="107" t="s">
        <v>514</v>
      </c>
      <c r="E1594" s="107" t="s">
        <v>515</v>
      </c>
      <c r="F1594" s="161">
        <v>45352</v>
      </c>
      <c r="G1594" s="107">
        <f t="shared" si="51"/>
        <v>4</v>
      </c>
    </row>
    <row r="1595" spans="1:7">
      <c r="A1595" s="107">
        <v>33</v>
      </c>
      <c r="B1595" s="107">
        <v>3</v>
      </c>
      <c r="C1595" s="107">
        <v>8</v>
      </c>
      <c r="D1595" s="107" t="s">
        <v>514</v>
      </c>
      <c r="E1595" s="107" t="s">
        <v>515</v>
      </c>
      <c r="F1595" s="161">
        <v>45353</v>
      </c>
      <c r="G1595" s="107">
        <f t="shared" si="51"/>
        <v>5</v>
      </c>
    </row>
    <row r="1596" spans="1:7">
      <c r="A1596" s="107">
        <v>33</v>
      </c>
      <c r="B1596" s="107">
        <v>4</v>
      </c>
      <c r="C1596" s="107">
        <v>1</v>
      </c>
      <c r="D1596" s="107" t="s">
        <v>516</v>
      </c>
      <c r="E1596" s="107" t="s">
        <v>503</v>
      </c>
      <c r="F1596" s="161">
        <v>45353</v>
      </c>
      <c r="G1596" s="107">
        <f t="shared" si="51"/>
        <v>5</v>
      </c>
    </row>
    <row r="1597" spans="1:7">
      <c r="A1597" s="107">
        <v>33</v>
      </c>
      <c r="B1597" s="107">
        <v>4</v>
      </c>
      <c r="C1597" s="107">
        <v>2</v>
      </c>
      <c r="D1597" s="107" t="s">
        <v>516</v>
      </c>
      <c r="E1597" s="107" t="s">
        <v>503</v>
      </c>
      <c r="F1597" s="161">
        <v>45353</v>
      </c>
      <c r="G1597" s="107">
        <f t="shared" si="51"/>
        <v>5</v>
      </c>
    </row>
    <row r="1598" spans="1:7">
      <c r="A1598" s="107">
        <v>33</v>
      </c>
      <c r="B1598" s="107">
        <v>4</v>
      </c>
      <c r="C1598" s="107">
        <v>3</v>
      </c>
      <c r="D1598" s="107" t="s">
        <v>516</v>
      </c>
      <c r="E1598" s="107" t="s">
        <v>503</v>
      </c>
      <c r="F1598" s="161">
        <v>45353</v>
      </c>
      <c r="G1598" s="107">
        <f t="shared" si="51"/>
        <v>5</v>
      </c>
    </row>
    <row r="1599" spans="1:7">
      <c r="A1599" s="107">
        <v>33</v>
      </c>
      <c r="B1599" s="107">
        <v>4</v>
      </c>
      <c r="C1599" s="107">
        <v>4</v>
      </c>
      <c r="D1599" s="107" t="s">
        <v>516</v>
      </c>
      <c r="E1599" s="107" t="s">
        <v>503</v>
      </c>
      <c r="F1599" s="161">
        <v>45353</v>
      </c>
      <c r="G1599" s="107">
        <f t="shared" si="51"/>
        <v>5</v>
      </c>
    </row>
    <row r="1600" spans="1:7">
      <c r="A1600" s="107">
        <v>33</v>
      </c>
      <c r="B1600" s="107">
        <v>4</v>
      </c>
      <c r="C1600" s="107">
        <v>5</v>
      </c>
      <c r="D1600" s="107" t="s">
        <v>516</v>
      </c>
      <c r="E1600" s="107" t="s">
        <v>503</v>
      </c>
      <c r="F1600" s="161">
        <v>45353</v>
      </c>
      <c r="G1600" s="107">
        <f t="shared" si="51"/>
        <v>5</v>
      </c>
    </row>
    <row r="1601" spans="1:7">
      <c r="A1601" s="107">
        <v>33</v>
      </c>
      <c r="B1601" s="107">
        <v>4</v>
      </c>
      <c r="C1601" s="107">
        <v>6</v>
      </c>
      <c r="D1601" s="107" t="s">
        <v>516</v>
      </c>
      <c r="E1601" s="107" t="s">
        <v>503</v>
      </c>
      <c r="F1601" s="161">
        <v>45353</v>
      </c>
      <c r="G1601" s="107">
        <f t="shared" si="51"/>
        <v>5</v>
      </c>
    </row>
    <row r="1602" spans="1:7">
      <c r="A1602" s="107">
        <v>33</v>
      </c>
      <c r="B1602" s="107">
        <v>4</v>
      </c>
      <c r="C1602" s="107">
        <v>7</v>
      </c>
      <c r="D1602" s="107" t="s">
        <v>516</v>
      </c>
      <c r="E1602" s="107" t="s">
        <v>503</v>
      </c>
      <c r="F1602" s="161">
        <v>45352</v>
      </c>
      <c r="G1602" s="107">
        <f t="shared" si="51"/>
        <v>4</v>
      </c>
    </row>
    <row r="1603" spans="1:7">
      <c r="A1603" s="107">
        <v>33</v>
      </c>
      <c r="B1603" s="107">
        <v>4</v>
      </c>
      <c r="C1603" s="107">
        <v>8</v>
      </c>
      <c r="D1603" s="107" t="s">
        <v>516</v>
      </c>
      <c r="E1603" s="107" t="s">
        <v>503</v>
      </c>
      <c r="F1603" s="161">
        <v>45353</v>
      </c>
      <c r="G1603" s="107">
        <f t="shared" si="51"/>
        <v>5</v>
      </c>
    </row>
    <row r="1604" spans="1:7">
      <c r="A1604" s="107">
        <v>33</v>
      </c>
      <c r="B1604" s="107">
        <v>5</v>
      </c>
      <c r="C1604" s="107">
        <v>1</v>
      </c>
      <c r="D1604" s="107" t="s">
        <v>517</v>
      </c>
      <c r="E1604" s="107" t="s">
        <v>518</v>
      </c>
      <c r="F1604" s="161">
        <v>45353</v>
      </c>
      <c r="G1604" s="107">
        <f t="shared" si="51"/>
        <v>5</v>
      </c>
    </row>
    <row r="1605" spans="1:7">
      <c r="A1605" s="107">
        <v>33</v>
      </c>
      <c r="B1605" s="107">
        <v>5</v>
      </c>
      <c r="C1605" s="107">
        <v>2</v>
      </c>
      <c r="D1605" s="107" t="s">
        <v>517</v>
      </c>
      <c r="E1605" s="107" t="s">
        <v>518</v>
      </c>
      <c r="F1605" s="161">
        <v>45352</v>
      </c>
      <c r="G1605" s="107">
        <f t="shared" si="51"/>
        <v>4</v>
      </c>
    </row>
    <row r="1606" spans="1:7">
      <c r="A1606" s="107">
        <v>33</v>
      </c>
      <c r="B1606" s="107">
        <v>5</v>
      </c>
      <c r="C1606" s="107">
        <v>3</v>
      </c>
      <c r="D1606" s="107" t="s">
        <v>517</v>
      </c>
      <c r="E1606" s="107" t="s">
        <v>518</v>
      </c>
      <c r="F1606" s="161">
        <v>45353</v>
      </c>
      <c r="G1606" s="107">
        <f t="shared" si="51"/>
        <v>5</v>
      </c>
    </row>
    <row r="1607" spans="1:7">
      <c r="A1607" s="107">
        <v>33</v>
      </c>
      <c r="B1607" s="107">
        <v>5</v>
      </c>
      <c r="C1607" s="107">
        <v>4</v>
      </c>
      <c r="D1607" s="107" t="s">
        <v>517</v>
      </c>
      <c r="E1607" s="107" t="s">
        <v>518</v>
      </c>
      <c r="F1607" s="161">
        <v>45353</v>
      </c>
      <c r="G1607" s="107">
        <f t="shared" si="51"/>
        <v>5</v>
      </c>
    </row>
    <row r="1608" spans="1:7">
      <c r="A1608" s="107">
        <v>33</v>
      </c>
      <c r="B1608" s="107">
        <v>5</v>
      </c>
      <c r="C1608" s="107">
        <v>5</v>
      </c>
      <c r="D1608" s="107" t="s">
        <v>517</v>
      </c>
      <c r="E1608" s="107" t="s">
        <v>518</v>
      </c>
      <c r="F1608" s="161">
        <v>45353</v>
      </c>
      <c r="G1608" s="107">
        <f t="shared" si="51"/>
        <v>5</v>
      </c>
    </row>
    <row r="1609" spans="1:7">
      <c r="A1609" s="107">
        <v>33</v>
      </c>
      <c r="B1609" s="107">
        <v>5</v>
      </c>
      <c r="C1609" s="107">
        <v>6</v>
      </c>
      <c r="D1609" s="107" t="s">
        <v>517</v>
      </c>
      <c r="E1609" s="107" t="s">
        <v>518</v>
      </c>
      <c r="F1609" s="161">
        <v>45352</v>
      </c>
      <c r="G1609" s="107">
        <f t="shared" si="51"/>
        <v>4</v>
      </c>
    </row>
    <row r="1610" spans="1:7">
      <c r="A1610" s="107">
        <v>33</v>
      </c>
      <c r="B1610" s="107">
        <v>5</v>
      </c>
      <c r="C1610" s="107">
        <v>7</v>
      </c>
      <c r="D1610" s="107" t="s">
        <v>517</v>
      </c>
      <c r="E1610" s="107" t="s">
        <v>518</v>
      </c>
      <c r="F1610" s="161">
        <v>45352</v>
      </c>
      <c r="G1610" s="107">
        <f t="shared" si="51"/>
        <v>4</v>
      </c>
    </row>
    <row r="1611" spans="1:7">
      <c r="A1611" s="107">
        <v>33</v>
      </c>
      <c r="B1611" s="107">
        <v>5</v>
      </c>
      <c r="C1611" s="107">
        <v>8</v>
      </c>
      <c r="D1611" s="107" t="s">
        <v>517</v>
      </c>
      <c r="E1611" s="107" t="s">
        <v>518</v>
      </c>
      <c r="F1611" s="161">
        <v>45353</v>
      </c>
      <c r="G1611" s="107">
        <f t="shared" si="51"/>
        <v>5</v>
      </c>
    </row>
    <row r="1612" spans="1:7">
      <c r="A1612" s="107">
        <v>33</v>
      </c>
      <c r="B1612" s="107">
        <v>6</v>
      </c>
      <c r="C1612" s="107">
        <v>1</v>
      </c>
      <c r="D1612" s="107" t="s">
        <v>519</v>
      </c>
      <c r="E1612" s="107" t="s">
        <v>503</v>
      </c>
      <c r="F1612" s="161">
        <v>45353</v>
      </c>
      <c r="G1612" s="107">
        <f t="shared" si="51"/>
        <v>5</v>
      </c>
    </row>
    <row r="1613" spans="1:7">
      <c r="A1613" s="107">
        <v>33</v>
      </c>
      <c r="B1613" s="107">
        <v>6</v>
      </c>
      <c r="C1613" s="107">
        <v>2</v>
      </c>
      <c r="D1613" s="107" t="s">
        <v>519</v>
      </c>
      <c r="E1613" s="107" t="s">
        <v>503</v>
      </c>
      <c r="F1613" s="161">
        <v>45353</v>
      </c>
      <c r="G1613" s="107">
        <f t="shared" si="51"/>
        <v>5</v>
      </c>
    </row>
    <row r="1614" spans="1:7">
      <c r="A1614" s="107">
        <v>33</v>
      </c>
      <c r="B1614" s="107">
        <v>6</v>
      </c>
      <c r="C1614" s="107">
        <v>3</v>
      </c>
      <c r="D1614" s="107" t="s">
        <v>519</v>
      </c>
      <c r="E1614" s="107" t="s">
        <v>503</v>
      </c>
      <c r="F1614" s="161">
        <v>45353</v>
      </c>
      <c r="G1614" s="107">
        <f t="shared" si="51"/>
        <v>5</v>
      </c>
    </row>
    <row r="1615" spans="1:7">
      <c r="A1615" s="107">
        <v>33</v>
      </c>
      <c r="B1615" s="107">
        <v>6</v>
      </c>
      <c r="C1615" s="107">
        <v>4</v>
      </c>
      <c r="D1615" s="107" t="s">
        <v>519</v>
      </c>
      <c r="E1615" s="107" t="s">
        <v>503</v>
      </c>
      <c r="F1615" s="161">
        <v>45353</v>
      </c>
      <c r="G1615" s="107">
        <f t="shared" si="51"/>
        <v>5</v>
      </c>
    </row>
    <row r="1616" spans="1:7">
      <c r="A1616" s="107">
        <v>33</v>
      </c>
      <c r="B1616" s="107">
        <v>6</v>
      </c>
      <c r="C1616" s="107">
        <v>5</v>
      </c>
      <c r="D1616" s="107" t="s">
        <v>519</v>
      </c>
      <c r="E1616" s="107" t="s">
        <v>503</v>
      </c>
      <c r="F1616" s="161">
        <v>45353</v>
      </c>
      <c r="G1616" s="107">
        <f t="shared" si="51"/>
        <v>5</v>
      </c>
    </row>
    <row r="1617" spans="1:7">
      <c r="A1617" s="107">
        <v>33</v>
      </c>
      <c r="B1617" s="107">
        <v>6</v>
      </c>
      <c r="C1617" s="107">
        <v>6</v>
      </c>
      <c r="D1617" s="107" t="s">
        <v>519</v>
      </c>
      <c r="E1617" s="107" t="s">
        <v>503</v>
      </c>
      <c r="F1617" s="161">
        <v>45353</v>
      </c>
      <c r="G1617" s="107">
        <f t="shared" si="51"/>
        <v>5</v>
      </c>
    </row>
    <row r="1618" spans="1:7">
      <c r="A1618" s="107">
        <v>33</v>
      </c>
      <c r="B1618" s="107">
        <v>6</v>
      </c>
      <c r="C1618" s="107">
        <v>7</v>
      </c>
      <c r="D1618" s="107" t="s">
        <v>519</v>
      </c>
      <c r="E1618" s="107" t="s">
        <v>503</v>
      </c>
      <c r="F1618" s="161">
        <v>45352</v>
      </c>
      <c r="G1618" s="107">
        <f t="shared" si="51"/>
        <v>4</v>
      </c>
    </row>
    <row r="1619" spans="1:7">
      <c r="A1619" s="107">
        <v>33</v>
      </c>
      <c r="B1619" s="107">
        <v>6</v>
      </c>
      <c r="C1619" s="107">
        <v>8</v>
      </c>
      <c r="D1619" s="107" t="s">
        <v>519</v>
      </c>
      <c r="E1619" s="107" t="s">
        <v>503</v>
      </c>
      <c r="F1619" s="161">
        <v>45353</v>
      </c>
      <c r="G1619" s="107">
        <f t="shared" si="51"/>
        <v>5</v>
      </c>
    </row>
    <row r="1621" spans="1:7">
      <c r="A1621" s="107">
        <v>34</v>
      </c>
      <c r="B1621" s="107">
        <v>1</v>
      </c>
      <c r="C1621" s="107">
        <v>1</v>
      </c>
      <c r="D1621" s="107" t="s">
        <v>520</v>
      </c>
      <c r="E1621" s="107" t="s">
        <v>503</v>
      </c>
      <c r="F1621" s="161">
        <v>45353</v>
      </c>
      <c r="G1621" s="107">
        <f t="shared" ref="G1621:G1668" si="52">DATEDIF(G$2,F1621,"d")</f>
        <v>5</v>
      </c>
    </row>
    <row r="1622" spans="1:7">
      <c r="A1622" s="107">
        <v>34</v>
      </c>
      <c r="B1622" s="107">
        <v>1</v>
      </c>
      <c r="C1622" s="107">
        <v>2</v>
      </c>
      <c r="D1622" s="107" t="s">
        <v>520</v>
      </c>
      <c r="E1622" s="107" t="s">
        <v>503</v>
      </c>
      <c r="F1622" s="161">
        <v>45353</v>
      </c>
      <c r="G1622" s="107">
        <f t="shared" si="52"/>
        <v>5</v>
      </c>
    </row>
    <row r="1623" spans="1:7">
      <c r="A1623" s="107">
        <v>34</v>
      </c>
      <c r="B1623" s="107">
        <v>1</v>
      </c>
      <c r="C1623" s="107">
        <v>3</v>
      </c>
      <c r="D1623" s="107" t="s">
        <v>520</v>
      </c>
      <c r="E1623" s="107" t="s">
        <v>503</v>
      </c>
      <c r="F1623" s="161">
        <v>45353</v>
      </c>
      <c r="G1623" s="107">
        <f t="shared" si="52"/>
        <v>5</v>
      </c>
    </row>
    <row r="1624" spans="1:7">
      <c r="A1624" s="107">
        <v>34</v>
      </c>
      <c r="B1624" s="107">
        <v>1</v>
      </c>
      <c r="C1624" s="107">
        <v>4</v>
      </c>
      <c r="D1624" s="107" t="s">
        <v>520</v>
      </c>
      <c r="E1624" s="107" t="s">
        <v>503</v>
      </c>
      <c r="F1624" s="161">
        <v>45353</v>
      </c>
      <c r="G1624" s="107">
        <f t="shared" si="52"/>
        <v>5</v>
      </c>
    </row>
    <row r="1625" spans="1:7">
      <c r="A1625" s="107">
        <v>34</v>
      </c>
      <c r="B1625" s="107">
        <v>1</v>
      </c>
      <c r="C1625" s="107">
        <v>5</v>
      </c>
      <c r="D1625" s="107" t="s">
        <v>520</v>
      </c>
      <c r="E1625" s="107" t="s">
        <v>503</v>
      </c>
      <c r="F1625" s="161">
        <v>45353</v>
      </c>
      <c r="G1625" s="107">
        <f t="shared" si="52"/>
        <v>5</v>
      </c>
    </row>
    <row r="1626" spans="1:7">
      <c r="A1626" s="107">
        <v>34</v>
      </c>
      <c r="B1626" s="107">
        <v>1</v>
      </c>
      <c r="C1626" s="107">
        <v>6</v>
      </c>
      <c r="D1626" s="107" t="s">
        <v>520</v>
      </c>
      <c r="E1626" s="107" t="s">
        <v>503</v>
      </c>
      <c r="F1626" s="161">
        <v>45353</v>
      </c>
      <c r="G1626" s="107">
        <f t="shared" si="52"/>
        <v>5</v>
      </c>
    </row>
    <row r="1627" spans="1:7">
      <c r="A1627" s="107">
        <v>34</v>
      </c>
      <c r="B1627" s="107">
        <v>1</v>
      </c>
      <c r="C1627" s="107">
        <v>7</v>
      </c>
      <c r="D1627" s="107" t="s">
        <v>520</v>
      </c>
      <c r="E1627" s="107" t="s">
        <v>503</v>
      </c>
      <c r="F1627" s="161">
        <v>45353</v>
      </c>
      <c r="G1627" s="107">
        <f t="shared" si="52"/>
        <v>5</v>
      </c>
    </row>
    <row r="1628" spans="1:7">
      <c r="A1628" s="107">
        <v>34</v>
      </c>
      <c r="B1628" s="107">
        <v>1</v>
      </c>
      <c r="C1628" s="107">
        <v>8</v>
      </c>
      <c r="D1628" s="107" t="s">
        <v>520</v>
      </c>
      <c r="E1628" s="107" t="s">
        <v>503</v>
      </c>
      <c r="F1628" s="161">
        <v>45353</v>
      </c>
      <c r="G1628" s="107">
        <f t="shared" si="52"/>
        <v>5</v>
      </c>
    </row>
    <row r="1629" spans="1:7">
      <c r="A1629" s="107">
        <v>34</v>
      </c>
      <c r="B1629" s="107">
        <v>2</v>
      </c>
      <c r="C1629" s="107">
        <v>1</v>
      </c>
      <c r="D1629" s="107" t="s">
        <v>521</v>
      </c>
      <c r="E1629" s="107" t="s">
        <v>503</v>
      </c>
      <c r="F1629" s="161">
        <v>45353</v>
      </c>
      <c r="G1629" s="107">
        <f t="shared" si="52"/>
        <v>5</v>
      </c>
    </row>
    <row r="1630" spans="1:7">
      <c r="A1630" s="107">
        <v>34</v>
      </c>
      <c r="B1630" s="107">
        <v>2</v>
      </c>
      <c r="C1630" s="107">
        <v>2</v>
      </c>
      <c r="D1630" s="107" t="s">
        <v>521</v>
      </c>
      <c r="E1630" s="107" t="s">
        <v>503</v>
      </c>
      <c r="F1630" s="161">
        <v>45353</v>
      </c>
      <c r="G1630" s="107">
        <f t="shared" si="52"/>
        <v>5</v>
      </c>
    </row>
    <row r="1631" spans="1:7">
      <c r="A1631" s="107">
        <v>34</v>
      </c>
      <c r="B1631" s="107">
        <v>2</v>
      </c>
      <c r="C1631" s="107">
        <v>3</v>
      </c>
      <c r="D1631" s="107" t="s">
        <v>521</v>
      </c>
      <c r="E1631" s="107" t="s">
        <v>503</v>
      </c>
      <c r="F1631" s="161">
        <v>45353</v>
      </c>
      <c r="G1631" s="107">
        <f t="shared" si="52"/>
        <v>5</v>
      </c>
    </row>
    <row r="1632" spans="1:7">
      <c r="A1632" s="107">
        <v>34</v>
      </c>
      <c r="B1632" s="107">
        <v>2</v>
      </c>
      <c r="C1632" s="107">
        <v>4</v>
      </c>
      <c r="D1632" s="107" t="s">
        <v>521</v>
      </c>
      <c r="E1632" s="107" t="s">
        <v>503</v>
      </c>
      <c r="F1632" s="161">
        <v>45353</v>
      </c>
      <c r="G1632" s="107">
        <f t="shared" si="52"/>
        <v>5</v>
      </c>
    </row>
    <row r="1633" spans="1:7">
      <c r="A1633" s="107">
        <v>34</v>
      </c>
      <c r="B1633" s="107">
        <v>2</v>
      </c>
      <c r="C1633" s="107">
        <v>5</v>
      </c>
      <c r="D1633" s="107" t="s">
        <v>521</v>
      </c>
      <c r="E1633" s="107" t="s">
        <v>503</v>
      </c>
      <c r="F1633" s="161">
        <v>45353</v>
      </c>
      <c r="G1633" s="107">
        <f t="shared" si="52"/>
        <v>5</v>
      </c>
    </row>
    <row r="1634" spans="1:7">
      <c r="A1634" s="107">
        <v>34</v>
      </c>
      <c r="B1634" s="107">
        <v>2</v>
      </c>
      <c r="C1634" s="107">
        <v>6</v>
      </c>
      <c r="D1634" s="107" t="s">
        <v>521</v>
      </c>
      <c r="E1634" s="107" t="s">
        <v>503</v>
      </c>
      <c r="F1634" s="161">
        <v>45353</v>
      </c>
      <c r="G1634" s="107">
        <f t="shared" si="52"/>
        <v>5</v>
      </c>
    </row>
    <row r="1635" spans="1:7">
      <c r="A1635" s="107">
        <v>34</v>
      </c>
      <c r="B1635" s="107">
        <v>2</v>
      </c>
      <c r="C1635" s="107">
        <v>7</v>
      </c>
      <c r="D1635" s="107" t="s">
        <v>521</v>
      </c>
      <c r="E1635" s="107" t="s">
        <v>503</v>
      </c>
      <c r="F1635" s="161">
        <v>45353</v>
      </c>
      <c r="G1635" s="107">
        <f t="shared" si="52"/>
        <v>5</v>
      </c>
    </row>
    <row r="1636" spans="1:7">
      <c r="A1636" s="107">
        <v>34</v>
      </c>
      <c r="B1636" s="107">
        <v>2</v>
      </c>
      <c r="C1636" s="107">
        <v>8</v>
      </c>
      <c r="D1636" s="107" t="s">
        <v>521</v>
      </c>
      <c r="E1636" s="107" t="s">
        <v>503</v>
      </c>
      <c r="F1636" s="161">
        <v>45353</v>
      </c>
      <c r="G1636" s="107">
        <f t="shared" si="52"/>
        <v>5</v>
      </c>
    </row>
    <row r="1637" spans="1:7">
      <c r="A1637" s="107">
        <v>34</v>
      </c>
      <c r="B1637" s="107">
        <v>3</v>
      </c>
      <c r="C1637" s="107">
        <v>1</v>
      </c>
      <c r="D1637" s="107" t="s">
        <v>522</v>
      </c>
      <c r="E1637" s="107" t="s">
        <v>503</v>
      </c>
      <c r="F1637" s="161">
        <v>45353</v>
      </c>
      <c r="G1637" s="107">
        <f t="shared" si="52"/>
        <v>5</v>
      </c>
    </row>
    <row r="1638" spans="1:7">
      <c r="A1638" s="107">
        <v>34</v>
      </c>
      <c r="B1638" s="107">
        <v>3</v>
      </c>
      <c r="C1638" s="107">
        <v>2</v>
      </c>
      <c r="D1638" s="107" t="s">
        <v>522</v>
      </c>
      <c r="E1638" s="107" t="s">
        <v>503</v>
      </c>
      <c r="F1638" s="161">
        <v>45353</v>
      </c>
      <c r="G1638" s="107">
        <f t="shared" si="52"/>
        <v>5</v>
      </c>
    </row>
    <row r="1639" spans="1:7">
      <c r="A1639" s="107">
        <v>34</v>
      </c>
      <c r="B1639" s="107">
        <v>3</v>
      </c>
      <c r="C1639" s="107">
        <v>3</v>
      </c>
      <c r="D1639" s="107" t="s">
        <v>522</v>
      </c>
      <c r="E1639" s="107" t="s">
        <v>503</v>
      </c>
      <c r="F1639" s="161">
        <v>45352</v>
      </c>
      <c r="G1639" s="107">
        <f t="shared" si="52"/>
        <v>4</v>
      </c>
    </row>
    <row r="1640" spans="1:7">
      <c r="A1640" s="107">
        <v>34</v>
      </c>
      <c r="B1640" s="107">
        <v>3</v>
      </c>
      <c r="C1640" s="107">
        <v>4</v>
      </c>
      <c r="D1640" s="107" t="s">
        <v>522</v>
      </c>
      <c r="E1640" s="107" t="s">
        <v>503</v>
      </c>
      <c r="F1640" s="161">
        <v>45353</v>
      </c>
      <c r="G1640" s="107">
        <f t="shared" si="52"/>
        <v>5</v>
      </c>
    </row>
    <row r="1641" spans="1:7">
      <c r="A1641" s="107">
        <v>34</v>
      </c>
      <c r="B1641" s="107">
        <v>3</v>
      </c>
      <c r="C1641" s="107">
        <v>5</v>
      </c>
      <c r="D1641" s="107" t="s">
        <v>522</v>
      </c>
      <c r="E1641" s="107" t="s">
        <v>503</v>
      </c>
      <c r="F1641" s="161">
        <v>45353</v>
      </c>
      <c r="G1641" s="107">
        <f t="shared" si="52"/>
        <v>5</v>
      </c>
    </row>
    <row r="1642" spans="1:7">
      <c r="A1642" s="107">
        <v>34</v>
      </c>
      <c r="B1642" s="107">
        <v>3</v>
      </c>
      <c r="C1642" s="107">
        <v>6</v>
      </c>
      <c r="D1642" s="107" t="s">
        <v>522</v>
      </c>
      <c r="E1642" s="107" t="s">
        <v>503</v>
      </c>
      <c r="F1642" s="161">
        <v>45353</v>
      </c>
      <c r="G1642" s="107">
        <f t="shared" si="52"/>
        <v>5</v>
      </c>
    </row>
    <row r="1643" spans="1:7">
      <c r="A1643" s="107">
        <v>34</v>
      </c>
      <c r="B1643" s="107">
        <v>3</v>
      </c>
      <c r="C1643" s="107">
        <v>7</v>
      </c>
      <c r="D1643" s="107" t="s">
        <v>522</v>
      </c>
      <c r="E1643" s="107" t="s">
        <v>503</v>
      </c>
      <c r="F1643" s="161">
        <v>45353</v>
      </c>
      <c r="G1643" s="107">
        <f t="shared" si="52"/>
        <v>5</v>
      </c>
    </row>
    <row r="1644" spans="1:7">
      <c r="A1644" s="107">
        <v>34</v>
      </c>
      <c r="B1644" s="107">
        <v>3</v>
      </c>
      <c r="C1644" s="107">
        <v>8</v>
      </c>
      <c r="D1644" s="107" t="s">
        <v>522</v>
      </c>
      <c r="E1644" s="107" t="s">
        <v>503</v>
      </c>
      <c r="F1644" s="161">
        <v>45352</v>
      </c>
      <c r="G1644" s="107">
        <f t="shared" si="52"/>
        <v>4</v>
      </c>
    </row>
    <row r="1645" spans="1:7">
      <c r="A1645" s="107">
        <v>34</v>
      </c>
      <c r="B1645" s="107">
        <v>4</v>
      </c>
      <c r="C1645" s="107">
        <v>1</v>
      </c>
      <c r="D1645" s="107" t="s">
        <v>523</v>
      </c>
      <c r="E1645" s="107" t="s">
        <v>503</v>
      </c>
      <c r="F1645" s="161">
        <v>45353</v>
      </c>
      <c r="G1645" s="107">
        <f t="shared" si="52"/>
        <v>5</v>
      </c>
    </row>
    <row r="1646" spans="1:7">
      <c r="A1646" s="107">
        <v>34</v>
      </c>
      <c r="B1646" s="107">
        <v>4</v>
      </c>
      <c r="C1646" s="107">
        <v>2</v>
      </c>
      <c r="D1646" s="107" t="s">
        <v>523</v>
      </c>
      <c r="E1646" s="107" t="s">
        <v>503</v>
      </c>
      <c r="F1646" s="161">
        <v>45353</v>
      </c>
      <c r="G1646" s="107">
        <f t="shared" si="52"/>
        <v>5</v>
      </c>
    </row>
    <row r="1647" spans="1:7">
      <c r="A1647" s="107">
        <v>34</v>
      </c>
      <c r="B1647" s="107">
        <v>4</v>
      </c>
      <c r="C1647" s="107">
        <v>3</v>
      </c>
      <c r="D1647" s="107" t="s">
        <v>523</v>
      </c>
      <c r="E1647" s="107" t="s">
        <v>503</v>
      </c>
      <c r="F1647" s="161">
        <v>45353</v>
      </c>
      <c r="G1647" s="107">
        <f t="shared" si="52"/>
        <v>5</v>
      </c>
    </row>
    <row r="1648" spans="1:7">
      <c r="A1648" s="107">
        <v>34</v>
      </c>
      <c r="B1648" s="107">
        <v>4</v>
      </c>
      <c r="C1648" s="107">
        <v>4</v>
      </c>
      <c r="D1648" s="107" t="s">
        <v>523</v>
      </c>
      <c r="E1648" s="107" t="s">
        <v>503</v>
      </c>
      <c r="F1648" s="161">
        <v>45353</v>
      </c>
      <c r="G1648" s="107">
        <f t="shared" si="52"/>
        <v>5</v>
      </c>
    </row>
    <row r="1649" spans="1:7">
      <c r="A1649" s="107">
        <v>34</v>
      </c>
      <c r="B1649" s="107">
        <v>4</v>
      </c>
      <c r="C1649" s="107">
        <v>5</v>
      </c>
      <c r="D1649" s="107" t="s">
        <v>523</v>
      </c>
      <c r="E1649" s="107" t="s">
        <v>503</v>
      </c>
      <c r="F1649" s="161">
        <v>45353</v>
      </c>
      <c r="G1649" s="107">
        <f t="shared" si="52"/>
        <v>5</v>
      </c>
    </row>
    <row r="1650" spans="1:7">
      <c r="A1650" s="107">
        <v>34</v>
      </c>
      <c r="B1650" s="107">
        <v>4</v>
      </c>
      <c r="C1650" s="107">
        <v>6</v>
      </c>
      <c r="D1650" s="107" t="s">
        <v>523</v>
      </c>
      <c r="E1650" s="107" t="s">
        <v>503</v>
      </c>
      <c r="F1650" s="161">
        <v>45353</v>
      </c>
      <c r="G1650" s="107">
        <f t="shared" si="52"/>
        <v>5</v>
      </c>
    </row>
    <row r="1651" spans="1:7">
      <c r="A1651" s="107">
        <v>34</v>
      </c>
      <c r="B1651" s="107">
        <v>4</v>
      </c>
      <c r="C1651" s="107">
        <v>7</v>
      </c>
      <c r="D1651" s="107" t="s">
        <v>523</v>
      </c>
      <c r="E1651" s="107" t="s">
        <v>503</v>
      </c>
      <c r="F1651" s="161">
        <v>45354</v>
      </c>
      <c r="G1651" s="107">
        <f t="shared" si="52"/>
        <v>6</v>
      </c>
    </row>
    <row r="1652" spans="1:7">
      <c r="A1652" s="107">
        <v>34</v>
      </c>
      <c r="B1652" s="107">
        <v>4</v>
      </c>
      <c r="C1652" s="107">
        <v>8</v>
      </c>
      <c r="D1652" s="107" t="s">
        <v>523</v>
      </c>
      <c r="E1652" s="107" t="s">
        <v>503</v>
      </c>
      <c r="F1652" s="161">
        <v>45353</v>
      </c>
      <c r="G1652" s="107">
        <f t="shared" si="52"/>
        <v>5</v>
      </c>
    </row>
    <row r="1653" spans="1:7">
      <c r="A1653" s="107">
        <v>34</v>
      </c>
      <c r="B1653" s="107">
        <v>5</v>
      </c>
      <c r="C1653" s="107">
        <v>1</v>
      </c>
      <c r="D1653" s="107" t="s">
        <v>524</v>
      </c>
      <c r="E1653" s="107" t="s">
        <v>503</v>
      </c>
      <c r="F1653" s="161">
        <v>45353</v>
      </c>
      <c r="G1653" s="107">
        <f t="shared" si="52"/>
        <v>5</v>
      </c>
    </row>
    <row r="1654" spans="1:7">
      <c r="A1654" s="107">
        <v>34</v>
      </c>
      <c r="B1654" s="107">
        <v>5</v>
      </c>
      <c r="C1654" s="107">
        <v>2</v>
      </c>
      <c r="D1654" s="107" t="s">
        <v>524</v>
      </c>
      <c r="E1654" s="107" t="s">
        <v>503</v>
      </c>
      <c r="F1654" s="161">
        <v>45353</v>
      </c>
      <c r="G1654" s="107">
        <f t="shared" si="52"/>
        <v>5</v>
      </c>
    </row>
    <row r="1655" spans="1:7">
      <c r="A1655" s="107">
        <v>34</v>
      </c>
      <c r="B1655" s="107">
        <v>5</v>
      </c>
      <c r="C1655" s="107">
        <v>3</v>
      </c>
      <c r="D1655" s="107" t="s">
        <v>524</v>
      </c>
      <c r="E1655" s="107" t="s">
        <v>503</v>
      </c>
      <c r="F1655" s="161">
        <v>45353</v>
      </c>
      <c r="G1655" s="107">
        <f t="shared" si="52"/>
        <v>5</v>
      </c>
    </row>
    <row r="1656" spans="1:7">
      <c r="A1656" s="107">
        <v>34</v>
      </c>
      <c r="B1656" s="107">
        <v>5</v>
      </c>
      <c r="C1656" s="107">
        <v>4</v>
      </c>
      <c r="D1656" s="107" t="s">
        <v>524</v>
      </c>
      <c r="E1656" s="107" t="s">
        <v>503</v>
      </c>
      <c r="F1656" s="161">
        <v>45353</v>
      </c>
      <c r="G1656" s="107">
        <f t="shared" si="52"/>
        <v>5</v>
      </c>
    </row>
    <row r="1657" spans="1:7">
      <c r="A1657" s="107">
        <v>34</v>
      </c>
      <c r="B1657" s="107">
        <v>5</v>
      </c>
      <c r="C1657" s="107">
        <v>5</v>
      </c>
      <c r="D1657" s="107" t="s">
        <v>524</v>
      </c>
      <c r="E1657" s="107" t="s">
        <v>503</v>
      </c>
      <c r="F1657" s="161">
        <v>45353</v>
      </c>
      <c r="G1657" s="107">
        <f t="shared" si="52"/>
        <v>5</v>
      </c>
    </row>
    <row r="1658" spans="1:7">
      <c r="A1658" s="107">
        <v>34</v>
      </c>
      <c r="B1658" s="107">
        <v>5</v>
      </c>
      <c r="C1658" s="107">
        <v>6</v>
      </c>
      <c r="D1658" s="107" t="s">
        <v>524</v>
      </c>
      <c r="E1658" s="107" t="s">
        <v>503</v>
      </c>
      <c r="F1658" s="161">
        <v>45353</v>
      </c>
      <c r="G1658" s="107">
        <f t="shared" si="52"/>
        <v>5</v>
      </c>
    </row>
    <row r="1659" spans="1:7">
      <c r="A1659" s="107">
        <v>34</v>
      </c>
      <c r="B1659" s="107">
        <v>5</v>
      </c>
      <c r="C1659" s="107">
        <v>7</v>
      </c>
      <c r="D1659" s="107" t="s">
        <v>524</v>
      </c>
      <c r="E1659" s="107" t="s">
        <v>503</v>
      </c>
      <c r="F1659" s="161">
        <v>45353</v>
      </c>
      <c r="G1659" s="107">
        <f t="shared" si="52"/>
        <v>5</v>
      </c>
    </row>
    <row r="1660" spans="1:7">
      <c r="A1660" s="107">
        <v>34</v>
      </c>
      <c r="B1660" s="107">
        <v>5</v>
      </c>
      <c r="C1660" s="107">
        <v>8</v>
      </c>
      <c r="D1660" s="107" t="s">
        <v>524</v>
      </c>
      <c r="E1660" s="107" t="s">
        <v>503</v>
      </c>
      <c r="F1660" s="161">
        <v>45353</v>
      </c>
      <c r="G1660" s="107">
        <f t="shared" si="52"/>
        <v>5</v>
      </c>
    </row>
    <row r="1661" spans="1:7">
      <c r="A1661" s="107">
        <v>34</v>
      </c>
      <c r="B1661" s="107">
        <v>6</v>
      </c>
      <c r="C1661" s="107">
        <v>1</v>
      </c>
      <c r="D1661" s="107" t="s">
        <v>525</v>
      </c>
      <c r="E1661" s="107" t="s">
        <v>503</v>
      </c>
      <c r="F1661" s="161">
        <v>45353</v>
      </c>
      <c r="G1661" s="107">
        <f t="shared" si="52"/>
        <v>5</v>
      </c>
    </row>
    <row r="1662" spans="1:7">
      <c r="A1662" s="107">
        <v>34</v>
      </c>
      <c r="B1662" s="107">
        <v>6</v>
      </c>
      <c r="C1662" s="107">
        <v>2</v>
      </c>
      <c r="D1662" s="107" t="s">
        <v>525</v>
      </c>
      <c r="E1662" s="107" t="s">
        <v>503</v>
      </c>
      <c r="F1662" s="161">
        <v>45353</v>
      </c>
      <c r="G1662" s="107">
        <f t="shared" si="52"/>
        <v>5</v>
      </c>
    </row>
    <row r="1663" spans="1:7">
      <c r="A1663" s="107">
        <v>34</v>
      </c>
      <c r="B1663" s="107">
        <v>6</v>
      </c>
      <c r="C1663" s="107">
        <v>3</v>
      </c>
      <c r="D1663" s="107" t="s">
        <v>525</v>
      </c>
      <c r="E1663" s="107" t="s">
        <v>503</v>
      </c>
      <c r="F1663" s="161">
        <v>45353</v>
      </c>
      <c r="G1663" s="107">
        <f t="shared" si="52"/>
        <v>5</v>
      </c>
    </row>
    <row r="1664" spans="1:7">
      <c r="A1664" s="107">
        <v>34</v>
      </c>
      <c r="B1664" s="107">
        <v>6</v>
      </c>
      <c r="C1664" s="107">
        <v>4</v>
      </c>
      <c r="D1664" s="107" t="s">
        <v>525</v>
      </c>
      <c r="E1664" s="107" t="s">
        <v>503</v>
      </c>
      <c r="F1664" s="161">
        <v>45353</v>
      </c>
      <c r="G1664" s="107">
        <f t="shared" si="52"/>
        <v>5</v>
      </c>
    </row>
    <row r="1665" spans="1:7">
      <c r="A1665" s="107">
        <v>34</v>
      </c>
      <c r="B1665" s="107">
        <v>6</v>
      </c>
      <c r="C1665" s="107">
        <v>5</v>
      </c>
      <c r="D1665" s="107" t="s">
        <v>525</v>
      </c>
      <c r="E1665" s="107" t="s">
        <v>503</v>
      </c>
      <c r="F1665" s="161">
        <v>45352</v>
      </c>
      <c r="G1665" s="107">
        <f t="shared" si="52"/>
        <v>4</v>
      </c>
    </row>
    <row r="1666" spans="1:7">
      <c r="A1666" s="107">
        <v>34</v>
      </c>
      <c r="B1666" s="107">
        <v>6</v>
      </c>
      <c r="C1666" s="107">
        <v>6</v>
      </c>
      <c r="D1666" s="107" t="s">
        <v>525</v>
      </c>
      <c r="E1666" s="107" t="s">
        <v>503</v>
      </c>
      <c r="F1666" s="161">
        <v>45353</v>
      </c>
      <c r="G1666" s="107">
        <f t="shared" si="52"/>
        <v>5</v>
      </c>
    </row>
    <row r="1667" spans="1:7">
      <c r="A1667" s="107">
        <v>34</v>
      </c>
      <c r="B1667" s="107">
        <v>6</v>
      </c>
      <c r="C1667" s="107">
        <v>7</v>
      </c>
      <c r="D1667" s="107" t="s">
        <v>525</v>
      </c>
      <c r="E1667" s="107" t="s">
        <v>503</v>
      </c>
      <c r="F1667" s="161">
        <v>45352</v>
      </c>
      <c r="G1667" s="107">
        <f t="shared" si="52"/>
        <v>4</v>
      </c>
    </row>
    <row r="1668" spans="1:7">
      <c r="A1668" s="107">
        <v>34</v>
      </c>
      <c r="B1668" s="107">
        <v>6</v>
      </c>
      <c r="C1668" s="107">
        <v>8</v>
      </c>
      <c r="D1668" s="107" t="s">
        <v>525</v>
      </c>
      <c r="E1668" s="107" t="s">
        <v>503</v>
      </c>
      <c r="F1668" s="161">
        <v>45353</v>
      </c>
      <c r="G1668" s="107">
        <f t="shared" si="52"/>
        <v>5</v>
      </c>
    </row>
    <row r="1670" spans="1:7">
      <c r="A1670" s="107">
        <v>35</v>
      </c>
      <c r="B1670" s="107">
        <v>1</v>
      </c>
      <c r="C1670" s="107">
        <v>1</v>
      </c>
      <c r="D1670" s="107" t="s">
        <v>526</v>
      </c>
      <c r="E1670" s="107" t="s">
        <v>527</v>
      </c>
      <c r="F1670" s="161">
        <v>45353</v>
      </c>
      <c r="G1670" s="107">
        <f t="shared" ref="G1670:G1717" si="53">DATEDIF(G$2,F1670,"d")</f>
        <v>5</v>
      </c>
    </row>
    <row r="1671" spans="1:7">
      <c r="A1671" s="107">
        <v>35</v>
      </c>
      <c r="B1671" s="107">
        <v>1</v>
      </c>
      <c r="C1671" s="107">
        <v>2</v>
      </c>
      <c r="D1671" s="107" t="s">
        <v>526</v>
      </c>
      <c r="E1671" s="107" t="s">
        <v>527</v>
      </c>
      <c r="F1671" s="161">
        <v>45352</v>
      </c>
      <c r="G1671" s="107">
        <f t="shared" si="53"/>
        <v>4</v>
      </c>
    </row>
    <row r="1672" spans="1:7">
      <c r="A1672" s="107">
        <v>35</v>
      </c>
      <c r="B1672" s="107">
        <v>1</v>
      </c>
      <c r="C1672" s="107">
        <v>3</v>
      </c>
      <c r="D1672" s="107" t="s">
        <v>526</v>
      </c>
      <c r="E1672" s="107" t="s">
        <v>527</v>
      </c>
      <c r="F1672" s="161">
        <v>45353</v>
      </c>
      <c r="G1672" s="107">
        <f t="shared" si="53"/>
        <v>5</v>
      </c>
    </row>
    <row r="1673" spans="1:7">
      <c r="A1673" s="107">
        <v>35</v>
      </c>
      <c r="B1673" s="107">
        <v>1</v>
      </c>
      <c r="C1673" s="107">
        <v>4</v>
      </c>
      <c r="D1673" s="107" t="s">
        <v>526</v>
      </c>
      <c r="E1673" s="107" t="s">
        <v>527</v>
      </c>
      <c r="F1673" s="161">
        <v>45353</v>
      </c>
      <c r="G1673" s="107">
        <f t="shared" si="53"/>
        <v>5</v>
      </c>
    </row>
    <row r="1674" spans="1:7">
      <c r="A1674" s="107">
        <v>35</v>
      </c>
      <c r="B1674" s="107">
        <v>1</v>
      </c>
      <c r="C1674" s="107">
        <v>5</v>
      </c>
      <c r="D1674" s="107" t="s">
        <v>526</v>
      </c>
      <c r="E1674" s="107" t="s">
        <v>527</v>
      </c>
      <c r="F1674" s="161">
        <v>45352</v>
      </c>
      <c r="G1674" s="107">
        <f t="shared" si="53"/>
        <v>4</v>
      </c>
    </row>
    <row r="1675" spans="1:7">
      <c r="A1675" s="107">
        <v>35</v>
      </c>
      <c r="B1675" s="107">
        <v>1</v>
      </c>
      <c r="C1675" s="107">
        <v>6</v>
      </c>
      <c r="D1675" s="107" t="s">
        <v>526</v>
      </c>
      <c r="E1675" s="107" t="s">
        <v>527</v>
      </c>
      <c r="F1675" s="161">
        <v>45353</v>
      </c>
      <c r="G1675" s="107">
        <f t="shared" si="53"/>
        <v>5</v>
      </c>
    </row>
    <row r="1676" spans="1:7">
      <c r="A1676" s="107">
        <v>35</v>
      </c>
      <c r="B1676" s="107">
        <v>1</v>
      </c>
      <c r="C1676" s="107">
        <v>7</v>
      </c>
      <c r="D1676" s="107" t="s">
        <v>526</v>
      </c>
      <c r="E1676" s="107" t="s">
        <v>527</v>
      </c>
      <c r="F1676" s="161">
        <v>45352</v>
      </c>
      <c r="G1676" s="107">
        <f t="shared" si="53"/>
        <v>4</v>
      </c>
    </row>
    <row r="1677" spans="1:7">
      <c r="A1677" s="107">
        <v>35</v>
      </c>
      <c r="B1677" s="107">
        <v>1</v>
      </c>
      <c r="C1677" s="107">
        <v>8</v>
      </c>
      <c r="D1677" s="107" t="s">
        <v>526</v>
      </c>
      <c r="E1677" s="107" t="s">
        <v>527</v>
      </c>
      <c r="F1677" s="161">
        <v>45353</v>
      </c>
      <c r="G1677" s="107">
        <f t="shared" si="53"/>
        <v>5</v>
      </c>
    </row>
    <row r="1678" spans="1:7">
      <c r="A1678" s="107">
        <v>35</v>
      </c>
      <c r="B1678" s="107">
        <v>2</v>
      </c>
      <c r="C1678" s="107">
        <v>1</v>
      </c>
      <c r="D1678" s="107" t="s">
        <v>528</v>
      </c>
      <c r="E1678" s="107" t="s">
        <v>503</v>
      </c>
      <c r="F1678" s="161">
        <v>45353</v>
      </c>
      <c r="G1678" s="107">
        <f t="shared" si="53"/>
        <v>5</v>
      </c>
    </row>
    <row r="1679" spans="1:7">
      <c r="A1679" s="107">
        <v>35</v>
      </c>
      <c r="B1679" s="107">
        <v>2</v>
      </c>
      <c r="C1679" s="107">
        <v>2</v>
      </c>
      <c r="D1679" s="107" t="s">
        <v>528</v>
      </c>
      <c r="E1679" s="107" t="s">
        <v>503</v>
      </c>
      <c r="F1679" s="161">
        <v>45352</v>
      </c>
      <c r="G1679" s="107">
        <f t="shared" si="53"/>
        <v>4</v>
      </c>
    </row>
    <row r="1680" spans="1:7">
      <c r="A1680" s="107">
        <v>35</v>
      </c>
      <c r="B1680" s="107">
        <v>2</v>
      </c>
      <c r="C1680" s="107">
        <v>3</v>
      </c>
      <c r="D1680" s="107" t="s">
        <v>528</v>
      </c>
      <c r="E1680" s="107" t="s">
        <v>503</v>
      </c>
      <c r="F1680" s="161">
        <v>45352</v>
      </c>
      <c r="G1680" s="107">
        <f t="shared" si="53"/>
        <v>4</v>
      </c>
    </row>
    <row r="1681" spans="1:7">
      <c r="A1681" s="107">
        <v>35</v>
      </c>
      <c r="B1681" s="107">
        <v>2</v>
      </c>
      <c r="C1681" s="107">
        <v>4</v>
      </c>
      <c r="D1681" s="107" t="s">
        <v>528</v>
      </c>
      <c r="E1681" s="107" t="s">
        <v>503</v>
      </c>
      <c r="F1681" s="161">
        <v>45353</v>
      </c>
      <c r="G1681" s="107">
        <f t="shared" si="53"/>
        <v>5</v>
      </c>
    </row>
    <row r="1682" spans="1:7">
      <c r="A1682" s="107">
        <v>35</v>
      </c>
      <c r="B1682" s="107">
        <v>2</v>
      </c>
      <c r="C1682" s="107">
        <v>5</v>
      </c>
      <c r="D1682" s="107" t="s">
        <v>528</v>
      </c>
      <c r="E1682" s="107" t="s">
        <v>503</v>
      </c>
      <c r="F1682" s="161">
        <v>45352</v>
      </c>
      <c r="G1682" s="107">
        <f t="shared" si="53"/>
        <v>4</v>
      </c>
    </row>
    <row r="1683" spans="1:7">
      <c r="A1683" s="107">
        <v>35</v>
      </c>
      <c r="B1683" s="107">
        <v>2</v>
      </c>
      <c r="C1683" s="107">
        <v>6</v>
      </c>
      <c r="D1683" s="107" t="s">
        <v>528</v>
      </c>
      <c r="E1683" s="107" t="s">
        <v>503</v>
      </c>
      <c r="F1683" s="161">
        <v>45353</v>
      </c>
      <c r="G1683" s="107">
        <f t="shared" si="53"/>
        <v>5</v>
      </c>
    </row>
    <row r="1684" spans="1:7">
      <c r="A1684" s="107">
        <v>35</v>
      </c>
      <c r="B1684" s="107">
        <v>2</v>
      </c>
      <c r="C1684" s="107">
        <v>7</v>
      </c>
      <c r="D1684" s="107" t="s">
        <v>528</v>
      </c>
      <c r="E1684" s="107" t="s">
        <v>503</v>
      </c>
      <c r="F1684" s="161">
        <v>45353</v>
      </c>
      <c r="G1684" s="107">
        <f t="shared" si="53"/>
        <v>5</v>
      </c>
    </row>
    <row r="1685" spans="1:7">
      <c r="A1685" s="107">
        <v>35</v>
      </c>
      <c r="B1685" s="107">
        <v>2</v>
      </c>
      <c r="C1685" s="107">
        <v>8</v>
      </c>
      <c r="D1685" s="107" t="s">
        <v>528</v>
      </c>
      <c r="E1685" s="107" t="s">
        <v>503</v>
      </c>
      <c r="F1685" s="161">
        <v>45353</v>
      </c>
      <c r="G1685" s="107">
        <f t="shared" si="53"/>
        <v>5</v>
      </c>
    </row>
    <row r="1686" spans="1:7">
      <c r="A1686" s="107">
        <v>35</v>
      </c>
      <c r="B1686" s="107">
        <v>3</v>
      </c>
      <c r="C1686" s="107">
        <v>1</v>
      </c>
      <c r="D1686" s="107" t="s">
        <v>529</v>
      </c>
      <c r="E1686" s="107" t="s">
        <v>503</v>
      </c>
      <c r="F1686" s="161">
        <v>45353</v>
      </c>
      <c r="G1686" s="107">
        <f t="shared" si="53"/>
        <v>5</v>
      </c>
    </row>
    <row r="1687" spans="1:7">
      <c r="A1687" s="107">
        <v>35</v>
      </c>
      <c r="B1687" s="107">
        <v>3</v>
      </c>
      <c r="C1687" s="107">
        <v>2</v>
      </c>
      <c r="D1687" s="107" t="s">
        <v>529</v>
      </c>
      <c r="E1687" s="107" t="s">
        <v>503</v>
      </c>
      <c r="F1687" s="161">
        <v>45353</v>
      </c>
      <c r="G1687" s="107">
        <f t="shared" si="53"/>
        <v>5</v>
      </c>
    </row>
    <row r="1688" spans="1:7">
      <c r="A1688" s="107">
        <v>35</v>
      </c>
      <c r="B1688" s="107">
        <v>3</v>
      </c>
      <c r="C1688" s="107">
        <v>3</v>
      </c>
      <c r="D1688" s="107" t="s">
        <v>529</v>
      </c>
      <c r="E1688" s="107" t="s">
        <v>503</v>
      </c>
      <c r="F1688" s="161">
        <v>45353</v>
      </c>
      <c r="G1688" s="107">
        <f t="shared" si="53"/>
        <v>5</v>
      </c>
    </row>
    <row r="1689" spans="1:7">
      <c r="A1689" s="107">
        <v>35</v>
      </c>
      <c r="B1689" s="107">
        <v>3</v>
      </c>
      <c r="C1689" s="107">
        <v>4</v>
      </c>
      <c r="D1689" s="107" t="s">
        <v>529</v>
      </c>
      <c r="E1689" s="107" t="s">
        <v>503</v>
      </c>
      <c r="F1689" s="161">
        <v>45352</v>
      </c>
      <c r="G1689" s="107">
        <f t="shared" si="53"/>
        <v>4</v>
      </c>
    </row>
    <row r="1690" spans="1:7">
      <c r="A1690" s="107">
        <v>35</v>
      </c>
      <c r="B1690" s="107">
        <v>3</v>
      </c>
      <c r="C1690" s="107">
        <v>5</v>
      </c>
      <c r="D1690" s="107" t="s">
        <v>529</v>
      </c>
      <c r="E1690" s="107" t="s">
        <v>503</v>
      </c>
      <c r="F1690" s="161">
        <v>45353</v>
      </c>
      <c r="G1690" s="107">
        <f t="shared" si="53"/>
        <v>5</v>
      </c>
    </row>
    <row r="1691" spans="1:7">
      <c r="A1691" s="107">
        <v>35</v>
      </c>
      <c r="B1691" s="107">
        <v>3</v>
      </c>
      <c r="C1691" s="107">
        <v>6</v>
      </c>
      <c r="D1691" s="107" t="s">
        <v>529</v>
      </c>
      <c r="E1691" s="107" t="s">
        <v>503</v>
      </c>
      <c r="F1691" s="161">
        <v>45353</v>
      </c>
      <c r="G1691" s="107">
        <f t="shared" si="53"/>
        <v>5</v>
      </c>
    </row>
    <row r="1692" spans="1:7">
      <c r="A1692" s="107">
        <v>35</v>
      </c>
      <c r="B1692" s="107">
        <v>3</v>
      </c>
      <c r="C1692" s="107">
        <v>7</v>
      </c>
      <c r="D1692" s="107" t="s">
        <v>529</v>
      </c>
      <c r="E1692" s="107" t="s">
        <v>503</v>
      </c>
      <c r="F1692" s="161">
        <v>45353</v>
      </c>
      <c r="G1692" s="107">
        <f t="shared" si="53"/>
        <v>5</v>
      </c>
    </row>
    <row r="1693" spans="1:7">
      <c r="A1693" s="107">
        <v>35</v>
      </c>
      <c r="B1693" s="107">
        <v>3</v>
      </c>
      <c r="C1693" s="107">
        <v>8</v>
      </c>
      <c r="D1693" s="107" t="s">
        <v>529</v>
      </c>
      <c r="E1693" s="107" t="s">
        <v>503</v>
      </c>
      <c r="F1693" s="161">
        <v>45353</v>
      </c>
      <c r="G1693" s="107">
        <f t="shared" si="53"/>
        <v>5</v>
      </c>
    </row>
    <row r="1694" spans="1:7">
      <c r="A1694" s="107">
        <v>35</v>
      </c>
      <c r="B1694" s="107">
        <v>4</v>
      </c>
      <c r="C1694" s="107">
        <v>1</v>
      </c>
      <c r="D1694" s="107" t="s">
        <v>530</v>
      </c>
      <c r="E1694" s="107" t="s">
        <v>518</v>
      </c>
      <c r="F1694" s="161">
        <v>45353</v>
      </c>
      <c r="G1694" s="107">
        <f t="shared" si="53"/>
        <v>5</v>
      </c>
    </row>
    <row r="1695" spans="1:7">
      <c r="A1695" s="107">
        <v>35</v>
      </c>
      <c r="B1695" s="107">
        <v>4</v>
      </c>
      <c r="C1695" s="107">
        <v>2</v>
      </c>
      <c r="D1695" s="107" t="s">
        <v>530</v>
      </c>
      <c r="E1695" s="107" t="s">
        <v>518</v>
      </c>
      <c r="F1695" s="161">
        <v>45353</v>
      </c>
      <c r="G1695" s="107">
        <f t="shared" si="53"/>
        <v>5</v>
      </c>
    </row>
    <row r="1696" spans="1:7">
      <c r="A1696" s="107">
        <v>35</v>
      </c>
      <c r="B1696" s="107">
        <v>4</v>
      </c>
      <c r="C1696" s="107">
        <v>3</v>
      </c>
      <c r="D1696" s="107" t="s">
        <v>530</v>
      </c>
      <c r="E1696" s="107" t="s">
        <v>518</v>
      </c>
      <c r="F1696" s="161">
        <v>45353</v>
      </c>
      <c r="G1696" s="107">
        <f t="shared" si="53"/>
        <v>5</v>
      </c>
    </row>
    <row r="1697" spans="1:7">
      <c r="A1697" s="107">
        <v>35</v>
      </c>
      <c r="B1697" s="107">
        <v>4</v>
      </c>
      <c r="C1697" s="107">
        <v>4</v>
      </c>
      <c r="D1697" s="107" t="s">
        <v>530</v>
      </c>
      <c r="E1697" s="107" t="s">
        <v>518</v>
      </c>
      <c r="F1697" s="161">
        <v>45353</v>
      </c>
      <c r="G1697" s="107">
        <f t="shared" si="53"/>
        <v>5</v>
      </c>
    </row>
    <row r="1698" spans="1:7">
      <c r="A1698" s="107">
        <v>35</v>
      </c>
      <c r="B1698" s="107">
        <v>4</v>
      </c>
      <c r="C1698" s="107">
        <v>5</v>
      </c>
      <c r="D1698" s="107" t="s">
        <v>530</v>
      </c>
      <c r="E1698" s="107" t="s">
        <v>518</v>
      </c>
      <c r="F1698" s="161">
        <v>45353</v>
      </c>
      <c r="G1698" s="107">
        <f t="shared" si="53"/>
        <v>5</v>
      </c>
    </row>
    <row r="1699" spans="1:7">
      <c r="A1699" s="107">
        <v>35</v>
      </c>
      <c r="B1699" s="107">
        <v>4</v>
      </c>
      <c r="C1699" s="107">
        <v>6</v>
      </c>
      <c r="D1699" s="107" t="s">
        <v>530</v>
      </c>
      <c r="E1699" s="107" t="s">
        <v>518</v>
      </c>
      <c r="F1699" s="161">
        <v>45353</v>
      </c>
      <c r="G1699" s="107">
        <f t="shared" si="53"/>
        <v>5</v>
      </c>
    </row>
    <row r="1700" spans="1:7">
      <c r="A1700" s="107">
        <v>35</v>
      </c>
      <c r="B1700" s="107">
        <v>4</v>
      </c>
      <c r="C1700" s="107">
        <v>7</v>
      </c>
      <c r="D1700" s="107" t="s">
        <v>530</v>
      </c>
      <c r="E1700" s="107" t="s">
        <v>518</v>
      </c>
      <c r="F1700" s="161">
        <v>45353</v>
      </c>
      <c r="G1700" s="107">
        <f t="shared" si="53"/>
        <v>5</v>
      </c>
    </row>
    <row r="1701" spans="1:7">
      <c r="A1701" s="107">
        <v>35</v>
      </c>
      <c r="B1701" s="107">
        <v>4</v>
      </c>
      <c r="C1701" s="107">
        <v>8</v>
      </c>
      <c r="D1701" s="107" t="s">
        <v>530</v>
      </c>
      <c r="E1701" s="107" t="s">
        <v>518</v>
      </c>
      <c r="F1701" s="161">
        <v>45353</v>
      </c>
      <c r="G1701" s="107">
        <f t="shared" si="53"/>
        <v>5</v>
      </c>
    </row>
    <row r="1702" spans="1:7">
      <c r="A1702" s="107">
        <v>35</v>
      </c>
      <c r="B1702" s="107">
        <v>5</v>
      </c>
      <c r="C1702" s="107">
        <v>1</v>
      </c>
      <c r="D1702" s="107" t="s">
        <v>531</v>
      </c>
      <c r="E1702" s="107" t="s">
        <v>503</v>
      </c>
      <c r="F1702" s="161">
        <v>45353</v>
      </c>
      <c r="G1702" s="107">
        <f t="shared" si="53"/>
        <v>5</v>
      </c>
    </row>
    <row r="1703" spans="1:7">
      <c r="A1703" s="107">
        <v>35</v>
      </c>
      <c r="B1703" s="107">
        <v>5</v>
      </c>
      <c r="C1703" s="107">
        <v>2</v>
      </c>
      <c r="D1703" s="107" t="s">
        <v>531</v>
      </c>
      <c r="E1703" s="107" t="s">
        <v>503</v>
      </c>
      <c r="F1703" s="161">
        <v>45353</v>
      </c>
      <c r="G1703" s="107">
        <f t="shared" si="53"/>
        <v>5</v>
      </c>
    </row>
    <row r="1704" spans="1:7">
      <c r="A1704" s="107">
        <v>35</v>
      </c>
      <c r="B1704" s="107">
        <v>5</v>
      </c>
      <c r="C1704" s="107">
        <v>3</v>
      </c>
      <c r="D1704" s="107" t="s">
        <v>531</v>
      </c>
      <c r="E1704" s="107" t="s">
        <v>503</v>
      </c>
      <c r="F1704" s="161">
        <v>45352</v>
      </c>
      <c r="G1704" s="107">
        <f t="shared" si="53"/>
        <v>4</v>
      </c>
    </row>
    <row r="1705" spans="1:7">
      <c r="A1705" s="107">
        <v>35</v>
      </c>
      <c r="B1705" s="107">
        <v>5</v>
      </c>
      <c r="C1705" s="107">
        <v>4</v>
      </c>
      <c r="D1705" s="107" t="s">
        <v>531</v>
      </c>
      <c r="E1705" s="107" t="s">
        <v>503</v>
      </c>
      <c r="F1705" s="161">
        <v>45353</v>
      </c>
      <c r="G1705" s="107">
        <f t="shared" si="53"/>
        <v>5</v>
      </c>
    </row>
    <row r="1706" spans="1:7">
      <c r="A1706" s="107">
        <v>35</v>
      </c>
      <c r="B1706" s="107">
        <v>5</v>
      </c>
      <c r="C1706" s="107">
        <v>5</v>
      </c>
      <c r="D1706" s="107" t="s">
        <v>531</v>
      </c>
      <c r="E1706" s="107" t="s">
        <v>503</v>
      </c>
      <c r="F1706" s="161">
        <v>45353</v>
      </c>
      <c r="G1706" s="107">
        <f t="shared" si="53"/>
        <v>5</v>
      </c>
    </row>
    <row r="1707" spans="1:7">
      <c r="A1707" s="107">
        <v>35</v>
      </c>
      <c r="B1707" s="107">
        <v>5</v>
      </c>
      <c r="C1707" s="107">
        <v>6</v>
      </c>
      <c r="D1707" s="107" t="s">
        <v>531</v>
      </c>
      <c r="E1707" s="107" t="s">
        <v>503</v>
      </c>
      <c r="F1707" s="161">
        <v>45353</v>
      </c>
      <c r="G1707" s="107">
        <f t="shared" si="53"/>
        <v>5</v>
      </c>
    </row>
    <row r="1708" spans="1:7">
      <c r="A1708" s="107">
        <v>35</v>
      </c>
      <c r="B1708" s="107">
        <v>5</v>
      </c>
      <c r="C1708" s="107">
        <v>7</v>
      </c>
      <c r="D1708" s="107" t="s">
        <v>531</v>
      </c>
      <c r="E1708" s="107" t="s">
        <v>503</v>
      </c>
      <c r="F1708" s="161">
        <v>45353</v>
      </c>
      <c r="G1708" s="107">
        <f t="shared" si="53"/>
        <v>5</v>
      </c>
    </row>
    <row r="1709" spans="1:7">
      <c r="A1709" s="107">
        <v>35</v>
      </c>
      <c r="B1709" s="107">
        <v>5</v>
      </c>
      <c r="C1709" s="107">
        <v>8</v>
      </c>
      <c r="D1709" s="107" t="s">
        <v>531</v>
      </c>
      <c r="E1709" s="107" t="s">
        <v>503</v>
      </c>
      <c r="F1709" s="161">
        <v>45353</v>
      </c>
      <c r="G1709" s="107">
        <f t="shared" si="53"/>
        <v>5</v>
      </c>
    </row>
    <row r="1710" spans="1:7">
      <c r="A1710" s="107">
        <v>35</v>
      </c>
      <c r="B1710" s="107">
        <v>6</v>
      </c>
      <c r="C1710" s="107">
        <v>1</v>
      </c>
      <c r="D1710" s="107" t="s">
        <v>532</v>
      </c>
      <c r="E1710" s="107" t="s">
        <v>503</v>
      </c>
      <c r="F1710" s="161">
        <v>45352</v>
      </c>
      <c r="G1710" s="107">
        <f t="shared" si="53"/>
        <v>4</v>
      </c>
    </row>
    <row r="1711" spans="1:7">
      <c r="A1711" s="107">
        <v>35</v>
      </c>
      <c r="B1711" s="107">
        <v>6</v>
      </c>
      <c r="C1711" s="107">
        <v>2</v>
      </c>
      <c r="D1711" s="107" t="s">
        <v>532</v>
      </c>
      <c r="E1711" s="107" t="s">
        <v>503</v>
      </c>
      <c r="F1711" s="161">
        <v>45352</v>
      </c>
      <c r="G1711" s="107">
        <f t="shared" si="53"/>
        <v>4</v>
      </c>
    </row>
    <row r="1712" spans="1:7">
      <c r="A1712" s="107">
        <v>35</v>
      </c>
      <c r="B1712" s="107">
        <v>6</v>
      </c>
      <c r="C1712" s="107">
        <v>3</v>
      </c>
      <c r="D1712" s="107" t="s">
        <v>532</v>
      </c>
      <c r="E1712" s="107" t="s">
        <v>503</v>
      </c>
      <c r="F1712" s="161">
        <v>45353</v>
      </c>
      <c r="G1712" s="107">
        <f t="shared" si="53"/>
        <v>5</v>
      </c>
    </row>
    <row r="1713" spans="1:7">
      <c r="A1713" s="107">
        <v>35</v>
      </c>
      <c r="B1713" s="107">
        <v>6</v>
      </c>
      <c r="C1713" s="107">
        <v>4</v>
      </c>
      <c r="D1713" s="107" t="s">
        <v>532</v>
      </c>
      <c r="E1713" s="107" t="s">
        <v>503</v>
      </c>
      <c r="F1713" s="161">
        <v>45353</v>
      </c>
      <c r="G1713" s="107">
        <f t="shared" si="53"/>
        <v>5</v>
      </c>
    </row>
    <row r="1714" spans="1:7">
      <c r="A1714" s="107">
        <v>35</v>
      </c>
      <c r="B1714" s="107">
        <v>6</v>
      </c>
      <c r="C1714" s="107">
        <v>5</v>
      </c>
      <c r="D1714" s="107" t="s">
        <v>532</v>
      </c>
      <c r="E1714" s="107" t="s">
        <v>503</v>
      </c>
      <c r="F1714" s="161">
        <v>45353</v>
      </c>
      <c r="G1714" s="107">
        <f t="shared" si="53"/>
        <v>5</v>
      </c>
    </row>
    <row r="1715" spans="1:7">
      <c r="A1715" s="107">
        <v>35</v>
      </c>
      <c r="B1715" s="107">
        <v>6</v>
      </c>
      <c r="C1715" s="107">
        <v>6</v>
      </c>
      <c r="D1715" s="107" t="s">
        <v>532</v>
      </c>
      <c r="E1715" s="107" t="s">
        <v>503</v>
      </c>
      <c r="F1715" s="161">
        <v>45353</v>
      </c>
      <c r="G1715" s="107">
        <f t="shared" si="53"/>
        <v>5</v>
      </c>
    </row>
    <row r="1716" spans="1:7">
      <c r="A1716" s="107">
        <v>35</v>
      </c>
      <c r="B1716" s="107">
        <v>6</v>
      </c>
      <c r="C1716" s="107">
        <v>7</v>
      </c>
      <c r="D1716" s="107" t="s">
        <v>532</v>
      </c>
      <c r="E1716" s="107" t="s">
        <v>503</v>
      </c>
      <c r="F1716" s="161">
        <v>45353</v>
      </c>
      <c r="G1716" s="107">
        <f t="shared" si="53"/>
        <v>5</v>
      </c>
    </row>
    <row r="1717" spans="1:7">
      <c r="A1717" s="107">
        <v>35</v>
      </c>
      <c r="B1717" s="107">
        <v>6</v>
      </c>
      <c r="C1717" s="107">
        <v>8</v>
      </c>
      <c r="D1717" s="107" t="s">
        <v>532</v>
      </c>
      <c r="E1717" s="107" t="s">
        <v>503</v>
      </c>
      <c r="F1717" s="161">
        <v>45353</v>
      </c>
      <c r="G1717" s="107">
        <f t="shared" si="53"/>
        <v>5</v>
      </c>
    </row>
    <row r="1719" spans="1:7">
      <c r="A1719" s="107">
        <v>36</v>
      </c>
      <c r="B1719" s="107">
        <v>1</v>
      </c>
      <c r="C1719" s="107">
        <v>1</v>
      </c>
      <c r="D1719" s="107" t="s">
        <v>533</v>
      </c>
      <c r="E1719" s="107" t="s">
        <v>534</v>
      </c>
      <c r="F1719" s="161">
        <v>45353</v>
      </c>
      <c r="G1719" s="107">
        <f t="shared" ref="G1719:G1766" si="54">DATEDIF(G$2,F1719,"d")</f>
        <v>5</v>
      </c>
    </row>
    <row r="1720" spans="1:7">
      <c r="A1720" s="107">
        <v>36</v>
      </c>
      <c r="B1720" s="107">
        <v>1</v>
      </c>
      <c r="C1720" s="107">
        <v>2</v>
      </c>
      <c r="D1720" s="107" t="s">
        <v>533</v>
      </c>
      <c r="E1720" s="107" t="s">
        <v>534</v>
      </c>
      <c r="F1720" s="161">
        <v>45353</v>
      </c>
      <c r="G1720" s="107">
        <f t="shared" si="54"/>
        <v>5</v>
      </c>
    </row>
    <row r="1721" spans="1:7">
      <c r="A1721" s="107">
        <v>36</v>
      </c>
      <c r="B1721" s="107">
        <v>1</v>
      </c>
      <c r="C1721" s="107">
        <v>3</v>
      </c>
      <c r="D1721" s="107" t="s">
        <v>533</v>
      </c>
      <c r="E1721" s="107" t="s">
        <v>534</v>
      </c>
      <c r="F1721" s="161">
        <v>45353</v>
      </c>
      <c r="G1721" s="107">
        <f t="shared" si="54"/>
        <v>5</v>
      </c>
    </row>
    <row r="1722" spans="1:7">
      <c r="A1722" s="107">
        <v>36</v>
      </c>
      <c r="B1722" s="107">
        <v>1</v>
      </c>
      <c r="C1722" s="107">
        <v>4</v>
      </c>
      <c r="D1722" s="107" t="s">
        <v>533</v>
      </c>
      <c r="E1722" s="107" t="s">
        <v>534</v>
      </c>
      <c r="F1722" s="161">
        <v>45353</v>
      </c>
      <c r="G1722" s="107">
        <f t="shared" si="54"/>
        <v>5</v>
      </c>
    </row>
    <row r="1723" spans="1:7">
      <c r="A1723" s="107">
        <v>36</v>
      </c>
      <c r="B1723" s="107">
        <v>1</v>
      </c>
      <c r="C1723" s="107">
        <v>5</v>
      </c>
      <c r="D1723" s="107" t="s">
        <v>533</v>
      </c>
      <c r="E1723" s="107" t="s">
        <v>534</v>
      </c>
      <c r="F1723" s="161">
        <v>45353</v>
      </c>
      <c r="G1723" s="107">
        <f t="shared" si="54"/>
        <v>5</v>
      </c>
    </row>
    <row r="1724" spans="1:7">
      <c r="A1724" s="107">
        <v>36</v>
      </c>
      <c r="B1724" s="107">
        <v>1</v>
      </c>
      <c r="C1724" s="107">
        <v>6</v>
      </c>
      <c r="D1724" s="107" t="s">
        <v>533</v>
      </c>
      <c r="E1724" s="107" t="s">
        <v>534</v>
      </c>
      <c r="F1724" s="161">
        <v>45353</v>
      </c>
      <c r="G1724" s="107">
        <f t="shared" si="54"/>
        <v>5</v>
      </c>
    </row>
    <row r="1725" spans="1:7">
      <c r="A1725" s="107">
        <v>36</v>
      </c>
      <c r="B1725" s="107">
        <v>1</v>
      </c>
      <c r="C1725" s="107">
        <v>7</v>
      </c>
      <c r="D1725" s="107" t="s">
        <v>533</v>
      </c>
      <c r="E1725" s="107" t="s">
        <v>534</v>
      </c>
      <c r="F1725" s="161">
        <v>45353</v>
      </c>
      <c r="G1725" s="107">
        <f t="shared" si="54"/>
        <v>5</v>
      </c>
    </row>
    <row r="1726" spans="1:7">
      <c r="A1726" s="107">
        <v>36</v>
      </c>
      <c r="B1726" s="107">
        <v>1</v>
      </c>
      <c r="C1726" s="107">
        <v>8</v>
      </c>
      <c r="D1726" s="107" t="s">
        <v>533</v>
      </c>
      <c r="E1726" s="107" t="s">
        <v>534</v>
      </c>
      <c r="F1726" s="161">
        <v>45353</v>
      </c>
      <c r="G1726" s="107">
        <f t="shared" si="54"/>
        <v>5</v>
      </c>
    </row>
    <row r="1727" spans="1:7">
      <c r="A1727" s="107">
        <v>36</v>
      </c>
      <c r="B1727" s="107">
        <v>2</v>
      </c>
      <c r="C1727" s="107">
        <v>1</v>
      </c>
      <c r="D1727" s="107" t="s">
        <v>535</v>
      </c>
      <c r="E1727" s="107" t="s">
        <v>536</v>
      </c>
      <c r="F1727" s="161">
        <v>45353</v>
      </c>
      <c r="G1727" s="107">
        <f t="shared" si="54"/>
        <v>5</v>
      </c>
    </row>
    <row r="1728" spans="1:7">
      <c r="A1728" s="107">
        <v>36</v>
      </c>
      <c r="B1728" s="107">
        <v>2</v>
      </c>
      <c r="C1728" s="107">
        <v>2</v>
      </c>
      <c r="D1728" s="107" t="s">
        <v>535</v>
      </c>
      <c r="E1728" s="107" t="s">
        <v>536</v>
      </c>
      <c r="F1728" s="161">
        <v>45353</v>
      </c>
      <c r="G1728" s="107">
        <f t="shared" si="54"/>
        <v>5</v>
      </c>
    </row>
    <row r="1729" spans="1:7">
      <c r="A1729" s="107">
        <v>36</v>
      </c>
      <c r="B1729" s="107">
        <v>2</v>
      </c>
      <c r="C1729" s="107">
        <v>3</v>
      </c>
      <c r="D1729" s="107" t="s">
        <v>535</v>
      </c>
      <c r="E1729" s="107" t="s">
        <v>536</v>
      </c>
      <c r="F1729" s="161">
        <v>45353</v>
      </c>
      <c r="G1729" s="107">
        <f t="shared" si="54"/>
        <v>5</v>
      </c>
    </row>
    <row r="1730" spans="1:7">
      <c r="A1730" s="107">
        <v>36</v>
      </c>
      <c r="B1730" s="107">
        <v>2</v>
      </c>
      <c r="C1730" s="107">
        <v>4</v>
      </c>
      <c r="D1730" s="107" t="s">
        <v>535</v>
      </c>
      <c r="E1730" s="107" t="s">
        <v>536</v>
      </c>
      <c r="F1730" s="161">
        <v>45353</v>
      </c>
      <c r="G1730" s="107">
        <f t="shared" si="54"/>
        <v>5</v>
      </c>
    </row>
    <row r="1731" spans="1:7">
      <c r="A1731" s="107">
        <v>36</v>
      </c>
      <c r="B1731" s="107">
        <v>2</v>
      </c>
      <c r="C1731" s="107">
        <v>5</v>
      </c>
      <c r="D1731" s="107" t="s">
        <v>535</v>
      </c>
      <c r="E1731" s="107" t="s">
        <v>536</v>
      </c>
      <c r="F1731" s="161">
        <v>45353</v>
      </c>
      <c r="G1731" s="107">
        <f t="shared" si="54"/>
        <v>5</v>
      </c>
    </row>
    <row r="1732" spans="1:7">
      <c r="A1732" s="107">
        <v>36</v>
      </c>
      <c r="B1732" s="107">
        <v>2</v>
      </c>
      <c r="C1732" s="107">
        <v>6</v>
      </c>
      <c r="D1732" s="107" t="s">
        <v>535</v>
      </c>
      <c r="E1732" s="107" t="s">
        <v>536</v>
      </c>
      <c r="F1732" s="161">
        <v>45353</v>
      </c>
      <c r="G1732" s="107">
        <f t="shared" si="54"/>
        <v>5</v>
      </c>
    </row>
    <row r="1733" spans="1:7">
      <c r="A1733" s="107">
        <v>36</v>
      </c>
      <c r="B1733" s="107">
        <v>2</v>
      </c>
      <c r="C1733" s="107">
        <v>7</v>
      </c>
      <c r="D1733" s="107" t="s">
        <v>535</v>
      </c>
      <c r="E1733" s="107" t="s">
        <v>536</v>
      </c>
      <c r="F1733" s="161">
        <v>45353</v>
      </c>
      <c r="G1733" s="107">
        <f t="shared" si="54"/>
        <v>5</v>
      </c>
    </row>
    <row r="1734" spans="1:7">
      <c r="A1734" s="107">
        <v>36</v>
      </c>
      <c r="B1734" s="107">
        <v>2</v>
      </c>
      <c r="C1734" s="107">
        <v>8</v>
      </c>
      <c r="D1734" s="107" t="s">
        <v>535</v>
      </c>
      <c r="E1734" s="107" t="s">
        <v>536</v>
      </c>
      <c r="F1734" s="161">
        <v>45353</v>
      </c>
      <c r="G1734" s="107">
        <f t="shared" si="54"/>
        <v>5</v>
      </c>
    </row>
    <row r="1735" spans="1:7">
      <c r="A1735" s="107">
        <v>36</v>
      </c>
      <c r="B1735" s="107">
        <v>3</v>
      </c>
      <c r="C1735" s="107">
        <v>1</v>
      </c>
      <c r="D1735" s="107" t="s">
        <v>537</v>
      </c>
      <c r="E1735" s="107" t="s">
        <v>534</v>
      </c>
      <c r="F1735" s="161">
        <v>45353</v>
      </c>
      <c r="G1735" s="107">
        <f t="shared" si="54"/>
        <v>5</v>
      </c>
    </row>
    <row r="1736" spans="1:7">
      <c r="A1736" s="107">
        <v>36</v>
      </c>
      <c r="B1736" s="107">
        <v>3</v>
      </c>
      <c r="C1736" s="107">
        <v>2</v>
      </c>
      <c r="D1736" s="107" t="s">
        <v>537</v>
      </c>
      <c r="E1736" s="107" t="s">
        <v>534</v>
      </c>
      <c r="F1736" s="161">
        <v>45353</v>
      </c>
      <c r="G1736" s="107">
        <f t="shared" si="54"/>
        <v>5</v>
      </c>
    </row>
    <row r="1737" spans="1:7">
      <c r="A1737" s="107">
        <v>36</v>
      </c>
      <c r="B1737" s="107">
        <v>3</v>
      </c>
      <c r="C1737" s="107">
        <v>3</v>
      </c>
      <c r="D1737" s="107" t="s">
        <v>537</v>
      </c>
      <c r="E1737" s="107" t="s">
        <v>534</v>
      </c>
      <c r="F1737" s="161">
        <v>45353</v>
      </c>
      <c r="G1737" s="107">
        <f t="shared" si="54"/>
        <v>5</v>
      </c>
    </row>
    <row r="1738" spans="1:7">
      <c r="A1738" s="107">
        <v>36</v>
      </c>
      <c r="B1738" s="107">
        <v>3</v>
      </c>
      <c r="C1738" s="107">
        <v>4</v>
      </c>
      <c r="D1738" s="107" t="s">
        <v>537</v>
      </c>
      <c r="E1738" s="107" t="s">
        <v>534</v>
      </c>
      <c r="F1738" s="161">
        <v>45353</v>
      </c>
      <c r="G1738" s="107">
        <f t="shared" si="54"/>
        <v>5</v>
      </c>
    </row>
    <row r="1739" spans="1:7">
      <c r="A1739" s="107">
        <v>36</v>
      </c>
      <c r="B1739" s="107">
        <v>3</v>
      </c>
      <c r="C1739" s="107">
        <v>5</v>
      </c>
      <c r="D1739" s="107" t="s">
        <v>537</v>
      </c>
      <c r="E1739" s="107" t="s">
        <v>534</v>
      </c>
      <c r="F1739" s="161">
        <v>45353</v>
      </c>
      <c r="G1739" s="107">
        <f t="shared" si="54"/>
        <v>5</v>
      </c>
    </row>
    <row r="1740" spans="1:7">
      <c r="A1740" s="107">
        <v>36</v>
      </c>
      <c r="B1740" s="107">
        <v>3</v>
      </c>
      <c r="C1740" s="107">
        <v>6</v>
      </c>
      <c r="D1740" s="107" t="s">
        <v>537</v>
      </c>
      <c r="E1740" s="107" t="s">
        <v>534</v>
      </c>
      <c r="F1740" s="161">
        <v>45353</v>
      </c>
      <c r="G1740" s="107">
        <f t="shared" si="54"/>
        <v>5</v>
      </c>
    </row>
    <row r="1741" spans="1:7">
      <c r="A1741" s="107">
        <v>36</v>
      </c>
      <c r="B1741" s="107">
        <v>3</v>
      </c>
      <c r="C1741" s="107">
        <v>7</v>
      </c>
      <c r="D1741" s="107" t="s">
        <v>537</v>
      </c>
      <c r="E1741" s="107" t="s">
        <v>534</v>
      </c>
      <c r="F1741" s="161">
        <v>45353</v>
      </c>
      <c r="G1741" s="107">
        <f t="shared" si="54"/>
        <v>5</v>
      </c>
    </row>
    <row r="1742" spans="1:7">
      <c r="A1742" s="107">
        <v>36</v>
      </c>
      <c r="B1742" s="107">
        <v>3</v>
      </c>
      <c r="C1742" s="107">
        <v>8</v>
      </c>
      <c r="D1742" s="107" t="s">
        <v>537</v>
      </c>
      <c r="E1742" s="107" t="s">
        <v>534</v>
      </c>
      <c r="F1742" s="161">
        <v>45353</v>
      </c>
      <c r="G1742" s="107">
        <f t="shared" si="54"/>
        <v>5</v>
      </c>
    </row>
    <row r="1743" spans="1:7">
      <c r="A1743" s="107">
        <v>36</v>
      </c>
      <c r="B1743" s="107">
        <v>4</v>
      </c>
      <c r="C1743" s="107">
        <v>1</v>
      </c>
      <c r="D1743" s="107" t="s">
        <v>538</v>
      </c>
      <c r="E1743" s="107" t="s">
        <v>539</v>
      </c>
      <c r="F1743" s="161">
        <v>45353</v>
      </c>
      <c r="G1743" s="107">
        <f t="shared" si="54"/>
        <v>5</v>
      </c>
    </row>
    <row r="1744" spans="1:7">
      <c r="A1744" s="107">
        <v>36</v>
      </c>
      <c r="B1744" s="107">
        <v>4</v>
      </c>
      <c r="C1744" s="107">
        <v>2</v>
      </c>
      <c r="D1744" s="107" t="s">
        <v>538</v>
      </c>
      <c r="E1744" s="107" t="s">
        <v>539</v>
      </c>
      <c r="F1744" s="161">
        <v>45353</v>
      </c>
      <c r="G1744" s="107">
        <f t="shared" si="54"/>
        <v>5</v>
      </c>
    </row>
    <row r="1745" spans="1:7">
      <c r="A1745" s="107">
        <v>36</v>
      </c>
      <c r="B1745" s="107">
        <v>4</v>
      </c>
      <c r="C1745" s="107">
        <v>3</v>
      </c>
      <c r="D1745" s="107" t="s">
        <v>538</v>
      </c>
      <c r="E1745" s="107" t="s">
        <v>539</v>
      </c>
      <c r="F1745" s="161">
        <v>45353</v>
      </c>
      <c r="G1745" s="107">
        <f t="shared" si="54"/>
        <v>5</v>
      </c>
    </row>
    <row r="1746" spans="1:7">
      <c r="A1746" s="107">
        <v>36</v>
      </c>
      <c r="B1746" s="107">
        <v>4</v>
      </c>
      <c r="C1746" s="107">
        <v>4</v>
      </c>
      <c r="D1746" s="107" t="s">
        <v>538</v>
      </c>
      <c r="E1746" s="107" t="s">
        <v>539</v>
      </c>
      <c r="F1746" s="161">
        <v>45353</v>
      </c>
      <c r="G1746" s="107">
        <f t="shared" si="54"/>
        <v>5</v>
      </c>
    </row>
    <row r="1747" spans="1:7">
      <c r="A1747" s="107">
        <v>36</v>
      </c>
      <c r="B1747" s="107">
        <v>4</v>
      </c>
      <c r="C1747" s="107">
        <v>5</v>
      </c>
      <c r="D1747" s="107" t="s">
        <v>538</v>
      </c>
      <c r="E1747" s="107" t="s">
        <v>539</v>
      </c>
      <c r="F1747" s="161">
        <v>45353</v>
      </c>
      <c r="G1747" s="107">
        <f t="shared" si="54"/>
        <v>5</v>
      </c>
    </row>
    <row r="1748" spans="1:7">
      <c r="A1748" s="107">
        <v>36</v>
      </c>
      <c r="B1748" s="107">
        <v>4</v>
      </c>
      <c r="C1748" s="107">
        <v>6</v>
      </c>
      <c r="D1748" s="107" t="s">
        <v>538</v>
      </c>
      <c r="E1748" s="107" t="s">
        <v>539</v>
      </c>
      <c r="F1748" s="161">
        <v>45353</v>
      </c>
      <c r="G1748" s="107">
        <f t="shared" si="54"/>
        <v>5</v>
      </c>
    </row>
    <row r="1749" spans="1:7">
      <c r="A1749" s="107">
        <v>36</v>
      </c>
      <c r="B1749" s="107">
        <v>4</v>
      </c>
      <c r="C1749" s="107">
        <v>7</v>
      </c>
      <c r="D1749" s="107" t="s">
        <v>538</v>
      </c>
      <c r="E1749" s="107" t="s">
        <v>539</v>
      </c>
      <c r="F1749" s="161">
        <v>45353</v>
      </c>
      <c r="G1749" s="107">
        <f t="shared" si="54"/>
        <v>5</v>
      </c>
    </row>
    <row r="1750" spans="1:7">
      <c r="A1750" s="107">
        <v>36</v>
      </c>
      <c r="B1750" s="107">
        <v>4</v>
      </c>
      <c r="C1750" s="107">
        <v>8</v>
      </c>
      <c r="D1750" s="107" t="s">
        <v>538</v>
      </c>
      <c r="E1750" s="107" t="s">
        <v>539</v>
      </c>
      <c r="F1750" s="161">
        <v>45353</v>
      </c>
      <c r="G1750" s="107">
        <f t="shared" si="54"/>
        <v>5</v>
      </c>
    </row>
    <row r="1751" spans="1:7">
      <c r="A1751" s="107">
        <v>36</v>
      </c>
      <c r="B1751" s="107">
        <v>5</v>
      </c>
      <c r="C1751" s="107">
        <v>1</v>
      </c>
      <c r="D1751" s="107" t="s">
        <v>540</v>
      </c>
      <c r="E1751" s="107" t="s">
        <v>541</v>
      </c>
      <c r="F1751" s="161">
        <v>45353</v>
      </c>
      <c r="G1751" s="107">
        <f t="shared" si="54"/>
        <v>5</v>
      </c>
    </row>
    <row r="1752" spans="1:7">
      <c r="A1752" s="107">
        <v>36</v>
      </c>
      <c r="B1752" s="107">
        <v>5</v>
      </c>
      <c r="C1752" s="107">
        <v>2</v>
      </c>
      <c r="D1752" s="107" t="s">
        <v>540</v>
      </c>
      <c r="E1752" s="107" t="s">
        <v>541</v>
      </c>
      <c r="F1752" s="161">
        <v>45353</v>
      </c>
      <c r="G1752" s="107">
        <f t="shared" si="54"/>
        <v>5</v>
      </c>
    </row>
    <row r="1753" spans="1:7">
      <c r="A1753" s="107">
        <v>36</v>
      </c>
      <c r="B1753" s="107">
        <v>5</v>
      </c>
      <c r="C1753" s="107">
        <v>3</v>
      </c>
      <c r="D1753" s="107" t="s">
        <v>540</v>
      </c>
      <c r="E1753" s="107" t="s">
        <v>541</v>
      </c>
      <c r="F1753" s="161">
        <v>45353</v>
      </c>
      <c r="G1753" s="107">
        <f t="shared" si="54"/>
        <v>5</v>
      </c>
    </row>
    <row r="1754" spans="1:7">
      <c r="A1754" s="107">
        <v>36</v>
      </c>
      <c r="B1754" s="107">
        <v>5</v>
      </c>
      <c r="C1754" s="107">
        <v>4</v>
      </c>
      <c r="D1754" s="107" t="s">
        <v>540</v>
      </c>
      <c r="E1754" s="107" t="s">
        <v>541</v>
      </c>
      <c r="F1754" s="161">
        <v>45353</v>
      </c>
      <c r="G1754" s="107">
        <f t="shared" si="54"/>
        <v>5</v>
      </c>
    </row>
    <row r="1755" spans="1:7">
      <c r="A1755" s="107">
        <v>36</v>
      </c>
      <c r="B1755" s="107">
        <v>5</v>
      </c>
      <c r="C1755" s="107">
        <v>5</v>
      </c>
      <c r="D1755" s="107" t="s">
        <v>540</v>
      </c>
      <c r="E1755" s="107" t="s">
        <v>541</v>
      </c>
      <c r="F1755" s="161">
        <v>45353</v>
      </c>
      <c r="G1755" s="107">
        <f t="shared" si="54"/>
        <v>5</v>
      </c>
    </row>
    <row r="1756" spans="1:7">
      <c r="A1756" s="107">
        <v>36</v>
      </c>
      <c r="B1756" s="107">
        <v>5</v>
      </c>
      <c r="C1756" s="107">
        <v>6</v>
      </c>
      <c r="D1756" s="107" t="s">
        <v>540</v>
      </c>
      <c r="E1756" s="107" t="s">
        <v>541</v>
      </c>
      <c r="F1756" s="161">
        <v>45353</v>
      </c>
      <c r="G1756" s="107">
        <f t="shared" si="54"/>
        <v>5</v>
      </c>
    </row>
    <row r="1757" spans="1:7">
      <c r="A1757" s="107">
        <v>36</v>
      </c>
      <c r="B1757" s="107">
        <v>5</v>
      </c>
      <c r="C1757" s="107">
        <v>7</v>
      </c>
      <c r="D1757" s="107" t="s">
        <v>540</v>
      </c>
      <c r="E1757" s="107" t="s">
        <v>541</v>
      </c>
      <c r="F1757" s="161">
        <v>45353</v>
      </c>
      <c r="G1757" s="107">
        <f t="shared" si="54"/>
        <v>5</v>
      </c>
    </row>
    <row r="1758" spans="1:7">
      <c r="A1758" s="107">
        <v>36</v>
      </c>
      <c r="B1758" s="107">
        <v>5</v>
      </c>
      <c r="C1758" s="107">
        <v>8</v>
      </c>
      <c r="D1758" s="107" t="s">
        <v>540</v>
      </c>
      <c r="E1758" s="107" t="s">
        <v>541</v>
      </c>
      <c r="F1758" s="161">
        <v>45353</v>
      </c>
      <c r="G1758" s="107">
        <f t="shared" si="54"/>
        <v>5</v>
      </c>
    </row>
    <row r="1759" spans="1:7">
      <c r="A1759" s="107">
        <v>36</v>
      </c>
      <c r="B1759" s="107">
        <v>6</v>
      </c>
      <c r="C1759" s="107">
        <v>1</v>
      </c>
      <c r="D1759" s="107" t="s">
        <v>542</v>
      </c>
      <c r="E1759" s="107" t="s">
        <v>539</v>
      </c>
      <c r="F1759" s="161">
        <v>45352</v>
      </c>
      <c r="G1759" s="107">
        <f t="shared" si="54"/>
        <v>4</v>
      </c>
    </row>
    <row r="1760" spans="1:7">
      <c r="A1760" s="107">
        <v>36</v>
      </c>
      <c r="B1760" s="107">
        <v>6</v>
      </c>
      <c r="C1760" s="107">
        <v>2</v>
      </c>
      <c r="D1760" s="107" t="s">
        <v>542</v>
      </c>
      <c r="E1760" s="107" t="s">
        <v>539</v>
      </c>
      <c r="F1760" s="161">
        <v>45353</v>
      </c>
      <c r="G1760" s="107">
        <f t="shared" si="54"/>
        <v>5</v>
      </c>
    </row>
    <row r="1761" spans="1:7">
      <c r="A1761" s="107">
        <v>36</v>
      </c>
      <c r="B1761" s="107">
        <v>6</v>
      </c>
      <c r="C1761" s="107">
        <v>3</v>
      </c>
      <c r="D1761" s="107" t="s">
        <v>542</v>
      </c>
      <c r="E1761" s="107" t="s">
        <v>539</v>
      </c>
      <c r="F1761" s="161">
        <v>45353</v>
      </c>
      <c r="G1761" s="107">
        <f t="shared" si="54"/>
        <v>5</v>
      </c>
    </row>
    <row r="1762" spans="1:7">
      <c r="A1762" s="107">
        <v>36</v>
      </c>
      <c r="B1762" s="107">
        <v>6</v>
      </c>
      <c r="C1762" s="107">
        <v>4</v>
      </c>
      <c r="D1762" s="107" t="s">
        <v>542</v>
      </c>
      <c r="E1762" s="107" t="s">
        <v>539</v>
      </c>
      <c r="F1762" s="161">
        <v>45353</v>
      </c>
      <c r="G1762" s="107">
        <f t="shared" si="54"/>
        <v>5</v>
      </c>
    </row>
    <row r="1763" spans="1:7">
      <c r="A1763" s="107">
        <v>36</v>
      </c>
      <c r="B1763" s="107">
        <v>6</v>
      </c>
      <c r="C1763" s="107">
        <v>5</v>
      </c>
      <c r="D1763" s="107" t="s">
        <v>542</v>
      </c>
      <c r="E1763" s="107" t="s">
        <v>539</v>
      </c>
      <c r="F1763" s="161">
        <v>45353</v>
      </c>
      <c r="G1763" s="107">
        <f t="shared" si="54"/>
        <v>5</v>
      </c>
    </row>
    <row r="1764" spans="1:7">
      <c r="A1764" s="107">
        <v>36</v>
      </c>
      <c r="B1764" s="107">
        <v>6</v>
      </c>
      <c r="C1764" s="107">
        <v>6</v>
      </c>
      <c r="D1764" s="107" t="s">
        <v>542</v>
      </c>
      <c r="E1764" s="107" t="s">
        <v>539</v>
      </c>
      <c r="F1764" s="161">
        <v>45353</v>
      </c>
      <c r="G1764" s="107">
        <f t="shared" si="54"/>
        <v>5</v>
      </c>
    </row>
    <row r="1765" spans="1:7">
      <c r="A1765" s="107">
        <v>36</v>
      </c>
      <c r="B1765" s="107">
        <v>6</v>
      </c>
      <c r="C1765" s="107">
        <v>7</v>
      </c>
      <c r="D1765" s="107" t="s">
        <v>542</v>
      </c>
      <c r="E1765" s="107" t="s">
        <v>539</v>
      </c>
      <c r="F1765" s="161">
        <v>45352</v>
      </c>
      <c r="G1765" s="107">
        <f t="shared" si="54"/>
        <v>4</v>
      </c>
    </row>
    <row r="1766" spans="1:7">
      <c r="A1766" s="107">
        <v>36</v>
      </c>
      <c r="B1766" s="107">
        <v>6</v>
      </c>
      <c r="C1766" s="107">
        <v>8</v>
      </c>
      <c r="D1766" s="107" t="s">
        <v>542</v>
      </c>
      <c r="E1766" s="107" t="s">
        <v>539</v>
      </c>
      <c r="F1766" s="161">
        <v>45353</v>
      </c>
      <c r="G1766" s="107">
        <f t="shared" si="54"/>
        <v>5</v>
      </c>
    </row>
    <row r="1768" spans="1:7">
      <c r="A1768" s="107">
        <v>37</v>
      </c>
      <c r="B1768" s="107">
        <v>1</v>
      </c>
      <c r="C1768" s="107">
        <v>1</v>
      </c>
      <c r="D1768" s="107" t="s">
        <v>543</v>
      </c>
      <c r="E1768" s="107" t="s">
        <v>539</v>
      </c>
      <c r="F1768" s="161">
        <v>45353</v>
      </c>
      <c r="G1768" s="107">
        <f t="shared" ref="G1768:G1815" si="55">DATEDIF(G$2,F1768,"d")</f>
        <v>5</v>
      </c>
    </row>
    <row r="1769" spans="1:7">
      <c r="A1769" s="107">
        <v>37</v>
      </c>
      <c r="B1769" s="107">
        <v>1</v>
      </c>
      <c r="C1769" s="107">
        <v>2</v>
      </c>
      <c r="D1769" s="107" t="s">
        <v>543</v>
      </c>
      <c r="E1769" s="107" t="s">
        <v>539</v>
      </c>
      <c r="F1769" s="161">
        <v>45353</v>
      </c>
      <c r="G1769" s="107">
        <f t="shared" si="55"/>
        <v>5</v>
      </c>
    </row>
    <row r="1770" spans="1:7">
      <c r="A1770" s="107">
        <v>37</v>
      </c>
      <c r="B1770" s="107">
        <v>1</v>
      </c>
      <c r="C1770" s="107">
        <v>3</v>
      </c>
      <c r="D1770" s="107" t="s">
        <v>543</v>
      </c>
      <c r="E1770" s="107" t="s">
        <v>539</v>
      </c>
      <c r="F1770" s="161">
        <v>45353</v>
      </c>
      <c r="G1770" s="107">
        <f t="shared" si="55"/>
        <v>5</v>
      </c>
    </row>
    <row r="1771" spans="1:7">
      <c r="A1771" s="107">
        <v>37</v>
      </c>
      <c r="B1771" s="107">
        <v>1</v>
      </c>
      <c r="C1771" s="107">
        <v>4</v>
      </c>
      <c r="D1771" s="107" t="s">
        <v>543</v>
      </c>
      <c r="E1771" s="107" t="s">
        <v>539</v>
      </c>
      <c r="F1771" s="161">
        <v>45353</v>
      </c>
      <c r="G1771" s="107">
        <f t="shared" si="55"/>
        <v>5</v>
      </c>
    </row>
    <row r="1772" spans="1:7">
      <c r="A1772" s="107">
        <v>37</v>
      </c>
      <c r="B1772" s="107">
        <v>1</v>
      </c>
      <c r="C1772" s="107">
        <v>5</v>
      </c>
      <c r="D1772" s="107" t="s">
        <v>543</v>
      </c>
      <c r="E1772" s="107" t="s">
        <v>539</v>
      </c>
      <c r="F1772" s="161">
        <v>45353</v>
      </c>
      <c r="G1772" s="107">
        <f t="shared" si="55"/>
        <v>5</v>
      </c>
    </row>
    <row r="1773" spans="1:7">
      <c r="A1773" s="107">
        <v>37</v>
      </c>
      <c r="B1773" s="107">
        <v>1</v>
      </c>
      <c r="C1773" s="107">
        <v>6</v>
      </c>
      <c r="D1773" s="107" t="s">
        <v>543</v>
      </c>
      <c r="E1773" s="107" t="s">
        <v>539</v>
      </c>
      <c r="F1773" s="161">
        <v>45353</v>
      </c>
      <c r="G1773" s="107">
        <f t="shared" si="55"/>
        <v>5</v>
      </c>
    </row>
    <row r="1774" spans="1:7">
      <c r="A1774" s="107">
        <v>37</v>
      </c>
      <c r="B1774" s="107">
        <v>1</v>
      </c>
      <c r="C1774" s="107">
        <v>7</v>
      </c>
      <c r="D1774" s="107" t="s">
        <v>543</v>
      </c>
      <c r="E1774" s="107" t="s">
        <v>539</v>
      </c>
      <c r="F1774" s="161">
        <v>45353</v>
      </c>
      <c r="G1774" s="107">
        <f t="shared" si="55"/>
        <v>5</v>
      </c>
    </row>
    <row r="1775" spans="1:7">
      <c r="A1775" s="107">
        <v>37</v>
      </c>
      <c r="B1775" s="107">
        <v>1</v>
      </c>
      <c r="C1775" s="107">
        <v>8</v>
      </c>
      <c r="D1775" s="107" t="s">
        <v>543</v>
      </c>
      <c r="E1775" s="107" t="s">
        <v>539</v>
      </c>
      <c r="F1775" s="161">
        <v>45353</v>
      </c>
      <c r="G1775" s="107">
        <f t="shared" si="55"/>
        <v>5</v>
      </c>
    </row>
    <row r="1776" spans="1:7">
      <c r="A1776" s="107">
        <v>37</v>
      </c>
      <c r="B1776" s="107">
        <v>2</v>
      </c>
      <c r="C1776" s="107">
        <v>1</v>
      </c>
      <c r="D1776" s="107" t="s">
        <v>544</v>
      </c>
      <c r="E1776" s="107" t="s">
        <v>545</v>
      </c>
      <c r="F1776" s="161">
        <v>45353</v>
      </c>
      <c r="G1776" s="107">
        <f t="shared" si="55"/>
        <v>5</v>
      </c>
    </row>
    <row r="1777" spans="1:7">
      <c r="A1777" s="107">
        <v>37</v>
      </c>
      <c r="B1777" s="107">
        <v>2</v>
      </c>
      <c r="C1777" s="107">
        <v>2</v>
      </c>
      <c r="D1777" s="107" t="s">
        <v>544</v>
      </c>
      <c r="E1777" s="107" t="s">
        <v>545</v>
      </c>
      <c r="F1777" s="161">
        <v>45353</v>
      </c>
      <c r="G1777" s="107">
        <f t="shared" si="55"/>
        <v>5</v>
      </c>
    </row>
    <row r="1778" spans="1:7">
      <c r="A1778" s="107">
        <v>37</v>
      </c>
      <c r="B1778" s="107">
        <v>2</v>
      </c>
      <c r="C1778" s="107">
        <v>3</v>
      </c>
      <c r="D1778" s="107" t="s">
        <v>544</v>
      </c>
      <c r="E1778" s="107" t="s">
        <v>545</v>
      </c>
      <c r="F1778" s="161">
        <v>45353</v>
      </c>
      <c r="G1778" s="107">
        <f t="shared" si="55"/>
        <v>5</v>
      </c>
    </row>
    <row r="1779" spans="1:7">
      <c r="A1779" s="107">
        <v>37</v>
      </c>
      <c r="B1779" s="107">
        <v>2</v>
      </c>
      <c r="C1779" s="107">
        <v>4</v>
      </c>
      <c r="D1779" s="107" t="s">
        <v>544</v>
      </c>
      <c r="E1779" s="107" t="s">
        <v>545</v>
      </c>
      <c r="F1779" s="161">
        <v>45353</v>
      </c>
      <c r="G1779" s="107">
        <f t="shared" si="55"/>
        <v>5</v>
      </c>
    </row>
    <row r="1780" spans="1:7">
      <c r="A1780" s="107">
        <v>37</v>
      </c>
      <c r="B1780" s="107">
        <v>2</v>
      </c>
      <c r="C1780" s="107">
        <v>5</v>
      </c>
      <c r="D1780" s="107" t="s">
        <v>544</v>
      </c>
      <c r="E1780" s="107" t="s">
        <v>545</v>
      </c>
      <c r="F1780" s="161">
        <v>45353</v>
      </c>
      <c r="G1780" s="107">
        <f t="shared" si="55"/>
        <v>5</v>
      </c>
    </row>
    <row r="1781" spans="1:7">
      <c r="A1781" s="107">
        <v>37</v>
      </c>
      <c r="B1781" s="107">
        <v>2</v>
      </c>
      <c r="C1781" s="107">
        <v>6</v>
      </c>
      <c r="D1781" s="107" t="s">
        <v>544</v>
      </c>
      <c r="E1781" s="107" t="s">
        <v>545</v>
      </c>
      <c r="F1781" s="161">
        <v>45353</v>
      </c>
      <c r="G1781" s="107">
        <f t="shared" si="55"/>
        <v>5</v>
      </c>
    </row>
    <row r="1782" spans="1:7">
      <c r="A1782" s="107">
        <v>37</v>
      </c>
      <c r="B1782" s="107">
        <v>2</v>
      </c>
      <c r="C1782" s="107">
        <v>7</v>
      </c>
      <c r="D1782" s="107" t="s">
        <v>544</v>
      </c>
      <c r="E1782" s="107" t="s">
        <v>545</v>
      </c>
      <c r="F1782" s="161">
        <v>45352</v>
      </c>
      <c r="G1782" s="107">
        <f t="shared" si="55"/>
        <v>4</v>
      </c>
    </row>
    <row r="1783" spans="1:7">
      <c r="A1783" s="107">
        <v>37</v>
      </c>
      <c r="B1783" s="107">
        <v>2</v>
      </c>
      <c r="C1783" s="107">
        <v>8</v>
      </c>
      <c r="D1783" s="107" t="s">
        <v>544</v>
      </c>
      <c r="E1783" s="107" t="s">
        <v>545</v>
      </c>
      <c r="F1783" s="161">
        <v>45353</v>
      </c>
      <c r="G1783" s="107">
        <f t="shared" si="55"/>
        <v>5</v>
      </c>
    </row>
    <row r="1784" spans="1:7">
      <c r="A1784" s="107">
        <v>37</v>
      </c>
      <c r="B1784" s="107">
        <v>3</v>
      </c>
      <c r="C1784" s="107">
        <v>1</v>
      </c>
      <c r="D1784" s="107" t="s">
        <v>546</v>
      </c>
      <c r="E1784" s="107" t="s">
        <v>547</v>
      </c>
      <c r="F1784" s="161">
        <v>45353</v>
      </c>
      <c r="G1784" s="107">
        <f t="shared" si="55"/>
        <v>5</v>
      </c>
    </row>
    <row r="1785" spans="1:7">
      <c r="A1785" s="107">
        <v>37</v>
      </c>
      <c r="B1785" s="107">
        <v>3</v>
      </c>
      <c r="C1785" s="107">
        <v>2</v>
      </c>
      <c r="D1785" s="107" t="s">
        <v>546</v>
      </c>
      <c r="E1785" s="107" t="s">
        <v>547</v>
      </c>
      <c r="F1785" s="161">
        <v>45353</v>
      </c>
      <c r="G1785" s="107">
        <f t="shared" si="55"/>
        <v>5</v>
      </c>
    </row>
    <row r="1786" spans="1:7">
      <c r="A1786" s="107">
        <v>37</v>
      </c>
      <c r="B1786" s="107">
        <v>3</v>
      </c>
      <c r="C1786" s="107">
        <v>3</v>
      </c>
      <c r="D1786" s="107" t="s">
        <v>546</v>
      </c>
      <c r="E1786" s="107" t="s">
        <v>547</v>
      </c>
      <c r="F1786" s="161">
        <v>45355</v>
      </c>
      <c r="G1786" s="107">
        <f t="shared" si="55"/>
        <v>7</v>
      </c>
    </row>
    <row r="1787" spans="1:7">
      <c r="A1787" s="107">
        <v>37</v>
      </c>
      <c r="B1787" s="107">
        <v>3</v>
      </c>
      <c r="C1787" s="107">
        <v>4</v>
      </c>
      <c r="D1787" s="107" t="s">
        <v>546</v>
      </c>
      <c r="E1787" s="107" t="s">
        <v>547</v>
      </c>
      <c r="F1787" s="161">
        <v>45354</v>
      </c>
      <c r="G1787" s="107">
        <f t="shared" si="55"/>
        <v>6</v>
      </c>
    </row>
    <row r="1788" spans="1:7">
      <c r="A1788" s="107">
        <v>37</v>
      </c>
      <c r="B1788" s="107">
        <v>3</v>
      </c>
      <c r="C1788" s="107">
        <v>5</v>
      </c>
      <c r="D1788" s="107" t="s">
        <v>546</v>
      </c>
      <c r="E1788" s="107" t="s">
        <v>547</v>
      </c>
      <c r="F1788" s="161">
        <v>45353</v>
      </c>
      <c r="G1788" s="107">
        <f t="shared" si="55"/>
        <v>5</v>
      </c>
    </row>
    <row r="1789" spans="1:7">
      <c r="A1789" s="107">
        <v>37</v>
      </c>
      <c r="B1789" s="107">
        <v>3</v>
      </c>
      <c r="C1789" s="107">
        <v>6</v>
      </c>
      <c r="D1789" s="107" t="s">
        <v>546</v>
      </c>
      <c r="E1789" s="107" t="s">
        <v>547</v>
      </c>
      <c r="F1789" s="161">
        <v>45353</v>
      </c>
      <c r="G1789" s="107">
        <f t="shared" si="55"/>
        <v>5</v>
      </c>
    </row>
    <row r="1790" spans="1:7">
      <c r="A1790" s="107">
        <v>37</v>
      </c>
      <c r="B1790" s="107">
        <v>3</v>
      </c>
      <c r="C1790" s="107">
        <v>7</v>
      </c>
      <c r="D1790" s="107" t="s">
        <v>546</v>
      </c>
      <c r="E1790" s="107" t="s">
        <v>547</v>
      </c>
      <c r="F1790" s="161">
        <v>45353</v>
      </c>
      <c r="G1790" s="107">
        <f t="shared" si="55"/>
        <v>5</v>
      </c>
    </row>
    <row r="1791" spans="1:7">
      <c r="A1791" s="107">
        <v>37</v>
      </c>
      <c r="B1791" s="107">
        <v>3</v>
      </c>
      <c r="C1791" s="107">
        <v>8</v>
      </c>
      <c r="D1791" s="107" t="s">
        <v>546</v>
      </c>
      <c r="E1791" s="107" t="s">
        <v>547</v>
      </c>
      <c r="F1791" s="161">
        <v>45353</v>
      </c>
      <c r="G1791" s="107">
        <f t="shared" si="55"/>
        <v>5</v>
      </c>
    </row>
    <row r="1792" spans="1:7">
      <c r="A1792" s="107">
        <v>37</v>
      </c>
      <c r="B1792" s="107">
        <v>4</v>
      </c>
      <c r="C1792" s="107">
        <v>1</v>
      </c>
      <c r="D1792" s="107" t="s">
        <v>548</v>
      </c>
      <c r="E1792" s="107" t="s">
        <v>549</v>
      </c>
      <c r="F1792" s="161">
        <v>45353</v>
      </c>
      <c r="G1792" s="107">
        <f t="shared" si="55"/>
        <v>5</v>
      </c>
    </row>
    <row r="1793" spans="1:7">
      <c r="A1793" s="107">
        <v>37</v>
      </c>
      <c r="B1793" s="107">
        <v>4</v>
      </c>
      <c r="C1793" s="107">
        <v>2</v>
      </c>
      <c r="D1793" s="107" t="s">
        <v>548</v>
      </c>
      <c r="E1793" s="107" t="s">
        <v>549</v>
      </c>
      <c r="F1793" s="161">
        <v>45353</v>
      </c>
      <c r="G1793" s="107">
        <f t="shared" si="55"/>
        <v>5</v>
      </c>
    </row>
    <row r="1794" spans="1:7">
      <c r="A1794" s="107">
        <v>37</v>
      </c>
      <c r="B1794" s="107">
        <v>4</v>
      </c>
      <c r="C1794" s="107">
        <v>3</v>
      </c>
      <c r="D1794" s="107" t="s">
        <v>548</v>
      </c>
      <c r="E1794" s="107" t="s">
        <v>549</v>
      </c>
      <c r="F1794" s="161">
        <v>45353</v>
      </c>
      <c r="G1794" s="107">
        <f t="shared" si="55"/>
        <v>5</v>
      </c>
    </row>
    <row r="1795" spans="1:7">
      <c r="A1795" s="107">
        <v>37</v>
      </c>
      <c r="B1795" s="107">
        <v>4</v>
      </c>
      <c r="C1795" s="107">
        <v>4</v>
      </c>
      <c r="D1795" s="107" t="s">
        <v>548</v>
      </c>
      <c r="E1795" s="107" t="s">
        <v>549</v>
      </c>
      <c r="F1795" s="161">
        <v>45353</v>
      </c>
      <c r="G1795" s="107">
        <f t="shared" si="55"/>
        <v>5</v>
      </c>
    </row>
    <row r="1796" spans="1:7">
      <c r="A1796" s="107">
        <v>37</v>
      </c>
      <c r="B1796" s="107">
        <v>4</v>
      </c>
      <c r="C1796" s="107">
        <v>5</v>
      </c>
      <c r="D1796" s="107" t="s">
        <v>548</v>
      </c>
      <c r="E1796" s="107" t="s">
        <v>549</v>
      </c>
      <c r="F1796" s="161">
        <v>45353</v>
      </c>
      <c r="G1796" s="107">
        <f t="shared" si="55"/>
        <v>5</v>
      </c>
    </row>
    <row r="1797" spans="1:7">
      <c r="A1797" s="107">
        <v>37</v>
      </c>
      <c r="B1797" s="107">
        <v>4</v>
      </c>
      <c r="C1797" s="107">
        <v>6</v>
      </c>
      <c r="D1797" s="107" t="s">
        <v>548</v>
      </c>
      <c r="E1797" s="107" t="s">
        <v>549</v>
      </c>
      <c r="F1797" s="161">
        <v>45353</v>
      </c>
      <c r="G1797" s="107">
        <f t="shared" si="55"/>
        <v>5</v>
      </c>
    </row>
    <row r="1798" spans="1:7">
      <c r="A1798" s="107">
        <v>37</v>
      </c>
      <c r="B1798" s="107">
        <v>4</v>
      </c>
      <c r="C1798" s="107">
        <v>7</v>
      </c>
      <c r="D1798" s="107" t="s">
        <v>548</v>
      </c>
      <c r="E1798" s="107" t="s">
        <v>549</v>
      </c>
      <c r="F1798" s="161">
        <v>45353</v>
      </c>
      <c r="G1798" s="107">
        <f t="shared" si="55"/>
        <v>5</v>
      </c>
    </row>
    <row r="1799" spans="1:7">
      <c r="A1799" s="107">
        <v>37</v>
      </c>
      <c r="B1799" s="107">
        <v>4</v>
      </c>
      <c r="C1799" s="107">
        <v>8</v>
      </c>
      <c r="D1799" s="107" t="s">
        <v>548</v>
      </c>
      <c r="E1799" s="107" t="s">
        <v>549</v>
      </c>
      <c r="F1799" s="161">
        <v>45353</v>
      </c>
      <c r="G1799" s="107">
        <f t="shared" si="55"/>
        <v>5</v>
      </c>
    </row>
    <row r="1800" spans="1:7">
      <c r="A1800" s="107">
        <v>37</v>
      </c>
      <c r="B1800" s="107">
        <v>5</v>
      </c>
      <c r="C1800" s="107">
        <v>1</v>
      </c>
      <c r="D1800" s="107" t="s">
        <v>550</v>
      </c>
      <c r="E1800" s="107" t="s">
        <v>551</v>
      </c>
      <c r="F1800" s="161">
        <v>45353</v>
      </c>
      <c r="G1800" s="107">
        <f t="shared" si="55"/>
        <v>5</v>
      </c>
    </row>
    <row r="1801" spans="1:7">
      <c r="A1801" s="107">
        <v>37</v>
      </c>
      <c r="B1801" s="107">
        <v>5</v>
      </c>
      <c r="C1801" s="107">
        <v>2</v>
      </c>
      <c r="D1801" s="107" t="s">
        <v>550</v>
      </c>
      <c r="E1801" s="107" t="s">
        <v>551</v>
      </c>
      <c r="F1801" s="161">
        <v>45353</v>
      </c>
      <c r="G1801" s="107">
        <f t="shared" si="55"/>
        <v>5</v>
      </c>
    </row>
    <row r="1802" spans="1:7">
      <c r="A1802" s="107">
        <v>37</v>
      </c>
      <c r="B1802" s="107">
        <v>5</v>
      </c>
      <c r="C1802" s="107">
        <v>3</v>
      </c>
      <c r="D1802" s="107" t="s">
        <v>550</v>
      </c>
      <c r="E1802" s="107" t="s">
        <v>551</v>
      </c>
      <c r="F1802" s="161">
        <v>45353</v>
      </c>
      <c r="G1802" s="107">
        <f t="shared" si="55"/>
        <v>5</v>
      </c>
    </row>
    <row r="1803" spans="1:7">
      <c r="A1803" s="107">
        <v>37</v>
      </c>
      <c r="B1803" s="107">
        <v>5</v>
      </c>
      <c r="C1803" s="107">
        <v>4</v>
      </c>
      <c r="D1803" s="107" t="s">
        <v>550</v>
      </c>
      <c r="E1803" s="107" t="s">
        <v>551</v>
      </c>
      <c r="F1803" s="161">
        <v>45353</v>
      </c>
      <c r="G1803" s="107">
        <f t="shared" si="55"/>
        <v>5</v>
      </c>
    </row>
    <row r="1804" spans="1:7">
      <c r="A1804" s="107">
        <v>37</v>
      </c>
      <c r="B1804" s="107">
        <v>5</v>
      </c>
      <c r="C1804" s="107">
        <v>5</v>
      </c>
      <c r="D1804" s="107" t="s">
        <v>550</v>
      </c>
      <c r="E1804" s="107" t="s">
        <v>551</v>
      </c>
      <c r="F1804" s="161">
        <v>45353</v>
      </c>
      <c r="G1804" s="107">
        <f t="shared" si="55"/>
        <v>5</v>
      </c>
    </row>
    <row r="1805" spans="1:7">
      <c r="A1805" s="107">
        <v>37</v>
      </c>
      <c r="B1805" s="107">
        <v>5</v>
      </c>
      <c r="C1805" s="107">
        <v>6</v>
      </c>
      <c r="D1805" s="107" t="s">
        <v>550</v>
      </c>
      <c r="E1805" s="107" t="s">
        <v>551</v>
      </c>
      <c r="F1805" s="161">
        <v>45355</v>
      </c>
      <c r="G1805" s="107">
        <f t="shared" si="55"/>
        <v>7</v>
      </c>
    </row>
    <row r="1806" spans="1:7">
      <c r="A1806" s="107">
        <v>37</v>
      </c>
      <c r="B1806" s="107">
        <v>5</v>
      </c>
      <c r="C1806" s="107">
        <v>7</v>
      </c>
      <c r="D1806" s="107" t="s">
        <v>550</v>
      </c>
      <c r="E1806" s="107" t="s">
        <v>551</v>
      </c>
      <c r="F1806" s="161">
        <v>45354</v>
      </c>
      <c r="G1806" s="107">
        <f t="shared" si="55"/>
        <v>6</v>
      </c>
    </row>
    <row r="1807" spans="1:7">
      <c r="A1807" s="107">
        <v>37</v>
      </c>
      <c r="B1807" s="107">
        <v>5</v>
      </c>
      <c r="C1807" s="107">
        <v>8</v>
      </c>
      <c r="D1807" s="107" t="s">
        <v>550</v>
      </c>
      <c r="E1807" s="107" t="s">
        <v>551</v>
      </c>
      <c r="F1807" s="161">
        <v>45353</v>
      </c>
      <c r="G1807" s="107">
        <f t="shared" si="55"/>
        <v>5</v>
      </c>
    </row>
    <row r="1808" spans="1:7">
      <c r="A1808" s="107">
        <v>37</v>
      </c>
      <c r="B1808" s="107">
        <v>6</v>
      </c>
      <c r="C1808" s="107">
        <v>1</v>
      </c>
      <c r="D1808" s="107" t="s">
        <v>552</v>
      </c>
      <c r="E1808" s="107" t="s">
        <v>547</v>
      </c>
      <c r="F1808" s="161">
        <v>45353</v>
      </c>
      <c r="G1808" s="107">
        <f t="shared" si="55"/>
        <v>5</v>
      </c>
    </row>
    <row r="1809" spans="1:7">
      <c r="A1809" s="107">
        <v>37</v>
      </c>
      <c r="B1809" s="107">
        <v>6</v>
      </c>
      <c r="C1809" s="107">
        <v>2</v>
      </c>
      <c r="D1809" s="107" t="s">
        <v>552</v>
      </c>
      <c r="E1809" s="107" t="s">
        <v>547</v>
      </c>
      <c r="F1809" s="161">
        <v>45353</v>
      </c>
      <c r="G1809" s="107">
        <f t="shared" si="55"/>
        <v>5</v>
      </c>
    </row>
    <row r="1810" spans="1:7">
      <c r="A1810" s="107">
        <v>37</v>
      </c>
      <c r="B1810" s="107">
        <v>6</v>
      </c>
      <c r="C1810" s="107">
        <v>3</v>
      </c>
      <c r="D1810" s="107" t="s">
        <v>552</v>
      </c>
      <c r="E1810" s="107" t="s">
        <v>547</v>
      </c>
      <c r="F1810" s="161">
        <v>45353</v>
      </c>
      <c r="G1810" s="107">
        <f t="shared" si="55"/>
        <v>5</v>
      </c>
    </row>
    <row r="1811" spans="1:7">
      <c r="A1811" s="107">
        <v>37</v>
      </c>
      <c r="B1811" s="107">
        <v>6</v>
      </c>
      <c r="C1811" s="107">
        <v>4</v>
      </c>
      <c r="D1811" s="107" t="s">
        <v>552</v>
      </c>
      <c r="E1811" s="107" t="s">
        <v>547</v>
      </c>
      <c r="F1811" s="161">
        <v>45353</v>
      </c>
      <c r="G1811" s="107">
        <f t="shared" si="55"/>
        <v>5</v>
      </c>
    </row>
    <row r="1812" spans="1:7">
      <c r="A1812" s="107">
        <v>37</v>
      </c>
      <c r="B1812" s="107">
        <v>6</v>
      </c>
      <c r="C1812" s="107">
        <v>5</v>
      </c>
      <c r="D1812" s="107" t="s">
        <v>552</v>
      </c>
      <c r="E1812" s="107" t="s">
        <v>547</v>
      </c>
      <c r="F1812" s="161">
        <v>45353</v>
      </c>
      <c r="G1812" s="107">
        <f t="shared" si="55"/>
        <v>5</v>
      </c>
    </row>
    <row r="1813" spans="1:7">
      <c r="A1813" s="107">
        <v>37</v>
      </c>
      <c r="B1813" s="107">
        <v>6</v>
      </c>
      <c r="C1813" s="107">
        <v>6</v>
      </c>
      <c r="D1813" s="107" t="s">
        <v>552</v>
      </c>
      <c r="E1813" s="107" t="s">
        <v>547</v>
      </c>
      <c r="F1813" s="161">
        <v>45353</v>
      </c>
      <c r="G1813" s="107">
        <f t="shared" si="55"/>
        <v>5</v>
      </c>
    </row>
    <row r="1814" spans="1:7">
      <c r="A1814" s="107">
        <v>37</v>
      </c>
      <c r="B1814" s="107">
        <v>6</v>
      </c>
      <c r="C1814" s="107">
        <v>7</v>
      </c>
      <c r="D1814" s="107" t="s">
        <v>552</v>
      </c>
      <c r="E1814" s="107" t="s">
        <v>547</v>
      </c>
      <c r="F1814" s="161">
        <v>45353</v>
      </c>
      <c r="G1814" s="107">
        <f t="shared" si="55"/>
        <v>5</v>
      </c>
    </row>
    <row r="1815" spans="1:7">
      <c r="A1815" s="107">
        <v>37</v>
      </c>
      <c r="B1815" s="107">
        <v>6</v>
      </c>
      <c r="C1815" s="107">
        <v>8</v>
      </c>
      <c r="D1815" s="107" t="s">
        <v>552</v>
      </c>
      <c r="E1815" s="107" t="s">
        <v>547</v>
      </c>
      <c r="F1815" s="161">
        <v>45353</v>
      </c>
      <c r="G1815" s="107">
        <f t="shared" si="55"/>
        <v>5</v>
      </c>
    </row>
    <row r="1817" spans="1:7">
      <c r="A1817" s="107">
        <v>38</v>
      </c>
      <c r="B1817" s="107">
        <v>1</v>
      </c>
      <c r="C1817" s="107">
        <v>1</v>
      </c>
      <c r="D1817" s="107" t="s">
        <v>553</v>
      </c>
      <c r="E1817" s="107" t="s">
        <v>547</v>
      </c>
      <c r="F1817" s="161">
        <v>45353</v>
      </c>
      <c r="G1817" s="107">
        <f t="shared" ref="G1817:G1843" si="56">DATEDIF(G$2,F1817,"d")</f>
        <v>5</v>
      </c>
    </row>
    <row r="1818" spans="1:7">
      <c r="A1818" s="107">
        <v>38</v>
      </c>
      <c r="B1818" s="107">
        <v>1</v>
      </c>
      <c r="C1818" s="107">
        <v>2</v>
      </c>
      <c r="D1818" s="107" t="s">
        <v>553</v>
      </c>
      <c r="E1818" s="107" t="s">
        <v>547</v>
      </c>
      <c r="F1818" s="161">
        <v>45353</v>
      </c>
      <c r="G1818" s="107">
        <f t="shared" si="56"/>
        <v>5</v>
      </c>
    </row>
    <row r="1819" spans="1:7">
      <c r="A1819" s="107">
        <v>38</v>
      </c>
      <c r="B1819" s="107">
        <v>1</v>
      </c>
      <c r="C1819" s="107">
        <v>3</v>
      </c>
      <c r="D1819" s="107" t="s">
        <v>553</v>
      </c>
      <c r="E1819" s="107" t="s">
        <v>547</v>
      </c>
      <c r="F1819" s="161">
        <v>45353</v>
      </c>
      <c r="G1819" s="107">
        <f t="shared" si="56"/>
        <v>5</v>
      </c>
    </row>
    <row r="1820" spans="1:7">
      <c r="A1820" s="107">
        <v>38</v>
      </c>
      <c r="B1820" s="107">
        <v>1</v>
      </c>
      <c r="C1820" s="107">
        <v>4</v>
      </c>
      <c r="D1820" s="107" t="s">
        <v>553</v>
      </c>
      <c r="E1820" s="107" t="s">
        <v>547</v>
      </c>
      <c r="F1820" s="161">
        <v>45353</v>
      </c>
      <c r="G1820" s="107">
        <f t="shared" si="56"/>
        <v>5</v>
      </c>
    </row>
    <row r="1821" spans="1:7">
      <c r="A1821" s="107">
        <v>38</v>
      </c>
      <c r="B1821" s="107">
        <v>1</v>
      </c>
      <c r="C1821" s="107">
        <v>5</v>
      </c>
      <c r="D1821" s="107" t="s">
        <v>553</v>
      </c>
      <c r="E1821" s="107" t="s">
        <v>547</v>
      </c>
      <c r="F1821" s="161">
        <v>45353</v>
      </c>
      <c r="G1821" s="107">
        <f t="shared" si="56"/>
        <v>5</v>
      </c>
    </row>
    <row r="1822" spans="1:7">
      <c r="A1822" s="107">
        <v>38</v>
      </c>
      <c r="B1822" s="107">
        <v>1</v>
      </c>
      <c r="C1822" s="107">
        <v>6</v>
      </c>
      <c r="D1822" s="107" t="s">
        <v>553</v>
      </c>
      <c r="E1822" s="107" t="s">
        <v>547</v>
      </c>
      <c r="F1822" s="161">
        <v>45352</v>
      </c>
      <c r="G1822" s="107">
        <f t="shared" si="56"/>
        <v>4</v>
      </c>
    </row>
    <row r="1823" spans="1:7">
      <c r="A1823" s="107">
        <v>38</v>
      </c>
      <c r="B1823" s="107">
        <v>1</v>
      </c>
      <c r="C1823" s="107">
        <v>7</v>
      </c>
      <c r="D1823" s="107" t="s">
        <v>553</v>
      </c>
      <c r="E1823" s="107" t="s">
        <v>547</v>
      </c>
      <c r="F1823" s="161">
        <v>45352</v>
      </c>
      <c r="G1823" s="107">
        <f t="shared" si="56"/>
        <v>4</v>
      </c>
    </row>
    <row r="1824" spans="1:7">
      <c r="A1824" s="107">
        <v>38</v>
      </c>
      <c r="B1824" s="107">
        <v>1</v>
      </c>
      <c r="C1824" s="107">
        <v>8</v>
      </c>
      <c r="D1824" s="107" t="s">
        <v>553</v>
      </c>
      <c r="E1824" s="107" t="s">
        <v>547</v>
      </c>
      <c r="F1824" s="161">
        <v>45352</v>
      </c>
      <c r="G1824" s="107">
        <f t="shared" si="56"/>
        <v>4</v>
      </c>
    </row>
    <row r="1825" spans="1:7">
      <c r="A1825" s="107">
        <v>38</v>
      </c>
      <c r="B1825" s="107">
        <v>2</v>
      </c>
      <c r="C1825" s="107">
        <v>1</v>
      </c>
      <c r="D1825" s="107" t="s">
        <v>554</v>
      </c>
      <c r="E1825" s="107" t="s">
        <v>555</v>
      </c>
      <c r="F1825" s="161">
        <v>45353</v>
      </c>
      <c r="G1825" s="107">
        <f t="shared" si="56"/>
        <v>5</v>
      </c>
    </row>
    <row r="1826" spans="1:7">
      <c r="A1826" s="107">
        <v>38</v>
      </c>
      <c r="B1826" s="107">
        <v>2</v>
      </c>
      <c r="C1826" s="107">
        <v>2</v>
      </c>
      <c r="D1826" s="107" t="s">
        <v>554</v>
      </c>
      <c r="E1826" s="107" t="s">
        <v>555</v>
      </c>
      <c r="F1826" s="161">
        <v>45353</v>
      </c>
      <c r="G1826" s="107">
        <f t="shared" si="56"/>
        <v>5</v>
      </c>
    </row>
    <row r="1827" spans="1:7">
      <c r="A1827" s="107">
        <v>38</v>
      </c>
      <c r="B1827" s="107">
        <v>2</v>
      </c>
      <c r="C1827" s="107">
        <v>3</v>
      </c>
      <c r="D1827" s="107" t="s">
        <v>554</v>
      </c>
      <c r="E1827" s="107" t="s">
        <v>555</v>
      </c>
      <c r="F1827" s="161">
        <v>45353</v>
      </c>
      <c r="G1827" s="107">
        <f t="shared" si="56"/>
        <v>5</v>
      </c>
    </row>
    <row r="1828" spans="1:7">
      <c r="A1828" s="107">
        <v>38</v>
      </c>
      <c r="B1828" s="107">
        <v>2</v>
      </c>
      <c r="C1828" s="107">
        <v>4</v>
      </c>
      <c r="D1828" s="107" t="s">
        <v>554</v>
      </c>
      <c r="E1828" s="107" t="s">
        <v>555</v>
      </c>
      <c r="F1828" s="161">
        <v>45353</v>
      </c>
      <c r="G1828" s="107">
        <f t="shared" si="56"/>
        <v>5</v>
      </c>
    </row>
    <row r="1829" spans="1:7">
      <c r="A1829" s="107">
        <v>38</v>
      </c>
      <c r="B1829" s="107">
        <v>2</v>
      </c>
      <c r="C1829" s="107">
        <v>5</v>
      </c>
      <c r="D1829" s="107" t="s">
        <v>554</v>
      </c>
      <c r="E1829" s="107" t="s">
        <v>555</v>
      </c>
      <c r="F1829" s="161">
        <v>45353</v>
      </c>
      <c r="G1829" s="107">
        <f t="shared" si="56"/>
        <v>5</v>
      </c>
    </row>
    <row r="1830" spans="1:7">
      <c r="A1830" s="107">
        <v>38</v>
      </c>
      <c r="B1830" s="107">
        <v>2</v>
      </c>
      <c r="C1830" s="107">
        <v>6</v>
      </c>
      <c r="D1830" s="107" t="s">
        <v>554</v>
      </c>
      <c r="E1830" s="107" t="s">
        <v>555</v>
      </c>
      <c r="F1830" s="161">
        <v>45353</v>
      </c>
      <c r="G1830" s="107">
        <f t="shared" si="56"/>
        <v>5</v>
      </c>
    </row>
    <row r="1831" spans="1:7">
      <c r="A1831" s="107">
        <v>38</v>
      </c>
      <c r="B1831" s="107">
        <v>2</v>
      </c>
      <c r="C1831" s="107">
        <v>7</v>
      </c>
      <c r="D1831" s="107" t="s">
        <v>554</v>
      </c>
      <c r="E1831" s="107" t="s">
        <v>555</v>
      </c>
      <c r="F1831" s="161">
        <v>45353</v>
      </c>
      <c r="G1831" s="107">
        <f t="shared" si="56"/>
        <v>5</v>
      </c>
    </row>
    <row r="1832" spans="1:7">
      <c r="A1832" s="107">
        <v>38</v>
      </c>
      <c r="B1832" s="107">
        <v>2</v>
      </c>
      <c r="C1832" s="107">
        <v>8</v>
      </c>
      <c r="D1832" s="107" t="s">
        <v>554</v>
      </c>
      <c r="E1832" s="107" t="s">
        <v>555</v>
      </c>
      <c r="F1832" s="161">
        <v>45353</v>
      </c>
      <c r="G1832" s="107">
        <f t="shared" si="56"/>
        <v>5</v>
      </c>
    </row>
    <row r="1833" spans="1:7">
      <c r="A1833" s="107">
        <v>38</v>
      </c>
      <c r="B1833" s="107">
        <v>3</v>
      </c>
      <c r="C1833" s="107">
        <v>1</v>
      </c>
      <c r="D1833" s="107" t="s">
        <v>556</v>
      </c>
      <c r="E1833" s="107" t="s">
        <v>557</v>
      </c>
      <c r="F1833" s="161">
        <v>45353</v>
      </c>
      <c r="G1833" s="107">
        <f t="shared" si="56"/>
        <v>5</v>
      </c>
    </row>
    <row r="1834" spans="1:7">
      <c r="A1834" s="107">
        <v>38</v>
      </c>
      <c r="B1834" s="107">
        <v>3</v>
      </c>
      <c r="C1834" s="107">
        <v>2</v>
      </c>
      <c r="D1834" s="107" t="s">
        <v>556</v>
      </c>
      <c r="E1834" s="107" t="s">
        <v>557</v>
      </c>
      <c r="F1834" s="161">
        <v>45353</v>
      </c>
      <c r="G1834" s="107">
        <f t="shared" si="56"/>
        <v>5</v>
      </c>
    </row>
    <row r="1835" spans="1:7">
      <c r="A1835" s="107">
        <v>38</v>
      </c>
      <c r="B1835" s="107">
        <v>3</v>
      </c>
      <c r="C1835" s="107">
        <v>3</v>
      </c>
      <c r="D1835" s="107" t="s">
        <v>556</v>
      </c>
      <c r="E1835" s="107" t="s">
        <v>557</v>
      </c>
      <c r="F1835" s="161">
        <v>45353</v>
      </c>
      <c r="G1835" s="107">
        <f t="shared" si="56"/>
        <v>5</v>
      </c>
    </row>
    <row r="1836" spans="1:7">
      <c r="A1836" s="107">
        <v>38</v>
      </c>
      <c r="B1836" s="107">
        <v>3</v>
      </c>
      <c r="C1836" s="107">
        <v>4</v>
      </c>
      <c r="D1836" s="107" t="s">
        <v>556</v>
      </c>
      <c r="E1836" s="107" t="s">
        <v>557</v>
      </c>
      <c r="F1836" s="161">
        <v>45353</v>
      </c>
      <c r="G1836" s="107">
        <f t="shared" si="56"/>
        <v>5</v>
      </c>
    </row>
    <row r="1837" spans="1:7">
      <c r="A1837" s="107">
        <v>38</v>
      </c>
      <c r="B1837" s="107">
        <v>3</v>
      </c>
      <c r="C1837" s="107">
        <v>5</v>
      </c>
      <c r="D1837" s="107" t="s">
        <v>556</v>
      </c>
      <c r="E1837" s="107" t="s">
        <v>557</v>
      </c>
      <c r="F1837" s="161">
        <v>45353</v>
      </c>
      <c r="G1837" s="107">
        <f t="shared" si="56"/>
        <v>5</v>
      </c>
    </row>
    <row r="1838" spans="1:7">
      <c r="A1838" s="107">
        <v>38</v>
      </c>
      <c r="B1838" s="107">
        <v>3</v>
      </c>
      <c r="C1838" s="107">
        <v>6</v>
      </c>
      <c r="D1838" s="107" t="s">
        <v>556</v>
      </c>
      <c r="E1838" s="107" t="s">
        <v>557</v>
      </c>
      <c r="F1838" s="161">
        <v>45357</v>
      </c>
      <c r="G1838" s="107">
        <f t="shared" si="56"/>
        <v>9</v>
      </c>
    </row>
    <row r="1839" spans="1:7">
      <c r="A1839" s="107">
        <v>38</v>
      </c>
      <c r="B1839" s="107">
        <v>3</v>
      </c>
      <c r="C1839" s="107">
        <v>7</v>
      </c>
      <c r="D1839" s="107" t="s">
        <v>556</v>
      </c>
      <c r="E1839" s="107" t="s">
        <v>557</v>
      </c>
      <c r="F1839" s="161">
        <v>45354</v>
      </c>
      <c r="G1839" s="107">
        <f t="shared" si="56"/>
        <v>6</v>
      </c>
    </row>
    <row r="1840" spans="1:7">
      <c r="A1840" s="107">
        <v>38</v>
      </c>
      <c r="B1840" s="107">
        <v>3</v>
      </c>
      <c r="C1840" s="107">
        <v>8</v>
      </c>
      <c r="D1840" s="107" t="s">
        <v>556</v>
      </c>
      <c r="E1840" s="107" t="s">
        <v>557</v>
      </c>
      <c r="F1840" s="161">
        <v>45354</v>
      </c>
      <c r="G1840" s="107">
        <f t="shared" si="56"/>
        <v>6</v>
      </c>
    </row>
    <row r="1841" spans="1:7">
      <c r="A1841" s="107">
        <v>38</v>
      </c>
      <c r="B1841" s="107">
        <v>4</v>
      </c>
      <c r="C1841" s="107">
        <v>1</v>
      </c>
      <c r="D1841" s="107" t="s">
        <v>558</v>
      </c>
      <c r="E1841" s="107" t="s">
        <v>559</v>
      </c>
      <c r="F1841" s="161">
        <v>45353</v>
      </c>
      <c r="G1841" s="107">
        <f t="shared" si="56"/>
        <v>5</v>
      </c>
    </row>
    <row r="1842" spans="1:7">
      <c r="A1842" s="107">
        <v>38</v>
      </c>
      <c r="B1842" s="107">
        <v>4</v>
      </c>
      <c r="C1842" s="107">
        <v>2</v>
      </c>
      <c r="D1842" s="107" t="s">
        <v>558</v>
      </c>
      <c r="E1842" s="107" t="s">
        <v>559</v>
      </c>
      <c r="F1842" s="161">
        <v>45361</v>
      </c>
      <c r="G1842" s="107">
        <f t="shared" si="56"/>
        <v>13</v>
      </c>
    </row>
    <row r="1843" spans="1:7">
      <c r="A1843" s="107">
        <v>38</v>
      </c>
      <c r="B1843" s="107">
        <v>4</v>
      </c>
      <c r="C1843" s="107">
        <v>3</v>
      </c>
      <c r="D1843" s="107" t="s">
        <v>558</v>
      </c>
      <c r="E1843" s="107" t="s">
        <v>559</v>
      </c>
      <c r="F1843" s="161">
        <v>45353</v>
      </c>
      <c r="G1843" s="107">
        <f t="shared" si="56"/>
        <v>5</v>
      </c>
    </row>
    <row r="1844" spans="1:7">
      <c r="A1844" s="107">
        <v>38</v>
      </c>
      <c r="B1844" s="107">
        <v>4</v>
      </c>
      <c r="C1844" s="107">
        <v>4</v>
      </c>
      <c r="D1844" s="107" t="s">
        <v>558</v>
      </c>
      <c r="E1844" s="107" t="s">
        <v>559</v>
      </c>
      <c r="F1844" s="107"/>
      <c r="G1844" s="107"/>
    </row>
    <row r="1845" spans="1:7">
      <c r="A1845" s="107">
        <v>38</v>
      </c>
      <c r="B1845" s="107">
        <v>4</v>
      </c>
      <c r="C1845" s="107">
        <v>5</v>
      </c>
      <c r="D1845" s="107" t="s">
        <v>558</v>
      </c>
      <c r="E1845" s="107" t="s">
        <v>559</v>
      </c>
      <c r="F1845" s="161">
        <v>45354</v>
      </c>
      <c r="G1845" s="107">
        <f t="shared" ref="G1845:G1855" si="57">DATEDIF(G$2,F1845,"d")</f>
        <v>6</v>
      </c>
    </row>
    <row r="1846" spans="1:7">
      <c r="A1846" s="107">
        <v>38</v>
      </c>
      <c r="B1846" s="107">
        <v>4</v>
      </c>
      <c r="C1846" s="107">
        <v>6</v>
      </c>
      <c r="D1846" s="107" t="s">
        <v>558</v>
      </c>
      <c r="E1846" s="107" t="s">
        <v>559</v>
      </c>
      <c r="F1846" s="161">
        <v>45353</v>
      </c>
      <c r="G1846" s="107">
        <f t="shared" si="57"/>
        <v>5</v>
      </c>
    </row>
    <row r="1847" spans="1:7">
      <c r="A1847" s="107">
        <v>38</v>
      </c>
      <c r="B1847" s="107">
        <v>4</v>
      </c>
      <c r="C1847" s="107">
        <v>7</v>
      </c>
      <c r="D1847" s="107" t="s">
        <v>558</v>
      </c>
      <c r="E1847" s="107" t="s">
        <v>559</v>
      </c>
      <c r="F1847" s="161">
        <v>45353</v>
      </c>
      <c r="G1847" s="107">
        <f t="shared" si="57"/>
        <v>5</v>
      </c>
    </row>
    <row r="1848" spans="1:7">
      <c r="A1848" s="107">
        <v>38</v>
      </c>
      <c r="B1848" s="107">
        <v>4</v>
      </c>
      <c r="C1848" s="107">
        <v>8</v>
      </c>
      <c r="D1848" s="107" t="s">
        <v>558</v>
      </c>
      <c r="E1848" s="107" t="s">
        <v>559</v>
      </c>
      <c r="F1848" s="161">
        <v>45353</v>
      </c>
      <c r="G1848" s="107">
        <f t="shared" si="57"/>
        <v>5</v>
      </c>
    </row>
    <row r="1849" spans="1:7">
      <c r="A1849" s="107">
        <v>38</v>
      </c>
      <c r="B1849" s="107">
        <v>5</v>
      </c>
      <c r="C1849" s="107">
        <v>1</v>
      </c>
      <c r="D1849" s="107" t="s">
        <v>560</v>
      </c>
      <c r="E1849" s="107" t="s">
        <v>561</v>
      </c>
      <c r="F1849" s="161">
        <v>45356</v>
      </c>
      <c r="G1849" s="107">
        <f t="shared" si="57"/>
        <v>8</v>
      </c>
    </row>
    <row r="1850" spans="1:7">
      <c r="A1850" s="107">
        <v>38</v>
      </c>
      <c r="B1850" s="107">
        <v>5</v>
      </c>
      <c r="C1850" s="107">
        <v>2</v>
      </c>
      <c r="D1850" s="107" t="s">
        <v>560</v>
      </c>
      <c r="E1850" s="107" t="s">
        <v>561</v>
      </c>
      <c r="F1850" s="161">
        <v>45358</v>
      </c>
      <c r="G1850" s="107">
        <f t="shared" si="57"/>
        <v>10</v>
      </c>
    </row>
    <row r="1851" spans="1:7">
      <c r="A1851" s="107">
        <v>38</v>
      </c>
      <c r="B1851" s="107">
        <v>5</v>
      </c>
      <c r="C1851" s="107">
        <v>3</v>
      </c>
      <c r="D1851" s="107" t="s">
        <v>560</v>
      </c>
      <c r="E1851" s="107" t="s">
        <v>561</v>
      </c>
      <c r="F1851" s="161">
        <v>45353</v>
      </c>
      <c r="G1851" s="107">
        <f t="shared" si="57"/>
        <v>5</v>
      </c>
    </row>
    <row r="1852" spans="1:7">
      <c r="A1852" s="107">
        <v>38</v>
      </c>
      <c r="B1852" s="107">
        <v>5</v>
      </c>
      <c r="C1852" s="107">
        <v>4</v>
      </c>
      <c r="D1852" s="107" t="s">
        <v>560</v>
      </c>
      <c r="E1852" s="107" t="s">
        <v>561</v>
      </c>
      <c r="F1852" s="161">
        <v>45358</v>
      </c>
      <c r="G1852" s="107">
        <f t="shared" si="57"/>
        <v>10</v>
      </c>
    </row>
    <row r="1853" spans="1:7">
      <c r="A1853" s="107">
        <v>38</v>
      </c>
      <c r="B1853" s="107">
        <v>5</v>
      </c>
      <c r="C1853" s="107">
        <v>5</v>
      </c>
      <c r="D1853" s="107" t="s">
        <v>560</v>
      </c>
      <c r="E1853" s="107" t="s">
        <v>561</v>
      </c>
      <c r="F1853" s="161">
        <v>45356</v>
      </c>
      <c r="G1853" s="107">
        <f t="shared" si="57"/>
        <v>8</v>
      </c>
    </row>
    <row r="1854" spans="1:7">
      <c r="A1854" s="107">
        <v>38</v>
      </c>
      <c r="B1854" s="107">
        <v>5</v>
      </c>
      <c r="C1854" s="107">
        <v>6</v>
      </c>
      <c r="D1854" s="107" t="s">
        <v>560</v>
      </c>
      <c r="E1854" s="107" t="s">
        <v>561</v>
      </c>
      <c r="F1854" s="161">
        <v>45353</v>
      </c>
      <c r="G1854" s="107">
        <f t="shared" si="57"/>
        <v>5</v>
      </c>
    </row>
    <row r="1855" spans="1:7">
      <c r="A1855" s="107">
        <v>38</v>
      </c>
      <c r="B1855" s="107">
        <v>5</v>
      </c>
      <c r="C1855" s="107">
        <v>7</v>
      </c>
      <c r="D1855" s="107" t="s">
        <v>560</v>
      </c>
      <c r="E1855" s="107" t="s">
        <v>561</v>
      </c>
      <c r="F1855" s="161">
        <v>45359</v>
      </c>
      <c r="G1855" s="107">
        <f t="shared" si="57"/>
        <v>11</v>
      </c>
    </row>
    <row r="1856" spans="1:7">
      <c r="A1856" s="107">
        <v>38</v>
      </c>
      <c r="B1856" s="107">
        <v>5</v>
      </c>
      <c r="C1856" s="107">
        <v>8</v>
      </c>
      <c r="D1856" s="107" t="s">
        <v>560</v>
      </c>
      <c r="E1856" s="107" t="s">
        <v>561</v>
      </c>
      <c r="F1856" s="107"/>
      <c r="G1856" s="107"/>
    </row>
    <row r="1857" spans="1:7">
      <c r="A1857" s="107">
        <v>38</v>
      </c>
      <c r="B1857" s="107">
        <v>6</v>
      </c>
      <c r="C1857" s="107">
        <v>1</v>
      </c>
      <c r="D1857" s="107" t="s">
        <v>562</v>
      </c>
      <c r="E1857" s="107" t="s">
        <v>563</v>
      </c>
      <c r="F1857" s="161">
        <v>45353</v>
      </c>
      <c r="G1857" s="107">
        <f t="shared" ref="G1857:G1864" si="58">DATEDIF(G$2,F1857,"d")</f>
        <v>5</v>
      </c>
    </row>
    <row r="1858" spans="1:7">
      <c r="A1858" s="107">
        <v>38</v>
      </c>
      <c r="B1858" s="107">
        <v>6</v>
      </c>
      <c r="C1858" s="107">
        <v>2</v>
      </c>
      <c r="D1858" s="107" t="s">
        <v>562</v>
      </c>
      <c r="E1858" s="107" t="s">
        <v>563</v>
      </c>
      <c r="F1858" s="161">
        <v>45353</v>
      </c>
      <c r="G1858" s="107">
        <f t="shared" si="58"/>
        <v>5</v>
      </c>
    </row>
    <row r="1859" spans="1:7">
      <c r="A1859" s="107">
        <v>38</v>
      </c>
      <c r="B1859" s="107">
        <v>6</v>
      </c>
      <c r="C1859" s="107">
        <v>3</v>
      </c>
      <c r="D1859" s="107" t="s">
        <v>562</v>
      </c>
      <c r="E1859" s="107" t="s">
        <v>563</v>
      </c>
      <c r="F1859" s="161">
        <v>45353</v>
      </c>
      <c r="G1859" s="107">
        <f t="shared" si="58"/>
        <v>5</v>
      </c>
    </row>
    <row r="1860" spans="1:7">
      <c r="A1860" s="107">
        <v>38</v>
      </c>
      <c r="B1860" s="107">
        <v>6</v>
      </c>
      <c r="C1860" s="107">
        <v>4</v>
      </c>
      <c r="D1860" s="107" t="s">
        <v>562</v>
      </c>
      <c r="E1860" s="107" t="s">
        <v>563</v>
      </c>
      <c r="F1860" s="161">
        <v>45353</v>
      </c>
      <c r="G1860" s="107">
        <f t="shared" si="58"/>
        <v>5</v>
      </c>
    </row>
    <row r="1861" spans="1:7">
      <c r="A1861" s="107">
        <v>38</v>
      </c>
      <c r="B1861" s="107">
        <v>6</v>
      </c>
      <c r="C1861" s="107">
        <v>5</v>
      </c>
      <c r="D1861" s="107" t="s">
        <v>562</v>
      </c>
      <c r="E1861" s="107" t="s">
        <v>563</v>
      </c>
      <c r="F1861" s="161">
        <v>45353</v>
      </c>
      <c r="G1861" s="107">
        <f t="shared" si="58"/>
        <v>5</v>
      </c>
    </row>
    <row r="1862" spans="1:7">
      <c r="A1862" s="107">
        <v>38</v>
      </c>
      <c r="B1862" s="107">
        <v>6</v>
      </c>
      <c r="C1862" s="107">
        <v>6</v>
      </c>
      <c r="D1862" s="107" t="s">
        <v>562</v>
      </c>
      <c r="E1862" s="107" t="s">
        <v>563</v>
      </c>
      <c r="F1862" s="161">
        <v>45353</v>
      </c>
      <c r="G1862" s="107">
        <f t="shared" si="58"/>
        <v>5</v>
      </c>
    </row>
    <row r="1863" spans="1:7">
      <c r="A1863" s="107">
        <v>38</v>
      </c>
      <c r="B1863" s="107">
        <v>6</v>
      </c>
      <c r="C1863" s="107">
        <v>7</v>
      </c>
      <c r="D1863" s="107" t="s">
        <v>562</v>
      </c>
      <c r="E1863" s="107" t="s">
        <v>563</v>
      </c>
      <c r="F1863" s="161">
        <v>45353</v>
      </c>
      <c r="G1863" s="107">
        <f t="shared" si="58"/>
        <v>5</v>
      </c>
    </row>
    <row r="1864" spans="1:7">
      <c r="A1864" s="107">
        <v>38</v>
      </c>
      <c r="B1864" s="107">
        <v>6</v>
      </c>
      <c r="C1864" s="107">
        <v>8</v>
      </c>
      <c r="D1864" s="107" t="s">
        <v>562</v>
      </c>
      <c r="E1864" s="107" t="s">
        <v>563</v>
      </c>
      <c r="F1864" s="161">
        <v>45353</v>
      </c>
      <c r="G1864" s="107">
        <f t="shared" si="58"/>
        <v>5</v>
      </c>
    </row>
    <row r="1866" spans="1:7">
      <c r="A1866" s="107">
        <v>39</v>
      </c>
      <c r="B1866" s="107">
        <v>1</v>
      </c>
      <c r="C1866" s="107">
        <v>1</v>
      </c>
      <c r="D1866" s="107" t="s">
        <v>564</v>
      </c>
      <c r="E1866" s="107" t="s">
        <v>565</v>
      </c>
      <c r="F1866" s="107"/>
      <c r="G1866" s="107"/>
    </row>
    <row r="1867" spans="1:7">
      <c r="A1867" s="107">
        <v>39</v>
      </c>
      <c r="B1867" s="107">
        <v>1</v>
      </c>
      <c r="C1867" s="107">
        <v>2</v>
      </c>
      <c r="D1867" s="107" t="s">
        <v>564</v>
      </c>
      <c r="E1867" s="107" t="s">
        <v>565</v>
      </c>
      <c r="F1867" s="107"/>
      <c r="G1867" s="107"/>
    </row>
    <row r="1868" spans="1:7">
      <c r="A1868" s="107">
        <v>39</v>
      </c>
      <c r="B1868" s="107">
        <v>1</v>
      </c>
      <c r="C1868" s="107">
        <v>3</v>
      </c>
      <c r="D1868" s="107" t="s">
        <v>564</v>
      </c>
      <c r="E1868" s="107" t="s">
        <v>565</v>
      </c>
      <c r="F1868" s="161">
        <v>45353</v>
      </c>
      <c r="G1868" s="107">
        <f>DATEDIF(G$2,F1868,"d")</f>
        <v>5</v>
      </c>
    </row>
    <row r="1869" spans="1:7">
      <c r="A1869" s="107">
        <v>39</v>
      </c>
      <c r="B1869" s="107">
        <v>1</v>
      </c>
      <c r="C1869" s="107">
        <v>4</v>
      </c>
      <c r="D1869" s="107" t="s">
        <v>564</v>
      </c>
      <c r="E1869" s="107" t="s">
        <v>565</v>
      </c>
      <c r="F1869" s="161">
        <v>45353</v>
      </c>
      <c r="G1869" s="107">
        <f>DATEDIF(G$2,F1869,"d")</f>
        <v>5</v>
      </c>
    </row>
    <row r="1870" spans="1:7">
      <c r="A1870" s="107">
        <v>39</v>
      </c>
      <c r="B1870" s="107">
        <v>1</v>
      </c>
      <c r="C1870" s="107">
        <v>5</v>
      </c>
      <c r="D1870" s="107" t="s">
        <v>564</v>
      </c>
      <c r="E1870" s="107" t="s">
        <v>565</v>
      </c>
      <c r="F1870" s="161">
        <v>45353</v>
      </c>
      <c r="G1870" s="107">
        <f>DATEDIF(G$2,F1870,"d")</f>
        <v>5</v>
      </c>
    </row>
    <row r="1871" spans="1:7">
      <c r="A1871" s="107">
        <v>39</v>
      </c>
      <c r="B1871" s="107">
        <v>1</v>
      </c>
      <c r="C1871" s="107">
        <v>6</v>
      </c>
      <c r="D1871" s="107" t="s">
        <v>564</v>
      </c>
      <c r="E1871" s="107" t="s">
        <v>565</v>
      </c>
      <c r="F1871" s="107"/>
      <c r="G1871" s="107"/>
    </row>
    <row r="1872" spans="1:7">
      <c r="A1872" s="107">
        <v>39</v>
      </c>
      <c r="B1872" s="107">
        <v>1</v>
      </c>
      <c r="C1872" s="107">
        <v>7</v>
      </c>
      <c r="D1872" s="107" t="s">
        <v>564</v>
      </c>
      <c r="E1872" s="107" t="s">
        <v>565</v>
      </c>
      <c r="F1872" s="161">
        <v>45352</v>
      </c>
      <c r="G1872" s="107">
        <f>DATEDIF(G$2,F1872,"d")</f>
        <v>4</v>
      </c>
    </row>
    <row r="1873" spans="1:7">
      <c r="A1873" s="107">
        <v>39</v>
      </c>
      <c r="B1873" s="107">
        <v>1</v>
      </c>
      <c r="C1873" s="107">
        <v>8</v>
      </c>
      <c r="D1873" s="107" t="s">
        <v>564</v>
      </c>
      <c r="E1873" s="107" t="s">
        <v>565</v>
      </c>
      <c r="F1873" s="161">
        <v>45353</v>
      </c>
      <c r="G1873" s="107">
        <f>DATEDIF(G$2,F1873,"d")</f>
        <v>5</v>
      </c>
    </row>
    <row r="1874" spans="1:7">
      <c r="A1874" s="107">
        <v>39</v>
      </c>
      <c r="B1874" s="107">
        <v>2</v>
      </c>
      <c r="C1874" s="107">
        <v>1</v>
      </c>
      <c r="D1874" s="107" t="s">
        <v>566</v>
      </c>
      <c r="E1874" s="107" t="s">
        <v>567</v>
      </c>
      <c r="F1874" s="161">
        <v>45353</v>
      </c>
      <c r="G1874" s="107">
        <f>DATEDIF(G$2,F1874,"d")</f>
        <v>5</v>
      </c>
    </row>
    <row r="1875" spans="1:7">
      <c r="A1875" s="107">
        <v>39</v>
      </c>
      <c r="B1875" s="107">
        <v>2</v>
      </c>
      <c r="C1875" s="107">
        <v>2</v>
      </c>
      <c r="D1875" s="107" t="s">
        <v>566</v>
      </c>
      <c r="E1875" s="107" t="s">
        <v>567</v>
      </c>
      <c r="F1875" s="107"/>
      <c r="G1875" s="107"/>
    </row>
    <row r="1876" spans="1:7">
      <c r="A1876" s="107">
        <v>39</v>
      </c>
      <c r="B1876" s="107">
        <v>2</v>
      </c>
      <c r="C1876" s="107">
        <v>3</v>
      </c>
      <c r="D1876" s="107" t="s">
        <v>566</v>
      </c>
      <c r="E1876" s="107" t="s">
        <v>567</v>
      </c>
      <c r="F1876" s="161">
        <v>45353</v>
      </c>
      <c r="G1876" s="107">
        <f>DATEDIF(G$2,F1876,"d")</f>
        <v>5</v>
      </c>
    </row>
    <row r="1877" spans="1:7">
      <c r="A1877" s="107">
        <v>39</v>
      </c>
      <c r="B1877" s="107">
        <v>2</v>
      </c>
      <c r="C1877" s="107">
        <v>4</v>
      </c>
      <c r="D1877" s="107" t="s">
        <v>566</v>
      </c>
      <c r="E1877" s="107" t="s">
        <v>567</v>
      </c>
      <c r="F1877" s="161">
        <v>45353</v>
      </c>
      <c r="G1877" s="107">
        <f>DATEDIF(G$2,F1877,"d")</f>
        <v>5</v>
      </c>
    </row>
    <row r="1878" spans="1:7">
      <c r="A1878" s="107">
        <v>39</v>
      </c>
      <c r="B1878" s="107">
        <v>2</v>
      </c>
      <c r="C1878" s="107">
        <v>5</v>
      </c>
      <c r="D1878" s="107" t="s">
        <v>566</v>
      </c>
      <c r="E1878" s="107" t="s">
        <v>567</v>
      </c>
      <c r="F1878" s="107"/>
      <c r="G1878" s="107"/>
    </row>
    <row r="1879" spans="1:7">
      <c r="A1879" s="107">
        <v>39</v>
      </c>
      <c r="B1879" s="107">
        <v>2</v>
      </c>
      <c r="C1879" s="107">
        <v>6</v>
      </c>
      <c r="D1879" s="107" t="s">
        <v>566</v>
      </c>
      <c r="E1879" s="107" t="s">
        <v>567</v>
      </c>
      <c r="F1879" s="161">
        <v>45353</v>
      </c>
      <c r="G1879" s="107">
        <f t="shared" ref="G1879:G1900" si="59">DATEDIF(G$2,F1879,"d")</f>
        <v>5</v>
      </c>
    </row>
    <row r="1880" spans="1:7">
      <c r="A1880" s="107">
        <v>39</v>
      </c>
      <c r="B1880" s="107">
        <v>2</v>
      </c>
      <c r="C1880" s="107">
        <v>7</v>
      </c>
      <c r="D1880" s="107" t="s">
        <v>566</v>
      </c>
      <c r="E1880" s="107" t="s">
        <v>567</v>
      </c>
      <c r="F1880" s="161">
        <v>45352</v>
      </c>
      <c r="G1880" s="107">
        <f t="shared" si="59"/>
        <v>4</v>
      </c>
    </row>
    <row r="1881" spans="1:7">
      <c r="A1881" s="107">
        <v>39</v>
      </c>
      <c r="B1881" s="107">
        <v>2</v>
      </c>
      <c r="C1881" s="107">
        <v>8</v>
      </c>
      <c r="D1881" s="107" t="s">
        <v>566</v>
      </c>
      <c r="E1881" s="107" t="s">
        <v>567</v>
      </c>
      <c r="F1881" s="161">
        <v>45353</v>
      </c>
      <c r="G1881" s="107">
        <f t="shared" si="59"/>
        <v>5</v>
      </c>
    </row>
    <row r="1882" spans="1:7">
      <c r="A1882" s="107">
        <v>39</v>
      </c>
      <c r="B1882" s="107">
        <v>3</v>
      </c>
      <c r="C1882" s="107">
        <v>1</v>
      </c>
      <c r="D1882" s="107" t="s">
        <v>568</v>
      </c>
      <c r="E1882" s="107" t="s">
        <v>569</v>
      </c>
      <c r="F1882" s="161">
        <v>45353</v>
      </c>
      <c r="G1882" s="107">
        <f t="shared" si="59"/>
        <v>5</v>
      </c>
    </row>
    <row r="1883" spans="1:7">
      <c r="A1883" s="107">
        <v>39</v>
      </c>
      <c r="B1883" s="107">
        <v>3</v>
      </c>
      <c r="C1883" s="107">
        <v>2</v>
      </c>
      <c r="D1883" s="107" t="s">
        <v>568</v>
      </c>
      <c r="E1883" s="107" t="s">
        <v>569</v>
      </c>
      <c r="F1883" s="161">
        <v>45353</v>
      </c>
      <c r="G1883" s="107">
        <f t="shared" si="59"/>
        <v>5</v>
      </c>
    </row>
    <row r="1884" spans="1:7">
      <c r="A1884" s="107">
        <v>39</v>
      </c>
      <c r="B1884" s="107">
        <v>3</v>
      </c>
      <c r="C1884" s="107">
        <v>3</v>
      </c>
      <c r="D1884" s="107" t="s">
        <v>568</v>
      </c>
      <c r="E1884" s="107" t="s">
        <v>569</v>
      </c>
      <c r="F1884" s="161">
        <v>45353</v>
      </c>
      <c r="G1884" s="107">
        <f t="shared" si="59"/>
        <v>5</v>
      </c>
    </row>
    <row r="1885" spans="1:7">
      <c r="A1885" s="107">
        <v>39</v>
      </c>
      <c r="B1885" s="107">
        <v>3</v>
      </c>
      <c r="C1885" s="107">
        <v>4</v>
      </c>
      <c r="D1885" s="107" t="s">
        <v>568</v>
      </c>
      <c r="E1885" s="107" t="s">
        <v>569</v>
      </c>
      <c r="F1885" s="161">
        <v>45353</v>
      </c>
      <c r="G1885" s="107">
        <f t="shared" si="59"/>
        <v>5</v>
      </c>
    </row>
    <row r="1886" spans="1:7">
      <c r="A1886" s="107">
        <v>39</v>
      </c>
      <c r="B1886" s="107">
        <v>3</v>
      </c>
      <c r="C1886" s="107">
        <v>5</v>
      </c>
      <c r="D1886" s="107" t="s">
        <v>568</v>
      </c>
      <c r="E1886" s="107" t="s">
        <v>569</v>
      </c>
      <c r="F1886" s="161">
        <v>45353</v>
      </c>
      <c r="G1886" s="107">
        <f t="shared" si="59"/>
        <v>5</v>
      </c>
    </row>
    <row r="1887" spans="1:7">
      <c r="A1887" s="107">
        <v>39</v>
      </c>
      <c r="B1887" s="107">
        <v>3</v>
      </c>
      <c r="C1887" s="107">
        <v>6</v>
      </c>
      <c r="D1887" s="107" t="s">
        <v>568</v>
      </c>
      <c r="E1887" s="107" t="s">
        <v>569</v>
      </c>
      <c r="F1887" s="161">
        <v>45353</v>
      </c>
      <c r="G1887" s="107">
        <f t="shared" si="59"/>
        <v>5</v>
      </c>
    </row>
    <row r="1888" spans="1:7">
      <c r="A1888" s="107">
        <v>39</v>
      </c>
      <c r="B1888" s="107">
        <v>3</v>
      </c>
      <c r="C1888" s="107">
        <v>7</v>
      </c>
      <c r="D1888" s="107" t="s">
        <v>568</v>
      </c>
      <c r="E1888" s="107" t="s">
        <v>569</v>
      </c>
      <c r="F1888" s="161">
        <v>45353</v>
      </c>
      <c r="G1888" s="107">
        <f t="shared" si="59"/>
        <v>5</v>
      </c>
    </row>
    <row r="1889" spans="1:7">
      <c r="A1889" s="107">
        <v>39</v>
      </c>
      <c r="B1889" s="107">
        <v>3</v>
      </c>
      <c r="C1889" s="107">
        <v>8</v>
      </c>
      <c r="D1889" s="107" t="s">
        <v>568</v>
      </c>
      <c r="E1889" s="107" t="s">
        <v>569</v>
      </c>
      <c r="F1889" s="161">
        <v>45352</v>
      </c>
      <c r="G1889" s="107">
        <f t="shared" si="59"/>
        <v>4</v>
      </c>
    </row>
    <row r="1890" spans="1:7">
      <c r="A1890" s="107">
        <v>39</v>
      </c>
      <c r="B1890" s="107">
        <v>4</v>
      </c>
      <c r="C1890" s="107">
        <v>1</v>
      </c>
      <c r="D1890" s="107" t="s">
        <v>570</v>
      </c>
      <c r="E1890" s="107" t="s">
        <v>571</v>
      </c>
      <c r="F1890" s="161">
        <v>45353</v>
      </c>
      <c r="G1890" s="107">
        <f t="shared" si="59"/>
        <v>5</v>
      </c>
    </row>
    <row r="1891" spans="1:7">
      <c r="A1891" s="107">
        <v>39</v>
      </c>
      <c r="B1891" s="107">
        <v>4</v>
      </c>
      <c r="C1891" s="107">
        <v>2</v>
      </c>
      <c r="D1891" s="107" t="s">
        <v>570</v>
      </c>
      <c r="E1891" s="107" t="s">
        <v>571</v>
      </c>
      <c r="F1891" s="161">
        <v>45353</v>
      </c>
      <c r="G1891" s="107">
        <f t="shared" si="59"/>
        <v>5</v>
      </c>
    </row>
    <row r="1892" spans="1:7">
      <c r="A1892" s="107">
        <v>39</v>
      </c>
      <c r="B1892" s="107">
        <v>4</v>
      </c>
      <c r="C1892" s="107">
        <v>3</v>
      </c>
      <c r="D1892" s="107" t="s">
        <v>570</v>
      </c>
      <c r="E1892" s="107" t="s">
        <v>571</v>
      </c>
      <c r="F1892" s="161">
        <v>45353</v>
      </c>
      <c r="G1892" s="107">
        <f t="shared" si="59"/>
        <v>5</v>
      </c>
    </row>
    <row r="1893" spans="1:7">
      <c r="A1893" s="107">
        <v>39</v>
      </c>
      <c r="B1893" s="107">
        <v>4</v>
      </c>
      <c r="C1893" s="107">
        <v>4</v>
      </c>
      <c r="D1893" s="107" t="s">
        <v>570</v>
      </c>
      <c r="E1893" s="107" t="s">
        <v>571</v>
      </c>
      <c r="F1893" s="161">
        <v>45353</v>
      </c>
      <c r="G1893" s="107">
        <f t="shared" si="59"/>
        <v>5</v>
      </c>
    </row>
    <row r="1894" spans="1:7">
      <c r="A1894" s="107">
        <v>39</v>
      </c>
      <c r="B1894" s="107">
        <v>4</v>
      </c>
      <c r="C1894" s="107">
        <v>5</v>
      </c>
      <c r="D1894" s="107" t="s">
        <v>570</v>
      </c>
      <c r="E1894" s="107" t="s">
        <v>571</v>
      </c>
      <c r="F1894" s="161">
        <v>45353</v>
      </c>
      <c r="G1894" s="107">
        <f t="shared" si="59"/>
        <v>5</v>
      </c>
    </row>
    <row r="1895" spans="1:7">
      <c r="A1895" s="107">
        <v>39</v>
      </c>
      <c r="B1895" s="107">
        <v>4</v>
      </c>
      <c r="C1895" s="107">
        <v>6</v>
      </c>
      <c r="D1895" s="107" t="s">
        <v>570</v>
      </c>
      <c r="E1895" s="107" t="s">
        <v>571</v>
      </c>
      <c r="F1895" s="161">
        <v>45353</v>
      </c>
      <c r="G1895" s="107">
        <f t="shared" si="59"/>
        <v>5</v>
      </c>
    </row>
    <row r="1896" spans="1:7">
      <c r="A1896" s="107">
        <v>39</v>
      </c>
      <c r="B1896" s="107">
        <v>4</v>
      </c>
      <c r="C1896" s="107">
        <v>7</v>
      </c>
      <c r="D1896" s="107" t="s">
        <v>570</v>
      </c>
      <c r="E1896" s="107" t="s">
        <v>571</v>
      </c>
      <c r="F1896" s="161">
        <v>45353</v>
      </c>
      <c r="G1896" s="107">
        <f t="shared" si="59"/>
        <v>5</v>
      </c>
    </row>
    <row r="1897" spans="1:7">
      <c r="A1897" s="107">
        <v>39</v>
      </c>
      <c r="B1897" s="107">
        <v>4</v>
      </c>
      <c r="C1897" s="107">
        <v>8</v>
      </c>
      <c r="D1897" s="107" t="s">
        <v>570</v>
      </c>
      <c r="E1897" s="107" t="s">
        <v>571</v>
      </c>
      <c r="F1897" s="161">
        <v>45354</v>
      </c>
      <c r="G1897" s="107">
        <f t="shared" si="59"/>
        <v>6</v>
      </c>
    </row>
    <row r="1898" spans="1:7">
      <c r="A1898" s="107">
        <v>39</v>
      </c>
      <c r="B1898" s="107">
        <v>5</v>
      </c>
      <c r="C1898" s="107">
        <v>1</v>
      </c>
      <c r="D1898" s="107" t="s">
        <v>572</v>
      </c>
      <c r="E1898" s="107" t="s">
        <v>573</v>
      </c>
      <c r="F1898" s="161">
        <v>45353</v>
      </c>
      <c r="G1898" s="107">
        <f t="shared" si="59"/>
        <v>5</v>
      </c>
    </row>
    <row r="1899" spans="1:7">
      <c r="A1899" s="107">
        <v>39</v>
      </c>
      <c r="B1899" s="107">
        <v>5</v>
      </c>
      <c r="C1899" s="107">
        <v>2</v>
      </c>
      <c r="D1899" s="107" t="s">
        <v>572</v>
      </c>
      <c r="E1899" s="107" t="s">
        <v>573</v>
      </c>
      <c r="F1899" s="161">
        <v>45361</v>
      </c>
      <c r="G1899" s="107">
        <f t="shared" si="59"/>
        <v>13</v>
      </c>
    </row>
    <row r="1900" spans="1:7">
      <c r="A1900" s="107">
        <v>39</v>
      </c>
      <c r="B1900" s="107">
        <v>5</v>
      </c>
      <c r="C1900" s="107">
        <v>3</v>
      </c>
      <c r="D1900" s="107" t="s">
        <v>572</v>
      </c>
      <c r="E1900" s="107" t="s">
        <v>573</v>
      </c>
      <c r="F1900" s="161">
        <v>45353</v>
      </c>
      <c r="G1900" s="107">
        <f t="shared" si="59"/>
        <v>5</v>
      </c>
    </row>
    <row r="1901" spans="1:7">
      <c r="A1901" s="107">
        <v>39</v>
      </c>
      <c r="B1901" s="107">
        <v>5</v>
      </c>
      <c r="C1901" s="107">
        <v>4</v>
      </c>
      <c r="D1901" s="107" t="s">
        <v>572</v>
      </c>
      <c r="E1901" s="107" t="s">
        <v>573</v>
      </c>
      <c r="F1901" s="107"/>
      <c r="G1901" s="107"/>
    </row>
    <row r="1902" spans="1:7">
      <c r="A1902" s="107">
        <v>39</v>
      </c>
      <c r="B1902" s="107">
        <v>5</v>
      </c>
      <c r="C1902" s="107">
        <v>5</v>
      </c>
      <c r="D1902" s="107" t="s">
        <v>572</v>
      </c>
      <c r="E1902" s="107" t="s">
        <v>573</v>
      </c>
      <c r="F1902" s="161">
        <v>45353</v>
      </c>
      <c r="G1902" s="107">
        <f t="shared" ref="G1902:G1913" si="60">DATEDIF(G$2,F1902,"d")</f>
        <v>5</v>
      </c>
    </row>
    <row r="1903" spans="1:7">
      <c r="A1903" s="107">
        <v>39</v>
      </c>
      <c r="B1903" s="107">
        <v>5</v>
      </c>
      <c r="C1903" s="107">
        <v>6</v>
      </c>
      <c r="D1903" s="107" t="s">
        <v>572</v>
      </c>
      <c r="E1903" s="107" t="s">
        <v>573</v>
      </c>
      <c r="F1903" s="161">
        <v>45353</v>
      </c>
      <c r="G1903" s="107">
        <f t="shared" si="60"/>
        <v>5</v>
      </c>
    </row>
    <row r="1904" spans="1:7">
      <c r="A1904" s="107">
        <v>39</v>
      </c>
      <c r="B1904" s="107">
        <v>5</v>
      </c>
      <c r="C1904" s="107">
        <v>7</v>
      </c>
      <c r="D1904" s="107" t="s">
        <v>572</v>
      </c>
      <c r="E1904" s="107" t="s">
        <v>573</v>
      </c>
      <c r="F1904" s="161">
        <v>45353</v>
      </c>
      <c r="G1904" s="107">
        <f t="shared" si="60"/>
        <v>5</v>
      </c>
    </row>
    <row r="1905" spans="1:7">
      <c r="A1905" s="107">
        <v>39</v>
      </c>
      <c r="B1905" s="107">
        <v>5</v>
      </c>
      <c r="C1905" s="107">
        <v>8</v>
      </c>
      <c r="D1905" s="107" t="s">
        <v>572</v>
      </c>
      <c r="E1905" s="107" t="s">
        <v>573</v>
      </c>
      <c r="F1905" s="161">
        <v>45353</v>
      </c>
      <c r="G1905" s="107">
        <f t="shared" si="60"/>
        <v>5</v>
      </c>
    </row>
    <row r="1906" spans="1:7">
      <c r="A1906" s="107">
        <v>39</v>
      </c>
      <c r="B1906" s="107">
        <v>6</v>
      </c>
      <c r="C1906" s="107">
        <v>1</v>
      </c>
      <c r="D1906" s="107" t="s">
        <v>574</v>
      </c>
      <c r="E1906" s="107" t="s">
        <v>575</v>
      </c>
      <c r="F1906" s="161">
        <v>45353</v>
      </c>
      <c r="G1906" s="107">
        <f t="shared" si="60"/>
        <v>5</v>
      </c>
    </row>
    <row r="1907" spans="1:7">
      <c r="A1907" s="107">
        <v>39</v>
      </c>
      <c r="B1907" s="107">
        <v>6</v>
      </c>
      <c r="C1907" s="107">
        <v>2</v>
      </c>
      <c r="D1907" s="107" t="s">
        <v>574</v>
      </c>
      <c r="E1907" s="107" t="s">
        <v>575</v>
      </c>
      <c r="F1907" s="161">
        <v>45353</v>
      </c>
      <c r="G1907" s="107">
        <f t="shared" si="60"/>
        <v>5</v>
      </c>
    </row>
    <row r="1908" spans="1:7">
      <c r="A1908" s="107">
        <v>39</v>
      </c>
      <c r="B1908" s="107">
        <v>6</v>
      </c>
      <c r="C1908" s="107">
        <v>3</v>
      </c>
      <c r="D1908" s="107" t="s">
        <v>574</v>
      </c>
      <c r="E1908" s="107" t="s">
        <v>575</v>
      </c>
      <c r="F1908" s="161">
        <v>45353</v>
      </c>
      <c r="G1908" s="107">
        <f t="shared" si="60"/>
        <v>5</v>
      </c>
    </row>
    <row r="1909" spans="1:7">
      <c r="A1909" s="107">
        <v>39</v>
      </c>
      <c r="B1909" s="107">
        <v>6</v>
      </c>
      <c r="C1909" s="107">
        <v>4</v>
      </c>
      <c r="D1909" s="107" t="s">
        <v>574</v>
      </c>
      <c r="E1909" s="107" t="s">
        <v>575</v>
      </c>
      <c r="F1909" s="161">
        <v>45353</v>
      </c>
      <c r="G1909" s="107">
        <f t="shared" si="60"/>
        <v>5</v>
      </c>
    </row>
    <row r="1910" spans="1:7">
      <c r="A1910" s="107">
        <v>39</v>
      </c>
      <c r="B1910" s="107">
        <v>6</v>
      </c>
      <c r="C1910" s="107">
        <v>5</v>
      </c>
      <c r="D1910" s="107" t="s">
        <v>574</v>
      </c>
      <c r="E1910" s="107" t="s">
        <v>575</v>
      </c>
      <c r="F1910" s="161">
        <v>45353</v>
      </c>
      <c r="G1910" s="107">
        <f t="shared" si="60"/>
        <v>5</v>
      </c>
    </row>
    <row r="1911" spans="1:7">
      <c r="A1911" s="107">
        <v>39</v>
      </c>
      <c r="B1911" s="107">
        <v>6</v>
      </c>
      <c r="C1911" s="107">
        <v>6</v>
      </c>
      <c r="D1911" s="107" t="s">
        <v>574</v>
      </c>
      <c r="E1911" s="107" t="s">
        <v>575</v>
      </c>
      <c r="F1911" s="161">
        <v>45352</v>
      </c>
      <c r="G1911" s="107">
        <f t="shared" si="60"/>
        <v>4</v>
      </c>
    </row>
    <row r="1912" spans="1:7">
      <c r="A1912" s="107">
        <v>39</v>
      </c>
      <c r="B1912" s="107">
        <v>6</v>
      </c>
      <c r="C1912" s="107">
        <v>7</v>
      </c>
      <c r="D1912" s="107" t="s">
        <v>574</v>
      </c>
      <c r="E1912" s="107" t="s">
        <v>575</v>
      </c>
      <c r="F1912" s="161">
        <v>45353</v>
      </c>
      <c r="G1912" s="107">
        <f t="shared" si="60"/>
        <v>5</v>
      </c>
    </row>
    <row r="1913" spans="1:7">
      <c r="A1913" s="107">
        <v>39</v>
      </c>
      <c r="B1913" s="107">
        <v>6</v>
      </c>
      <c r="C1913" s="107">
        <v>8</v>
      </c>
      <c r="D1913" s="107" t="s">
        <v>574</v>
      </c>
      <c r="E1913" s="107" t="s">
        <v>575</v>
      </c>
      <c r="F1913" s="161">
        <v>45353</v>
      </c>
      <c r="G1913" s="107">
        <f t="shared" si="60"/>
        <v>5</v>
      </c>
    </row>
    <row r="1915" spans="1:7">
      <c r="A1915" s="107">
        <v>40</v>
      </c>
      <c r="B1915" s="107">
        <v>1</v>
      </c>
      <c r="C1915" s="107">
        <v>1</v>
      </c>
      <c r="D1915" s="107" t="s">
        <v>576</v>
      </c>
      <c r="E1915" s="107" t="s">
        <v>577</v>
      </c>
      <c r="F1915" s="161">
        <v>45352</v>
      </c>
      <c r="G1915" s="107">
        <f t="shared" ref="G1915:G1925" si="61">DATEDIF(G$2,F1915,"d")</f>
        <v>4</v>
      </c>
    </row>
    <row r="1916" spans="1:7">
      <c r="A1916" s="107">
        <v>40</v>
      </c>
      <c r="B1916" s="107">
        <v>1</v>
      </c>
      <c r="C1916" s="107">
        <v>2</v>
      </c>
      <c r="D1916" s="107" t="s">
        <v>576</v>
      </c>
      <c r="E1916" s="107" t="s">
        <v>577</v>
      </c>
      <c r="F1916" s="161">
        <v>45352</v>
      </c>
      <c r="G1916" s="107">
        <f t="shared" si="61"/>
        <v>4</v>
      </c>
    </row>
    <row r="1917" spans="1:7">
      <c r="A1917" s="107">
        <v>40</v>
      </c>
      <c r="B1917" s="107">
        <v>1</v>
      </c>
      <c r="C1917" s="107">
        <v>3</v>
      </c>
      <c r="D1917" s="107" t="s">
        <v>576</v>
      </c>
      <c r="E1917" s="107" t="s">
        <v>577</v>
      </c>
      <c r="F1917" s="161">
        <v>45352</v>
      </c>
      <c r="G1917" s="107">
        <f t="shared" si="61"/>
        <v>4</v>
      </c>
    </row>
    <row r="1918" spans="1:7">
      <c r="A1918" s="107">
        <v>40</v>
      </c>
      <c r="B1918" s="107">
        <v>1</v>
      </c>
      <c r="C1918" s="107">
        <v>4</v>
      </c>
      <c r="D1918" s="107" t="s">
        <v>576</v>
      </c>
      <c r="E1918" s="107" t="s">
        <v>577</v>
      </c>
      <c r="F1918" s="161">
        <v>45353</v>
      </c>
      <c r="G1918" s="107">
        <f t="shared" si="61"/>
        <v>5</v>
      </c>
    </row>
    <row r="1919" spans="1:7">
      <c r="A1919" s="107">
        <v>40</v>
      </c>
      <c r="B1919" s="107">
        <v>1</v>
      </c>
      <c r="C1919" s="107">
        <v>5</v>
      </c>
      <c r="D1919" s="107" t="s">
        <v>576</v>
      </c>
      <c r="E1919" s="107" t="s">
        <v>577</v>
      </c>
      <c r="F1919" s="161">
        <v>45354</v>
      </c>
      <c r="G1919" s="107">
        <f t="shared" si="61"/>
        <v>6</v>
      </c>
    </row>
    <row r="1920" spans="1:7">
      <c r="A1920" s="107">
        <v>40</v>
      </c>
      <c r="B1920" s="107">
        <v>1</v>
      </c>
      <c r="C1920" s="107">
        <v>6</v>
      </c>
      <c r="D1920" s="107" t="s">
        <v>576</v>
      </c>
      <c r="E1920" s="107" t="s">
        <v>577</v>
      </c>
      <c r="F1920" s="161">
        <v>45353</v>
      </c>
      <c r="G1920" s="107">
        <f t="shared" si="61"/>
        <v>5</v>
      </c>
    </row>
    <row r="1921" spans="1:7">
      <c r="A1921" s="107">
        <v>40</v>
      </c>
      <c r="B1921" s="107">
        <v>1</v>
      </c>
      <c r="C1921" s="107">
        <v>7</v>
      </c>
      <c r="D1921" s="107" t="s">
        <v>576</v>
      </c>
      <c r="E1921" s="107" t="s">
        <v>577</v>
      </c>
      <c r="F1921" s="161">
        <v>45353</v>
      </c>
      <c r="G1921" s="107">
        <f t="shared" si="61"/>
        <v>5</v>
      </c>
    </row>
    <row r="1922" spans="1:7">
      <c r="A1922" s="107">
        <v>40</v>
      </c>
      <c r="B1922" s="107">
        <v>1</v>
      </c>
      <c r="C1922" s="107">
        <v>8</v>
      </c>
      <c r="D1922" s="107" t="s">
        <v>576</v>
      </c>
      <c r="E1922" s="107" t="s">
        <v>577</v>
      </c>
      <c r="F1922" s="161">
        <v>45354</v>
      </c>
      <c r="G1922" s="107">
        <f t="shared" si="61"/>
        <v>6</v>
      </c>
    </row>
    <row r="1923" spans="1:7">
      <c r="A1923" s="107">
        <v>40</v>
      </c>
      <c r="B1923" s="107">
        <v>2</v>
      </c>
      <c r="C1923" s="107">
        <v>1</v>
      </c>
      <c r="D1923" s="107" t="s">
        <v>578</v>
      </c>
      <c r="E1923" s="107" t="s">
        <v>579</v>
      </c>
      <c r="F1923" s="161">
        <v>45352</v>
      </c>
      <c r="G1923" s="107">
        <f t="shared" si="61"/>
        <v>4</v>
      </c>
    </row>
    <row r="1924" spans="1:7">
      <c r="A1924" s="107">
        <v>40</v>
      </c>
      <c r="B1924" s="107">
        <v>2</v>
      </c>
      <c r="C1924" s="107">
        <v>2</v>
      </c>
      <c r="D1924" s="107" t="s">
        <v>578</v>
      </c>
      <c r="E1924" s="107" t="s">
        <v>579</v>
      </c>
      <c r="F1924" s="161">
        <v>45353</v>
      </c>
      <c r="G1924" s="107">
        <f t="shared" si="61"/>
        <v>5</v>
      </c>
    </row>
    <row r="1925" spans="1:7">
      <c r="A1925" s="107">
        <v>40</v>
      </c>
      <c r="B1925" s="107">
        <v>2</v>
      </c>
      <c r="C1925" s="107">
        <v>3</v>
      </c>
      <c r="D1925" s="107" t="s">
        <v>578</v>
      </c>
      <c r="E1925" s="107" t="s">
        <v>579</v>
      </c>
      <c r="F1925" s="161">
        <v>45352</v>
      </c>
      <c r="G1925" s="107">
        <f t="shared" si="61"/>
        <v>4</v>
      </c>
    </row>
    <row r="1926" spans="1:7">
      <c r="A1926" s="107">
        <v>40</v>
      </c>
      <c r="B1926" s="107">
        <v>2</v>
      </c>
      <c r="C1926" s="107">
        <v>4</v>
      </c>
      <c r="D1926" s="107" t="s">
        <v>578</v>
      </c>
      <c r="E1926" s="107" t="s">
        <v>579</v>
      </c>
      <c r="F1926" s="107"/>
      <c r="G1926" s="107"/>
    </row>
    <row r="1927" spans="1:7">
      <c r="A1927" s="107">
        <v>40</v>
      </c>
      <c r="B1927" s="107">
        <v>2</v>
      </c>
      <c r="C1927" s="107">
        <v>5</v>
      </c>
      <c r="D1927" s="107" t="s">
        <v>578</v>
      </c>
      <c r="E1927" s="107" t="s">
        <v>579</v>
      </c>
      <c r="F1927" s="161">
        <v>45353</v>
      </c>
      <c r="G1927" s="107">
        <f t="shared" ref="G1927:G1932" si="62">DATEDIF(G$2,F1927,"d")</f>
        <v>5</v>
      </c>
    </row>
    <row r="1928" spans="1:7">
      <c r="A1928" s="107">
        <v>40</v>
      </c>
      <c r="B1928" s="107">
        <v>2</v>
      </c>
      <c r="C1928" s="107">
        <v>6</v>
      </c>
      <c r="D1928" s="107" t="s">
        <v>578</v>
      </c>
      <c r="E1928" s="107" t="s">
        <v>579</v>
      </c>
      <c r="F1928" s="161">
        <v>45352</v>
      </c>
      <c r="G1928" s="107">
        <f t="shared" si="62"/>
        <v>4</v>
      </c>
    </row>
    <row r="1929" spans="1:7">
      <c r="A1929" s="107">
        <v>40</v>
      </c>
      <c r="B1929" s="107">
        <v>2</v>
      </c>
      <c r="C1929" s="107">
        <v>7</v>
      </c>
      <c r="D1929" s="107" t="s">
        <v>578</v>
      </c>
      <c r="E1929" s="107" t="s">
        <v>579</v>
      </c>
      <c r="F1929" s="161">
        <v>45355</v>
      </c>
      <c r="G1929" s="107">
        <f t="shared" si="62"/>
        <v>7</v>
      </c>
    </row>
    <row r="1930" spans="1:7">
      <c r="A1930" s="107">
        <v>40</v>
      </c>
      <c r="B1930" s="107">
        <v>2</v>
      </c>
      <c r="C1930" s="107">
        <v>8</v>
      </c>
      <c r="D1930" s="107" t="s">
        <v>578</v>
      </c>
      <c r="E1930" s="107" t="s">
        <v>579</v>
      </c>
      <c r="F1930" s="161">
        <v>45353</v>
      </c>
      <c r="G1930" s="107">
        <f t="shared" si="62"/>
        <v>5</v>
      </c>
    </row>
    <row r="1931" spans="1:7">
      <c r="A1931" s="107">
        <v>40</v>
      </c>
      <c r="B1931" s="107">
        <v>3</v>
      </c>
      <c r="C1931" s="107">
        <v>1</v>
      </c>
      <c r="D1931" s="107" t="s">
        <v>580</v>
      </c>
      <c r="E1931" s="107" t="s">
        <v>581</v>
      </c>
      <c r="F1931" s="161">
        <v>45352</v>
      </c>
      <c r="G1931" s="107">
        <f t="shared" si="62"/>
        <v>4</v>
      </c>
    </row>
    <row r="1932" spans="1:7">
      <c r="A1932" s="107">
        <v>40</v>
      </c>
      <c r="B1932" s="107">
        <v>3</v>
      </c>
      <c r="C1932" s="107">
        <v>2</v>
      </c>
      <c r="D1932" s="107" t="s">
        <v>580</v>
      </c>
      <c r="E1932" s="107" t="s">
        <v>581</v>
      </c>
      <c r="F1932" s="161">
        <v>45353</v>
      </c>
      <c r="G1932" s="107">
        <f t="shared" si="62"/>
        <v>5</v>
      </c>
    </row>
    <row r="1933" spans="1:7">
      <c r="A1933" s="107">
        <v>40</v>
      </c>
      <c r="B1933" s="107">
        <v>3</v>
      </c>
      <c r="C1933" s="107">
        <v>3</v>
      </c>
      <c r="D1933" s="107" t="s">
        <v>580</v>
      </c>
      <c r="E1933" s="107" t="s">
        <v>581</v>
      </c>
      <c r="F1933" s="107"/>
      <c r="G1933" s="107"/>
    </row>
    <row r="1934" spans="1:7">
      <c r="A1934" s="107">
        <v>40</v>
      </c>
      <c r="B1934" s="107">
        <v>3</v>
      </c>
      <c r="C1934" s="107">
        <v>4</v>
      </c>
      <c r="D1934" s="107" t="s">
        <v>580</v>
      </c>
      <c r="E1934" s="107" t="s">
        <v>581</v>
      </c>
      <c r="F1934" s="161">
        <v>45353</v>
      </c>
      <c r="G1934" s="107">
        <f t="shared" ref="G1934:G1949" si="63">DATEDIF(G$2,F1934,"d")</f>
        <v>5</v>
      </c>
    </row>
    <row r="1935" spans="1:7">
      <c r="A1935" s="107">
        <v>40</v>
      </c>
      <c r="B1935" s="107">
        <v>3</v>
      </c>
      <c r="C1935" s="107">
        <v>5</v>
      </c>
      <c r="D1935" s="107" t="s">
        <v>580</v>
      </c>
      <c r="E1935" s="107" t="s">
        <v>581</v>
      </c>
      <c r="F1935" s="161">
        <v>45353</v>
      </c>
      <c r="G1935" s="107">
        <f t="shared" si="63"/>
        <v>5</v>
      </c>
    </row>
    <row r="1936" spans="1:7">
      <c r="A1936" s="107">
        <v>40</v>
      </c>
      <c r="B1936" s="107">
        <v>3</v>
      </c>
      <c r="C1936" s="107">
        <v>6</v>
      </c>
      <c r="D1936" s="107" t="s">
        <v>580</v>
      </c>
      <c r="E1936" s="107" t="s">
        <v>581</v>
      </c>
      <c r="F1936" s="161">
        <v>45352</v>
      </c>
      <c r="G1936" s="107">
        <f t="shared" si="63"/>
        <v>4</v>
      </c>
    </row>
    <row r="1937" spans="1:7">
      <c r="A1937" s="107">
        <v>40</v>
      </c>
      <c r="B1937" s="107">
        <v>3</v>
      </c>
      <c r="C1937" s="107">
        <v>7</v>
      </c>
      <c r="D1937" s="107" t="s">
        <v>580</v>
      </c>
      <c r="E1937" s="107" t="s">
        <v>581</v>
      </c>
      <c r="F1937" s="161">
        <v>45352</v>
      </c>
      <c r="G1937" s="107">
        <f t="shared" si="63"/>
        <v>4</v>
      </c>
    </row>
    <row r="1938" spans="1:7">
      <c r="A1938" s="107">
        <v>40</v>
      </c>
      <c r="B1938" s="107">
        <v>3</v>
      </c>
      <c r="C1938" s="107">
        <v>8</v>
      </c>
      <c r="D1938" s="107" t="s">
        <v>580</v>
      </c>
      <c r="E1938" s="107" t="s">
        <v>581</v>
      </c>
      <c r="F1938" s="161">
        <v>45353</v>
      </c>
      <c r="G1938" s="107">
        <f t="shared" si="63"/>
        <v>5</v>
      </c>
    </row>
    <row r="1939" spans="1:7">
      <c r="A1939" s="107">
        <v>40</v>
      </c>
      <c r="B1939" s="107">
        <v>4</v>
      </c>
      <c r="C1939" s="107">
        <v>1</v>
      </c>
      <c r="D1939" s="107" t="s">
        <v>582</v>
      </c>
      <c r="E1939" s="107" t="s">
        <v>583</v>
      </c>
      <c r="F1939" s="161">
        <v>45352</v>
      </c>
      <c r="G1939" s="107">
        <f t="shared" si="63"/>
        <v>4</v>
      </c>
    </row>
    <row r="1940" spans="1:7">
      <c r="A1940" s="107">
        <v>40</v>
      </c>
      <c r="B1940" s="107">
        <v>4</v>
      </c>
      <c r="C1940" s="107">
        <v>2</v>
      </c>
      <c r="D1940" s="107" t="s">
        <v>582</v>
      </c>
      <c r="E1940" s="107" t="s">
        <v>583</v>
      </c>
      <c r="F1940" s="161">
        <v>45352</v>
      </c>
      <c r="G1940" s="107">
        <f t="shared" si="63"/>
        <v>4</v>
      </c>
    </row>
    <row r="1941" spans="1:7">
      <c r="A1941" s="107">
        <v>40</v>
      </c>
      <c r="B1941" s="107">
        <v>4</v>
      </c>
      <c r="C1941" s="107">
        <v>3</v>
      </c>
      <c r="D1941" s="107" t="s">
        <v>582</v>
      </c>
      <c r="E1941" s="107" t="s">
        <v>583</v>
      </c>
      <c r="F1941" s="161">
        <v>45353</v>
      </c>
      <c r="G1941" s="107">
        <f t="shared" si="63"/>
        <v>5</v>
      </c>
    </row>
    <row r="1942" spans="1:7">
      <c r="A1942" s="107">
        <v>40</v>
      </c>
      <c r="B1942" s="107">
        <v>4</v>
      </c>
      <c r="C1942" s="107">
        <v>4</v>
      </c>
      <c r="D1942" s="107" t="s">
        <v>582</v>
      </c>
      <c r="E1942" s="107" t="s">
        <v>583</v>
      </c>
      <c r="F1942" s="161">
        <v>45353</v>
      </c>
      <c r="G1942" s="107">
        <f t="shared" si="63"/>
        <v>5</v>
      </c>
    </row>
    <row r="1943" spans="1:7">
      <c r="A1943" s="107">
        <v>40</v>
      </c>
      <c r="B1943" s="107">
        <v>4</v>
      </c>
      <c r="C1943" s="107">
        <v>5</v>
      </c>
      <c r="D1943" s="107" t="s">
        <v>582</v>
      </c>
      <c r="E1943" s="107" t="s">
        <v>583</v>
      </c>
      <c r="F1943" s="161">
        <v>45353</v>
      </c>
      <c r="G1943" s="107">
        <f t="shared" si="63"/>
        <v>5</v>
      </c>
    </row>
    <row r="1944" spans="1:7">
      <c r="A1944" s="107">
        <v>40</v>
      </c>
      <c r="B1944" s="107">
        <v>4</v>
      </c>
      <c r="C1944" s="107">
        <v>6</v>
      </c>
      <c r="D1944" s="107" t="s">
        <v>582</v>
      </c>
      <c r="E1944" s="107" t="s">
        <v>583</v>
      </c>
      <c r="F1944" s="161">
        <v>45353</v>
      </c>
      <c r="G1944" s="107">
        <f t="shared" si="63"/>
        <v>5</v>
      </c>
    </row>
    <row r="1945" spans="1:7">
      <c r="A1945" s="107">
        <v>40</v>
      </c>
      <c r="B1945" s="107">
        <v>4</v>
      </c>
      <c r="C1945" s="107">
        <v>7</v>
      </c>
      <c r="D1945" s="107" t="s">
        <v>582</v>
      </c>
      <c r="E1945" s="107" t="s">
        <v>583</v>
      </c>
      <c r="F1945" s="161">
        <v>45352</v>
      </c>
      <c r="G1945" s="107">
        <f t="shared" si="63"/>
        <v>4</v>
      </c>
    </row>
    <row r="1946" spans="1:7">
      <c r="A1946" s="107">
        <v>40</v>
      </c>
      <c r="B1946" s="107">
        <v>4</v>
      </c>
      <c r="C1946" s="107">
        <v>8</v>
      </c>
      <c r="D1946" s="107" t="s">
        <v>582</v>
      </c>
      <c r="E1946" s="107" t="s">
        <v>583</v>
      </c>
      <c r="F1946" s="161">
        <v>45352</v>
      </c>
      <c r="G1946" s="107">
        <f t="shared" si="63"/>
        <v>4</v>
      </c>
    </row>
    <row r="1947" spans="1:7">
      <c r="A1947" s="107">
        <v>40</v>
      </c>
      <c r="B1947" s="107">
        <v>5</v>
      </c>
      <c r="C1947" s="107">
        <v>1</v>
      </c>
      <c r="D1947" s="107" t="s">
        <v>584</v>
      </c>
      <c r="E1947" s="107" t="s">
        <v>585</v>
      </c>
      <c r="F1947" s="161">
        <v>45353</v>
      </c>
      <c r="G1947" s="107">
        <f t="shared" si="63"/>
        <v>5</v>
      </c>
    </row>
    <row r="1948" spans="1:7">
      <c r="A1948" s="107">
        <v>40</v>
      </c>
      <c r="B1948" s="107">
        <v>5</v>
      </c>
      <c r="C1948" s="107">
        <v>2</v>
      </c>
      <c r="D1948" s="107" t="s">
        <v>584</v>
      </c>
      <c r="E1948" s="107" t="s">
        <v>585</v>
      </c>
      <c r="F1948" s="161">
        <v>45353</v>
      </c>
      <c r="G1948" s="107">
        <f t="shared" si="63"/>
        <v>5</v>
      </c>
    </row>
    <row r="1949" spans="1:7">
      <c r="A1949" s="107">
        <v>40</v>
      </c>
      <c r="B1949" s="107">
        <v>5</v>
      </c>
      <c r="C1949" s="107">
        <v>3</v>
      </c>
      <c r="D1949" s="107" t="s">
        <v>584</v>
      </c>
      <c r="E1949" s="107" t="s">
        <v>585</v>
      </c>
      <c r="F1949" s="161">
        <v>45353</v>
      </c>
      <c r="G1949" s="107">
        <f t="shared" si="63"/>
        <v>5</v>
      </c>
    </row>
    <row r="1950" spans="1:7">
      <c r="A1950" s="107">
        <v>40</v>
      </c>
      <c r="B1950" s="107">
        <v>5</v>
      </c>
      <c r="C1950" s="107">
        <v>4</v>
      </c>
      <c r="D1950" s="107" t="s">
        <v>584</v>
      </c>
      <c r="E1950" s="107" t="s">
        <v>585</v>
      </c>
      <c r="F1950" s="107"/>
      <c r="G1950" s="107"/>
    </row>
    <row r="1951" spans="1:7">
      <c r="A1951" s="107">
        <v>40</v>
      </c>
      <c r="B1951" s="107">
        <v>5</v>
      </c>
      <c r="C1951" s="107">
        <v>5</v>
      </c>
      <c r="D1951" s="107" t="s">
        <v>584</v>
      </c>
      <c r="E1951" s="107" t="s">
        <v>585</v>
      </c>
      <c r="F1951" s="161">
        <v>45355</v>
      </c>
      <c r="G1951" s="107">
        <f t="shared" ref="G1951:G1957" si="64">DATEDIF(G$2,F1951,"d")</f>
        <v>7</v>
      </c>
    </row>
    <row r="1952" spans="1:7">
      <c r="A1952" s="107">
        <v>40</v>
      </c>
      <c r="B1952" s="107">
        <v>5</v>
      </c>
      <c r="C1952" s="107">
        <v>6</v>
      </c>
      <c r="D1952" s="107" t="s">
        <v>584</v>
      </c>
      <c r="E1952" s="107" t="s">
        <v>585</v>
      </c>
      <c r="F1952" s="161">
        <v>45354</v>
      </c>
      <c r="G1952" s="107">
        <f t="shared" si="64"/>
        <v>6</v>
      </c>
    </row>
    <row r="1953" spans="1:7">
      <c r="A1953" s="107">
        <v>40</v>
      </c>
      <c r="B1953" s="107">
        <v>5</v>
      </c>
      <c r="C1953" s="107">
        <v>7</v>
      </c>
      <c r="D1953" s="107" t="s">
        <v>584</v>
      </c>
      <c r="E1953" s="107" t="s">
        <v>585</v>
      </c>
      <c r="F1953" s="161">
        <v>45354</v>
      </c>
      <c r="G1953" s="107">
        <f t="shared" si="64"/>
        <v>6</v>
      </c>
    </row>
    <row r="1954" spans="1:7">
      <c r="A1954" s="107">
        <v>40</v>
      </c>
      <c r="B1954" s="107">
        <v>5</v>
      </c>
      <c r="C1954" s="107">
        <v>8</v>
      </c>
      <c r="D1954" s="107" t="s">
        <v>584</v>
      </c>
      <c r="E1954" s="107" t="s">
        <v>585</v>
      </c>
      <c r="F1954" s="161">
        <v>45353</v>
      </c>
      <c r="G1954" s="107">
        <f t="shared" si="64"/>
        <v>5</v>
      </c>
    </row>
    <row r="1955" spans="1:7">
      <c r="A1955" s="107">
        <v>40</v>
      </c>
      <c r="B1955" s="107">
        <v>6</v>
      </c>
      <c r="C1955" s="107">
        <v>1</v>
      </c>
      <c r="D1955" s="107" t="s">
        <v>586</v>
      </c>
      <c r="E1955" s="107" t="s">
        <v>587</v>
      </c>
      <c r="F1955" s="161">
        <v>45352</v>
      </c>
      <c r="G1955" s="107">
        <f t="shared" si="64"/>
        <v>4</v>
      </c>
    </row>
    <row r="1956" spans="1:7">
      <c r="A1956" s="107">
        <v>40</v>
      </c>
      <c r="B1956" s="107">
        <v>6</v>
      </c>
      <c r="C1956" s="107">
        <v>2</v>
      </c>
      <c r="D1956" s="107" t="s">
        <v>586</v>
      </c>
      <c r="E1956" s="107" t="s">
        <v>587</v>
      </c>
      <c r="F1956" s="161">
        <v>45353</v>
      </c>
      <c r="G1956" s="107">
        <f t="shared" si="64"/>
        <v>5</v>
      </c>
    </row>
    <row r="1957" spans="1:7">
      <c r="A1957" s="107">
        <v>40</v>
      </c>
      <c r="B1957" s="107">
        <v>6</v>
      </c>
      <c r="C1957" s="107">
        <v>3</v>
      </c>
      <c r="D1957" s="107" t="s">
        <v>586</v>
      </c>
      <c r="E1957" s="107" t="s">
        <v>587</v>
      </c>
      <c r="F1957" s="161">
        <v>45353</v>
      </c>
      <c r="G1957" s="107">
        <f t="shared" si="64"/>
        <v>5</v>
      </c>
    </row>
    <row r="1958" spans="1:7">
      <c r="A1958" s="107">
        <v>40</v>
      </c>
      <c r="B1958" s="107">
        <v>6</v>
      </c>
      <c r="C1958" s="107">
        <v>4</v>
      </c>
      <c r="D1958" s="107" t="s">
        <v>586</v>
      </c>
      <c r="E1958" s="107" t="s">
        <v>587</v>
      </c>
      <c r="F1958" s="107"/>
      <c r="G1958" s="107"/>
    </row>
    <row r="1959" spans="1:7">
      <c r="A1959" s="107">
        <v>40</v>
      </c>
      <c r="B1959" s="107">
        <v>6</v>
      </c>
      <c r="C1959" s="107">
        <v>5</v>
      </c>
      <c r="D1959" s="107" t="s">
        <v>586</v>
      </c>
      <c r="E1959" s="107" t="s">
        <v>587</v>
      </c>
      <c r="F1959" s="161">
        <v>45356</v>
      </c>
      <c r="G1959" s="107">
        <f>DATEDIF(G$2,F1959,"d")</f>
        <v>8</v>
      </c>
    </row>
    <row r="1960" spans="1:7">
      <c r="A1960" s="107">
        <v>40</v>
      </c>
      <c r="B1960" s="107">
        <v>6</v>
      </c>
      <c r="C1960" s="107">
        <v>6</v>
      </c>
      <c r="D1960" s="107" t="s">
        <v>586</v>
      </c>
      <c r="E1960" s="107" t="s">
        <v>587</v>
      </c>
      <c r="F1960" s="161">
        <v>45352</v>
      </c>
      <c r="G1960" s="107">
        <f>DATEDIF(G$2,F1960,"d")</f>
        <v>4</v>
      </c>
    </row>
    <row r="1961" spans="1:7">
      <c r="A1961" s="107">
        <v>40</v>
      </c>
      <c r="B1961" s="107">
        <v>6</v>
      </c>
      <c r="C1961" s="107">
        <v>7</v>
      </c>
      <c r="D1961" s="107" t="s">
        <v>586</v>
      </c>
      <c r="E1961" s="107" t="s">
        <v>587</v>
      </c>
      <c r="F1961" s="161">
        <v>45352</v>
      </c>
      <c r="G1961" s="107">
        <f>DATEDIF(G$2,F1961,"d")</f>
        <v>4</v>
      </c>
    </row>
    <row r="1962" spans="1:7">
      <c r="A1962" s="107">
        <v>40</v>
      </c>
      <c r="B1962" s="107">
        <v>6</v>
      </c>
      <c r="C1962" s="107">
        <v>8</v>
      </c>
      <c r="D1962" s="107" t="s">
        <v>586</v>
      </c>
      <c r="E1962" s="107" t="s">
        <v>587</v>
      </c>
      <c r="F1962" s="161">
        <v>45352</v>
      </c>
      <c r="G1962" s="107">
        <f>DATEDIF(G$2,F1962,"d")</f>
        <v>4</v>
      </c>
    </row>
    <row r="1964" spans="1:7">
      <c r="A1964" s="107">
        <v>41</v>
      </c>
      <c r="B1964" s="107">
        <v>1</v>
      </c>
      <c r="C1964" s="107">
        <v>1</v>
      </c>
      <c r="D1964" s="107" t="s">
        <v>588</v>
      </c>
      <c r="E1964" s="107" t="s">
        <v>589</v>
      </c>
      <c r="F1964" s="161">
        <v>45353</v>
      </c>
      <c r="G1964" s="107">
        <f t="shared" ref="G1964:G2006" si="65">DATEDIF(G$2,F1964,"d")</f>
        <v>5</v>
      </c>
    </row>
    <row r="1965" spans="1:7">
      <c r="A1965" s="107">
        <v>41</v>
      </c>
      <c r="B1965" s="107">
        <v>1</v>
      </c>
      <c r="C1965" s="107">
        <v>2</v>
      </c>
      <c r="D1965" s="107" t="s">
        <v>588</v>
      </c>
      <c r="E1965" s="107" t="s">
        <v>589</v>
      </c>
      <c r="F1965" s="161">
        <v>45353</v>
      </c>
      <c r="G1965" s="107">
        <f t="shared" si="65"/>
        <v>5</v>
      </c>
    </row>
    <row r="1966" spans="1:7">
      <c r="A1966" s="107">
        <v>41</v>
      </c>
      <c r="B1966" s="107">
        <v>1</v>
      </c>
      <c r="C1966" s="107">
        <v>3</v>
      </c>
      <c r="D1966" s="107" t="s">
        <v>588</v>
      </c>
      <c r="E1966" s="107" t="s">
        <v>589</v>
      </c>
      <c r="F1966" s="161">
        <v>45353</v>
      </c>
      <c r="G1966" s="107">
        <f t="shared" si="65"/>
        <v>5</v>
      </c>
    </row>
    <row r="1967" spans="1:7">
      <c r="A1967" s="107">
        <v>41</v>
      </c>
      <c r="B1967" s="107">
        <v>1</v>
      </c>
      <c r="C1967" s="107">
        <v>4</v>
      </c>
      <c r="D1967" s="107" t="s">
        <v>588</v>
      </c>
      <c r="E1967" s="107" t="s">
        <v>589</v>
      </c>
      <c r="F1967" s="161">
        <v>45353</v>
      </c>
      <c r="G1967" s="107">
        <f t="shared" si="65"/>
        <v>5</v>
      </c>
    </row>
    <row r="1968" spans="1:7">
      <c r="A1968" s="107">
        <v>41</v>
      </c>
      <c r="B1968" s="107">
        <v>1</v>
      </c>
      <c r="C1968" s="107">
        <v>5</v>
      </c>
      <c r="D1968" s="107" t="s">
        <v>588</v>
      </c>
      <c r="E1968" s="107" t="s">
        <v>589</v>
      </c>
      <c r="F1968" s="161">
        <v>45353</v>
      </c>
      <c r="G1968" s="107">
        <f t="shared" si="65"/>
        <v>5</v>
      </c>
    </row>
    <row r="1969" spans="1:7">
      <c r="A1969" s="107">
        <v>41</v>
      </c>
      <c r="B1969" s="107">
        <v>1</v>
      </c>
      <c r="C1969" s="107">
        <v>6</v>
      </c>
      <c r="D1969" s="107" t="s">
        <v>588</v>
      </c>
      <c r="E1969" s="107" t="s">
        <v>589</v>
      </c>
      <c r="F1969" s="161">
        <v>45353</v>
      </c>
      <c r="G1969" s="107">
        <f t="shared" si="65"/>
        <v>5</v>
      </c>
    </row>
    <row r="1970" spans="1:7">
      <c r="A1970" s="107">
        <v>41</v>
      </c>
      <c r="B1970" s="107">
        <v>1</v>
      </c>
      <c r="C1970" s="107">
        <v>7</v>
      </c>
      <c r="D1970" s="107" t="s">
        <v>588</v>
      </c>
      <c r="E1970" s="107" t="s">
        <v>589</v>
      </c>
      <c r="F1970" s="161">
        <v>45353</v>
      </c>
      <c r="G1970" s="107">
        <f t="shared" si="65"/>
        <v>5</v>
      </c>
    </row>
    <row r="1971" spans="1:7">
      <c r="A1971" s="107">
        <v>41</v>
      </c>
      <c r="B1971" s="107">
        <v>1</v>
      </c>
      <c r="C1971" s="107">
        <v>8</v>
      </c>
      <c r="D1971" s="107" t="s">
        <v>588</v>
      </c>
      <c r="E1971" s="107" t="s">
        <v>589</v>
      </c>
      <c r="F1971" s="161">
        <v>45353</v>
      </c>
      <c r="G1971" s="107">
        <f t="shared" si="65"/>
        <v>5</v>
      </c>
    </row>
    <row r="1972" spans="1:7">
      <c r="A1972" s="107">
        <v>41</v>
      </c>
      <c r="B1972" s="107">
        <v>2</v>
      </c>
      <c r="C1972" s="107">
        <v>1</v>
      </c>
      <c r="D1972" s="107" t="s">
        <v>590</v>
      </c>
      <c r="E1972" s="107" t="s">
        <v>591</v>
      </c>
      <c r="F1972" s="161">
        <v>45353</v>
      </c>
      <c r="G1972" s="107">
        <f t="shared" si="65"/>
        <v>5</v>
      </c>
    </row>
    <row r="1973" spans="1:7">
      <c r="A1973" s="107">
        <v>41</v>
      </c>
      <c r="B1973" s="107">
        <v>2</v>
      </c>
      <c r="C1973" s="107">
        <v>2</v>
      </c>
      <c r="D1973" s="107" t="s">
        <v>590</v>
      </c>
      <c r="E1973" s="107" t="s">
        <v>591</v>
      </c>
      <c r="F1973" s="161">
        <v>45353</v>
      </c>
      <c r="G1973" s="107">
        <f t="shared" si="65"/>
        <v>5</v>
      </c>
    </row>
    <row r="1974" spans="1:7">
      <c r="A1974" s="107">
        <v>41</v>
      </c>
      <c r="B1974" s="107">
        <v>2</v>
      </c>
      <c r="C1974" s="107">
        <v>3</v>
      </c>
      <c r="D1974" s="107" t="s">
        <v>590</v>
      </c>
      <c r="E1974" s="107" t="s">
        <v>591</v>
      </c>
      <c r="F1974" s="161">
        <v>45353</v>
      </c>
      <c r="G1974" s="107">
        <f t="shared" si="65"/>
        <v>5</v>
      </c>
    </row>
    <row r="1975" spans="1:7">
      <c r="A1975" s="107">
        <v>41</v>
      </c>
      <c r="B1975" s="107">
        <v>2</v>
      </c>
      <c r="C1975" s="107">
        <v>4</v>
      </c>
      <c r="D1975" s="107" t="s">
        <v>590</v>
      </c>
      <c r="E1975" s="107" t="s">
        <v>591</v>
      </c>
      <c r="F1975" s="161">
        <v>45353</v>
      </c>
      <c r="G1975" s="107">
        <f t="shared" si="65"/>
        <v>5</v>
      </c>
    </row>
    <row r="1976" spans="1:7">
      <c r="A1976" s="107">
        <v>41</v>
      </c>
      <c r="B1976" s="107">
        <v>2</v>
      </c>
      <c r="C1976" s="107">
        <v>5</v>
      </c>
      <c r="D1976" s="107" t="s">
        <v>590</v>
      </c>
      <c r="E1976" s="107" t="s">
        <v>591</v>
      </c>
      <c r="F1976" s="161">
        <v>45352</v>
      </c>
      <c r="G1976" s="107">
        <f t="shared" si="65"/>
        <v>4</v>
      </c>
    </row>
    <row r="1977" spans="1:7">
      <c r="A1977" s="107">
        <v>41</v>
      </c>
      <c r="B1977" s="107">
        <v>2</v>
      </c>
      <c r="C1977" s="107">
        <v>6</v>
      </c>
      <c r="D1977" s="107" t="s">
        <v>590</v>
      </c>
      <c r="E1977" s="107" t="s">
        <v>591</v>
      </c>
      <c r="F1977" s="161">
        <v>45353</v>
      </c>
      <c r="G1977" s="107">
        <f t="shared" si="65"/>
        <v>5</v>
      </c>
    </row>
    <row r="1978" spans="1:7">
      <c r="A1978" s="107">
        <v>41</v>
      </c>
      <c r="B1978" s="107">
        <v>2</v>
      </c>
      <c r="C1978" s="107">
        <v>7</v>
      </c>
      <c r="D1978" s="107" t="s">
        <v>590</v>
      </c>
      <c r="E1978" s="107" t="s">
        <v>591</v>
      </c>
      <c r="F1978" s="161">
        <v>45353</v>
      </c>
      <c r="G1978" s="107">
        <f t="shared" si="65"/>
        <v>5</v>
      </c>
    </row>
    <row r="1979" spans="1:7">
      <c r="A1979" s="107">
        <v>41</v>
      </c>
      <c r="B1979" s="107">
        <v>2</v>
      </c>
      <c r="C1979" s="107">
        <v>8</v>
      </c>
      <c r="D1979" s="107" t="s">
        <v>590</v>
      </c>
      <c r="E1979" s="107" t="s">
        <v>591</v>
      </c>
      <c r="F1979" s="161">
        <v>45352</v>
      </c>
      <c r="G1979" s="107">
        <f t="shared" si="65"/>
        <v>4</v>
      </c>
    </row>
    <row r="1980" spans="1:7">
      <c r="A1980" s="107">
        <v>41</v>
      </c>
      <c r="B1980" s="107">
        <v>3</v>
      </c>
      <c r="C1980" s="107">
        <v>1</v>
      </c>
      <c r="D1980" s="107" t="s">
        <v>592</v>
      </c>
      <c r="E1980" s="107" t="s">
        <v>593</v>
      </c>
      <c r="F1980" s="161">
        <v>45353</v>
      </c>
      <c r="G1980" s="107">
        <f t="shared" si="65"/>
        <v>5</v>
      </c>
    </row>
    <row r="1981" spans="1:7">
      <c r="A1981" s="107">
        <v>41</v>
      </c>
      <c r="B1981" s="107">
        <v>3</v>
      </c>
      <c r="C1981" s="107">
        <v>2</v>
      </c>
      <c r="D1981" s="107" t="s">
        <v>592</v>
      </c>
      <c r="E1981" s="107" t="s">
        <v>593</v>
      </c>
      <c r="F1981" s="161">
        <v>45352</v>
      </c>
      <c r="G1981" s="107">
        <f t="shared" si="65"/>
        <v>4</v>
      </c>
    </row>
    <row r="1982" spans="1:7">
      <c r="A1982" s="107">
        <v>41</v>
      </c>
      <c r="B1982" s="107">
        <v>3</v>
      </c>
      <c r="C1982" s="107">
        <v>3</v>
      </c>
      <c r="D1982" s="107" t="s">
        <v>592</v>
      </c>
      <c r="E1982" s="107" t="s">
        <v>593</v>
      </c>
      <c r="F1982" s="161">
        <v>45353</v>
      </c>
      <c r="G1982" s="107">
        <f t="shared" si="65"/>
        <v>5</v>
      </c>
    </row>
    <row r="1983" spans="1:7">
      <c r="A1983" s="107">
        <v>41</v>
      </c>
      <c r="B1983" s="107">
        <v>3</v>
      </c>
      <c r="C1983" s="107">
        <v>4</v>
      </c>
      <c r="D1983" s="107" t="s">
        <v>592</v>
      </c>
      <c r="E1983" s="107" t="s">
        <v>593</v>
      </c>
      <c r="F1983" s="161">
        <v>45353</v>
      </c>
      <c r="G1983" s="107">
        <f t="shared" si="65"/>
        <v>5</v>
      </c>
    </row>
    <row r="1984" spans="1:7">
      <c r="A1984" s="107">
        <v>41</v>
      </c>
      <c r="B1984" s="107">
        <v>3</v>
      </c>
      <c r="C1984" s="107">
        <v>5</v>
      </c>
      <c r="D1984" s="107" t="s">
        <v>592</v>
      </c>
      <c r="E1984" s="107" t="s">
        <v>593</v>
      </c>
      <c r="F1984" s="161">
        <v>45353</v>
      </c>
      <c r="G1984" s="107">
        <f t="shared" si="65"/>
        <v>5</v>
      </c>
    </row>
    <row r="1985" spans="1:7">
      <c r="A1985" s="107">
        <v>41</v>
      </c>
      <c r="B1985" s="107">
        <v>3</v>
      </c>
      <c r="C1985" s="107">
        <v>6</v>
      </c>
      <c r="D1985" s="107" t="s">
        <v>592</v>
      </c>
      <c r="E1985" s="107" t="s">
        <v>593</v>
      </c>
      <c r="F1985" s="161">
        <v>45352</v>
      </c>
      <c r="G1985" s="107">
        <f t="shared" si="65"/>
        <v>4</v>
      </c>
    </row>
    <row r="1986" spans="1:7">
      <c r="A1986" s="107">
        <v>41</v>
      </c>
      <c r="B1986" s="107">
        <v>3</v>
      </c>
      <c r="C1986" s="107">
        <v>7</v>
      </c>
      <c r="D1986" s="107" t="s">
        <v>592</v>
      </c>
      <c r="E1986" s="107" t="s">
        <v>593</v>
      </c>
      <c r="F1986" s="161">
        <v>45356</v>
      </c>
      <c r="G1986" s="107">
        <f t="shared" si="65"/>
        <v>8</v>
      </c>
    </row>
    <row r="1987" spans="1:7">
      <c r="A1987" s="107">
        <v>41</v>
      </c>
      <c r="B1987" s="107">
        <v>3</v>
      </c>
      <c r="C1987" s="107">
        <v>8</v>
      </c>
      <c r="D1987" s="107" t="s">
        <v>592</v>
      </c>
      <c r="E1987" s="107" t="s">
        <v>593</v>
      </c>
      <c r="F1987" s="161">
        <v>45353</v>
      </c>
      <c r="G1987" s="107">
        <f t="shared" si="65"/>
        <v>5</v>
      </c>
    </row>
    <row r="1988" spans="1:7">
      <c r="A1988" s="107">
        <v>41</v>
      </c>
      <c r="B1988" s="107">
        <v>4</v>
      </c>
      <c r="C1988" s="107">
        <v>1</v>
      </c>
      <c r="D1988" s="107" t="s">
        <v>594</v>
      </c>
      <c r="E1988" s="107" t="s">
        <v>595</v>
      </c>
      <c r="F1988" s="161">
        <v>45352</v>
      </c>
      <c r="G1988" s="107">
        <f t="shared" si="65"/>
        <v>4</v>
      </c>
    </row>
    <row r="1989" spans="1:7">
      <c r="A1989" s="107">
        <v>41</v>
      </c>
      <c r="B1989" s="107">
        <v>4</v>
      </c>
      <c r="C1989" s="107">
        <v>2</v>
      </c>
      <c r="D1989" s="107" t="s">
        <v>594</v>
      </c>
      <c r="E1989" s="107" t="s">
        <v>595</v>
      </c>
      <c r="F1989" s="161">
        <v>45352</v>
      </c>
      <c r="G1989" s="107">
        <f t="shared" si="65"/>
        <v>4</v>
      </c>
    </row>
    <row r="1990" spans="1:7">
      <c r="A1990" s="107">
        <v>41</v>
      </c>
      <c r="B1990" s="107">
        <v>4</v>
      </c>
      <c r="C1990" s="107">
        <v>3</v>
      </c>
      <c r="D1990" s="107" t="s">
        <v>594</v>
      </c>
      <c r="E1990" s="107" t="s">
        <v>595</v>
      </c>
      <c r="F1990" s="161">
        <v>45352</v>
      </c>
      <c r="G1990" s="107">
        <f t="shared" si="65"/>
        <v>4</v>
      </c>
    </row>
    <row r="1991" spans="1:7">
      <c r="A1991" s="107">
        <v>41</v>
      </c>
      <c r="B1991" s="107">
        <v>4</v>
      </c>
      <c r="C1991" s="107">
        <v>4</v>
      </c>
      <c r="D1991" s="107" t="s">
        <v>594</v>
      </c>
      <c r="E1991" s="107" t="s">
        <v>595</v>
      </c>
      <c r="F1991" s="161">
        <v>45352</v>
      </c>
      <c r="G1991" s="107">
        <f t="shared" si="65"/>
        <v>4</v>
      </c>
    </row>
    <row r="1992" spans="1:7">
      <c r="A1992" s="107">
        <v>41</v>
      </c>
      <c r="B1992" s="107">
        <v>4</v>
      </c>
      <c r="C1992" s="107">
        <v>5</v>
      </c>
      <c r="D1992" s="107" t="s">
        <v>594</v>
      </c>
      <c r="E1992" s="107" t="s">
        <v>595</v>
      </c>
      <c r="F1992" s="161">
        <v>45352</v>
      </c>
      <c r="G1992" s="107">
        <f t="shared" si="65"/>
        <v>4</v>
      </c>
    </row>
    <row r="1993" spans="1:7">
      <c r="A1993" s="107">
        <v>41</v>
      </c>
      <c r="B1993" s="107">
        <v>4</v>
      </c>
      <c r="C1993" s="107">
        <v>6</v>
      </c>
      <c r="D1993" s="107" t="s">
        <v>594</v>
      </c>
      <c r="E1993" s="107" t="s">
        <v>595</v>
      </c>
      <c r="F1993" s="161">
        <v>45353</v>
      </c>
      <c r="G1993" s="107">
        <f t="shared" si="65"/>
        <v>5</v>
      </c>
    </row>
    <row r="1994" spans="1:7">
      <c r="A1994" s="107">
        <v>41</v>
      </c>
      <c r="B1994" s="107">
        <v>4</v>
      </c>
      <c r="C1994" s="107">
        <v>7</v>
      </c>
      <c r="D1994" s="107" t="s">
        <v>594</v>
      </c>
      <c r="E1994" s="107" t="s">
        <v>595</v>
      </c>
      <c r="F1994" s="161">
        <v>45352</v>
      </c>
      <c r="G1994" s="107">
        <f t="shared" si="65"/>
        <v>4</v>
      </c>
    </row>
    <row r="1995" spans="1:7">
      <c r="A1995" s="107">
        <v>41</v>
      </c>
      <c r="B1995" s="107">
        <v>4</v>
      </c>
      <c r="C1995" s="107">
        <v>8</v>
      </c>
      <c r="D1995" s="107" t="s">
        <v>594</v>
      </c>
      <c r="E1995" s="107" t="s">
        <v>595</v>
      </c>
      <c r="F1995" s="161">
        <v>45352</v>
      </c>
      <c r="G1995" s="107">
        <f t="shared" si="65"/>
        <v>4</v>
      </c>
    </row>
    <row r="1996" spans="1:7">
      <c r="A1996" s="107">
        <v>41</v>
      </c>
      <c r="B1996" s="107">
        <v>5</v>
      </c>
      <c r="C1996" s="107">
        <v>1</v>
      </c>
      <c r="D1996" s="107" t="s">
        <v>596</v>
      </c>
      <c r="E1996" s="107" t="s">
        <v>597</v>
      </c>
      <c r="F1996" s="161">
        <v>45353</v>
      </c>
      <c r="G1996" s="107">
        <f t="shared" si="65"/>
        <v>5</v>
      </c>
    </row>
    <row r="1997" spans="1:7">
      <c r="A1997" s="107">
        <v>41</v>
      </c>
      <c r="B1997" s="107">
        <v>5</v>
      </c>
      <c r="C1997" s="107">
        <v>2</v>
      </c>
      <c r="D1997" s="107" t="s">
        <v>596</v>
      </c>
      <c r="E1997" s="107" t="s">
        <v>597</v>
      </c>
      <c r="F1997" s="161">
        <v>45352</v>
      </c>
      <c r="G1997" s="107">
        <f t="shared" si="65"/>
        <v>4</v>
      </c>
    </row>
    <row r="1998" spans="1:7">
      <c r="A1998" s="107">
        <v>41</v>
      </c>
      <c r="B1998" s="107">
        <v>5</v>
      </c>
      <c r="C1998" s="107">
        <v>3</v>
      </c>
      <c r="D1998" s="107" t="s">
        <v>596</v>
      </c>
      <c r="E1998" s="107" t="s">
        <v>597</v>
      </c>
      <c r="F1998" s="161">
        <v>45352</v>
      </c>
      <c r="G1998" s="107">
        <f t="shared" si="65"/>
        <v>4</v>
      </c>
    </row>
    <row r="1999" spans="1:7">
      <c r="A1999" s="107">
        <v>41</v>
      </c>
      <c r="B1999" s="107">
        <v>5</v>
      </c>
      <c r="C1999" s="107">
        <v>4</v>
      </c>
      <c r="D1999" s="107" t="s">
        <v>596</v>
      </c>
      <c r="E1999" s="107" t="s">
        <v>597</v>
      </c>
      <c r="F1999" s="161">
        <v>45353</v>
      </c>
      <c r="G1999" s="107">
        <f t="shared" si="65"/>
        <v>5</v>
      </c>
    </row>
    <row r="2000" spans="1:7">
      <c r="A2000" s="107">
        <v>41</v>
      </c>
      <c r="B2000" s="107">
        <v>5</v>
      </c>
      <c r="C2000" s="107">
        <v>5</v>
      </c>
      <c r="D2000" s="107" t="s">
        <v>596</v>
      </c>
      <c r="E2000" s="107" t="s">
        <v>597</v>
      </c>
      <c r="F2000" s="161">
        <v>45352</v>
      </c>
      <c r="G2000" s="107">
        <f t="shared" si="65"/>
        <v>4</v>
      </c>
    </row>
    <row r="2001" spans="1:7">
      <c r="A2001" s="107">
        <v>41</v>
      </c>
      <c r="B2001" s="107">
        <v>5</v>
      </c>
      <c r="C2001" s="107">
        <v>6</v>
      </c>
      <c r="D2001" s="107" t="s">
        <v>596</v>
      </c>
      <c r="E2001" s="107" t="s">
        <v>597</v>
      </c>
      <c r="F2001" s="161">
        <v>45352</v>
      </c>
      <c r="G2001" s="107">
        <f t="shared" si="65"/>
        <v>4</v>
      </c>
    </row>
    <row r="2002" spans="1:7">
      <c r="A2002" s="107">
        <v>41</v>
      </c>
      <c r="B2002" s="107">
        <v>5</v>
      </c>
      <c r="C2002" s="107">
        <v>7</v>
      </c>
      <c r="D2002" s="107" t="s">
        <v>596</v>
      </c>
      <c r="E2002" s="107" t="s">
        <v>597</v>
      </c>
      <c r="F2002" s="161">
        <v>45352</v>
      </c>
      <c r="G2002" s="107">
        <f t="shared" si="65"/>
        <v>4</v>
      </c>
    </row>
    <row r="2003" spans="1:7">
      <c r="A2003" s="107">
        <v>41</v>
      </c>
      <c r="B2003" s="107">
        <v>5</v>
      </c>
      <c r="C2003" s="107">
        <v>8</v>
      </c>
      <c r="D2003" s="107" t="s">
        <v>596</v>
      </c>
      <c r="E2003" s="107" t="s">
        <v>597</v>
      </c>
      <c r="F2003" s="161">
        <v>45352</v>
      </c>
      <c r="G2003" s="107">
        <f t="shared" si="65"/>
        <v>4</v>
      </c>
    </row>
    <row r="2004" spans="1:7">
      <c r="A2004" s="107">
        <v>41</v>
      </c>
      <c r="B2004" s="107">
        <v>6</v>
      </c>
      <c r="C2004" s="107">
        <v>1</v>
      </c>
      <c r="D2004" s="107" t="s">
        <v>598</v>
      </c>
      <c r="E2004" s="107" t="s">
        <v>599</v>
      </c>
      <c r="F2004" s="161">
        <v>45352</v>
      </c>
      <c r="G2004" s="107">
        <f t="shared" si="65"/>
        <v>4</v>
      </c>
    </row>
    <row r="2005" spans="1:7">
      <c r="A2005" s="107">
        <v>41</v>
      </c>
      <c r="B2005" s="107">
        <v>6</v>
      </c>
      <c r="C2005" s="107">
        <v>2</v>
      </c>
      <c r="D2005" s="107" t="s">
        <v>598</v>
      </c>
      <c r="E2005" s="107" t="s">
        <v>599</v>
      </c>
      <c r="F2005" s="161">
        <v>45353</v>
      </c>
      <c r="G2005" s="107">
        <f t="shared" si="65"/>
        <v>5</v>
      </c>
    </row>
    <row r="2006" spans="1:7">
      <c r="A2006" s="107">
        <v>41</v>
      </c>
      <c r="B2006" s="107">
        <v>6</v>
      </c>
      <c r="C2006" s="107">
        <v>3</v>
      </c>
      <c r="D2006" s="107" t="s">
        <v>598</v>
      </c>
      <c r="E2006" s="107" t="s">
        <v>599</v>
      </c>
      <c r="F2006" s="161">
        <v>45353</v>
      </c>
      <c r="G2006" s="107">
        <f t="shared" si="65"/>
        <v>5</v>
      </c>
    </row>
    <row r="2007" spans="1:7">
      <c r="A2007" s="107">
        <v>41</v>
      </c>
      <c r="B2007" s="107">
        <v>6</v>
      </c>
      <c r="C2007" s="107">
        <v>4</v>
      </c>
      <c r="D2007" s="107" t="s">
        <v>598</v>
      </c>
      <c r="E2007" s="107" t="s">
        <v>599</v>
      </c>
      <c r="F2007" s="107"/>
      <c r="G2007" s="107"/>
    </row>
    <row r="2008" spans="1:7">
      <c r="A2008" s="107">
        <v>41</v>
      </c>
      <c r="B2008" s="107">
        <v>6</v>
      </c>
      <c r="C2008" s="107">
        <v>5</v>
      </c>
      <c r="D2008" s="107" t="s">
        <v>598</v>
      </c>
      <c r="E2008" s="107" t="s">
        <v>599</v>
      </c>
      <c r="F2008" s="107"/>
      <c r="G2008" s="107"/>
    </row>
    <row r="2009" spans="1:7">
      <c r="A2009" s="107">
        <v>41</v>
      </c>
      <c r="B2009" s="107">
        <v>6</v>
      </c>
      <c r="C2009" s="107">
        <v>6</v>
      </c>
      <c r="D2009" s="107" t="s">
        <v>598</v>
      </c>
      <c r="E2009" s="107" t="s">
        <v>599</v>
      </c>
      <c r="F2009" s="161">
        <v>45353</v>
      </c>
      <c r="G2009" s="107">
        <f>DATEDIF(G$2,F2009,"d")</f>
        <v>5</v>
      </c>
    </row>
    <row r="2010" spans="1:7">
      <c r="A2010" s="107">
        <v>41</v>
      </c>
      <c r="B2010" s="107">
        <v>6</v>
      </c>
      <c r="C2010" s="107">
        <v>7</v>
      </c>
      <c r="D2010" s="107" t="s">
        <v>598</v>
      </c>
      <c r="E2010" s="107" t="s">
        <v>599</v>
      </c>
      <c r="F2010" s="161">
        <v>45352</v>
      </c>
      <c r="G2010" s="107">
        <f>DATEDIF(G$2,F2010,"d")</f>
        <v>4</v>
      </c>
    </row>
    <row r="2011" spans="1:7">
      <c r="A2011" s="107">
        <v>41</v>
      </c>
      <c r="B2011" s="107">
        <v>6</v>
      </c>
      <c r="C2011" s="107">
        <v>8</v>
      </c>
      <c r="D2011" s="107" t="s">
        <v>598</v>
      </c>
      <c r="E2011" s="107" t="s">
        <v>599</v>
      </c>
      <c r="F2011" s="161">
        <v>45352</v>
      </c>
      <c r="G2011" s="107">
        <f>DATEDIF(G$2,F2011,"d")</f>
        <v>4</v>
      </c>
    </row>
    <row r="2012" spans="1:7">
      <c r="D2012" s="139" t="s">
        <v>988</v>
      </c>
      <c r="E2012" s="139"/>
      <c r="F2012" s="139"/>
      <c r="G2012" s="139"/>
    </row>
    <row r="2013" spans="1:7">
      <c r="A2013" s="107">
        <v>42</v>
      </c>
      <c r="B2013" s="107">
        <v>1</v>
      </c>
      <c r="C2013" s="107">
        <v>1</v>
      </c>
      <c r="D2013" s="170" t="s">
        <v>600</v>
      </c>
      <c r="E2013" s="170" t="s">
        <v>601</v>
      </c>
      <c r="F2013" s="100">
        <v>45353</v>
      </c>
      <c r="G2013" s="170">
        <f>DATEDIF(G$2,F2013,"d")</f>
        <v>5</v>
      </c>
    </row>
    <row r="2014" spans="1:7">
      <c r="A2014" s="107">
        <v>42</v>
      </c>
      <c r="B2014" s="107">
        <v>1</v>
      </c>
      <c r="C2014" s="107">
        <v>2</v>
      </c>
      <c r="D2014" s="107" t="s">
        <v>600</v>
      </c>
      <c r="E2014" s="107" t="s">
        <v>601</v>
      </c>
      <c r="F2014" s="161">
        <v>45353</v>
      </c>
      <c r="G2014" s="107">
        <f>DATEDIF(G$2,F2014,"d")</f>
        <v>5</v>
      </c>
    </row>
    <row r="2015" spans="1:7">
      <c r="A2015" s="107">
        <v>42</v>
      </c>
      <c r="B2015" s="107">
        <v>1</v>
      </c>
      <c r="C2015" s="107">
        <v>3</v>
      </c>
      <c r="D2015" s="107" t="s">
        <v>600</v>
      </c>
      <c r="E2015" s="107" t="s">
        <v>601</v>
      </c>
      <c r="F2015" s="161">
        <v>45353</v>
      </c>
      <c r="G2015" s="107">
        <f>DATEDIF(G$2,F2015,"d")</f>
        <v>5</v>
      </c>
    </row>
    <row r="2016" spans="1:7">
      <c r="A2016" s="107">
        <v>42</v>
      </c>
      <c r="B2016" s="107">
        <v>1</v>
      </c>
      <c r="C2016" s="107">
        <v>4</v>
      </c>
      <c r="D2016" s="107" t="s">
        <v>600</v>
      </c>
      <c r="E2016" s="107" t="s">
        <v>601</v>
      </c>
      <c r="F2016" s="161">
        <v>45353</v>
      </c>
      <c r="G2016" s="107">
        <f>DATEDIF(G$2,F2016,"d")</f>
        <v>5</v>
      </c>
    </row>
    <row r="2017" spans="1:7">
      <c r="A2017" s="107">
        <v>42</v>
      </c>
      <c r="B2017" s="107">
        <v>1</v>
      </c>
      <c r="C2017" s="107">
        <v>5</v>
      </c>
      <c r="D2017" s="107" t="s">
        <v>600</v>
      </c>
      <c r="E2017" s="107" t="s">
        <v>601</v>
      </c>
      <c r="F2017" s="161">
        <v>45355</v>
      </c>
      <c r="G2017" s="107">
        <f>DATEDIF(G$2,F2017,"d")</f>
        <v>7</v>
      </c>
    </row>
    <row r="2018" spans="1:7">
      <c r="A2018" s="107">
        <v>42</v>
      </c>
      <c r="B2018" s="107">
        <v>1</v>
      </c>
      <c r="C2018" s="107">
        <v>6</v>
      </c>
      <c r="D2018" s="107" t="s">
        <v>600</v>
      </c>
      <c r="E2018" s="107" t="s">
        <v>601</v>
      </c>
      <c r="F2018" s="107"/>
      <c r="G2018" s="107"/>
    </row>
    <row r="2019" spans="1:7">
      <c r="A2019" s="107">
        <v>42</v>
      </c>
      <c r="B2019" s="107">
        <v>1</v>
      </c>
      <c r="C2019" s="107">
        <v>7</v>
      </c>
      <c r="D2019" s="107" t="s">
        <v>600</v>
      </c>
      <c r="E2019" s="107" t="s">
        <v>601</v>
      </c>
      <c r="F2019" s="161">
        <v>45353</v>
      </c>
      <c r="G2019" s="107">
        <f t="shared" ref="G2019:G2028" si="66">DATEDIF(G$2,F2019,"d")</f>
        <v>5</v>
      </c>
    </row>
    <row r="2020" spans="1:7">
      <c r="A2020" s="107">
        <v>42</v>
      </c>
      <c r="B2020" s="107">
        <v>1</v>
      </c>
      <c r="C2020" s="107">
        <v>8</v>
      </c>
      <c r="D2020" s="107" t="s">
        <v>600</v>
      </c>
      <c r="E2020" s="107" t="s">
        <v>601</v>
      </c>
      <c r="F2020" s="161">
        <v>45353</v>
      </c>
      <c r="G2020" s="107">
        <f t="shared" si="66"/>
        <v>5</v>
      </c>
    </row>
    <row r="2021" spans="1:7">
      <c r="A2021" s="107">
        <v>42</v>
      </c>
      <c r="B2021" s="107">
        <v>2</v>
      </c>
      <c r="C2021" s="107">
        <v>1</v>
      </c>
      <c r="D2021" s="107" t="s">
        <v>602</v>
      </c>
      <c r="E2021" s="107" t="s">
        <v>603</v>
      </c>
      <c r="F2021" s="161">
        <v>45353</v>
      </c>
      <c r="G2021" s="107">
        <f t="shared" si="66"/>
        <v>5</v>
      </c>
    </row>
    <row r="2022" spans="1:7">
      <c r="A2022" s="107">
        <v>42</v>
      </c>
      <c r="B2022" s="107">
        <v>2</v>
      </c>
      <c r="C2022" s="107">
        <v>2</v>
      </c>
      <c r="D2022" s="107" t="s">
        <v>602</v>
      </c>
      <c r="E2022" s="107" t="s">
        <v>603</v>
      </c>
      <c r="F2022" s="161">
        <v>45353</v>
      </c>
      <c r="G2022" s="107">
        <f t="shared" si="66"/>
        <v>5</v>
      </c>
    </row>
    <row r="2023" spans="1:7">
      <c r="A2023" s="107">
        <v>42</v>
      </c>
      <c r="B2023" s="107">
        <v>2</v>
      </c>
      <c r="C2023" s="107">
        <v>3</v>
      </c>
      <c r="D2023" s="107" t="s">
        <v>602</v>
      </c>
      <c r="E2023" s="107" t="s">
        <v>603</v>
      </c>
      <c r="F2023" s="161">
        <v>45354</v>
      </c>
      <c r="G2023" s="107">
        <f t="shared" si="66"/>
        <v>6</v>
      </c>
    </row>
    <row r="2024" spans="1:7">
      <c r="A2024" s="107">
        <v>42</v>
      </c>
      <c r="B2024" s="107">
        <v>2</v>
      </c>
      <c r="C2024" s="107">
        <v>4</v>
      </c>
      <c r="D2024" s="107" t="s">
        <v>602</v>
      </c>
      <c r="E2024" s="107" t="s">
        <v>603</v>
      </c>
      <c r="F2024" s="161">
        <v>45353</v>
      </c>
      <c r="G2024" s="107">
        <f t="shared" si="66"/>
        <v>5</v>
      </c>
    </row>
    <row r="2025" spans="1:7">
      <c r="A2025" s="107">
        <v>42</v>
      </c>
      <c r="B2025" s="107">
        <v>2</v>
      </c>
      <c r="C2025" s="107">
        <v>5</v>
      </c>
      <c r="D2025" s="107" t="s">
        <v>602</v>
      </c>
      <c r="E2025" s="107" t="s">
        <v>603</v>
      </c>
      <c r="F2025" s="161">
        <v>45353</v>
      </c>
      <c r="G2025" s="107">
        <f t="shared" si="66"/>
        <v>5</v>
      </c>
    </row>
    <row r="2026" spans="1:7">
      <c r="A2026" s="107">
        <v>42</v>
      </c>
      <c r="B2026" s="107">
        <v>2</v>
      </c>
      <c r="C2026" s="107">
        <v>6</v>
      </c>
      <c r="D2026" s="107" t="s">
        <v>602</v>
      </c>
      <c r="E2026" s="107" t="s">
        <v>603</v>
      </c>
      <c r="F2026" s="161">
        <v>45353</v>
      </c>
      <c r="G2026" s="107">
        <f t="shared" si="66"/>
        <v>5</v>
      </c>
    </row>
    <row r="2027" spans="1:7">
      <c r="A2027" s="107">
        <v>42</v>
      </c>
      <c r="B2027" s="107">
        <v>2</v>
      </c>
      <c r="C2027" s="107">
        <v>7</v>
      </c>
      <c r="D2027" s="107" t="s">
        <v>602</v>
      </c>
      <c r="E2027" s="107" t="s">
        <v>603</v>
      </c>
      <c r="F2027" s="161">
        <v>45353</v>
      </c>
      <c r="G2027" s="107">
        <f t="shared" si="66"/>
        <v>5</v>
      </c>
    </row>
    <row r="2028" spans="1:7">
      <c r="A2028" s="107">
        <v>42</v>
      </c>
      <c r="B2028" s="107">
        <v>2</v>
      </c>
      <c r="C2028" s="107">
        <v>8</v>
      </c>
      <c r="D2028" s="107" t="s">
        <v>602</v>
      </c>
      <c r="E2028" s="107" t="s">
        <v>603</v>
      </c>
      <c r="F2028" s="161">
        <v>45353</v>
      </c>
      <c r="G2028" s="107">
        <f t="shared" si="66"/>
        <v>5</v>
      </c>
    </row>
    <row r="2029" spans="1:7">
      <c r="A2029" s="107">
        <v>42</v>
      </c>
      <c r="B2029" s="107">
        <v>3</v>
      </c>
      <c r="C2029" s="107">
        <v>1</v>
      </c>
      <c r="D2029" s="107" t="s">
        <v>604</v>
      </c>
      <c r="E2029" s="107" t="s">
        <v>605</v>
      </c>
      <c r="F2029" s="107"/>
      <c r="G2029" s="107"/>
    </row>
    <row r="2030" spans="1:7">
      <c r="A2030" s="107">
        <v>42</v>
      </c>
      <c r="B2030" s="107">
        <v>3</v>
      </c>
      <c r="C2030" s="107">
        <v>2</v>
      </c>
      <c r="D2030" s="107" t="s">
        <v>604</v>
      </c>
      <c r="E2030" s="107" t="s">
        <v>605</v>
      </c>
      <c r="F2030" s="161">
        <v>45352</v>
      </c>
      <c r="G2030" s="107">
        <f>DATEDIF(G$2,F2030,"d")</f>
        <v>4</v>
      </c>
    </row>
    <row r="2031" spans="1:7">
      <c r="A2031" s="107">
        <v>42</v>
      </c>
      <c r="B2031" s="107">
        <v>3</v>
      </c>
      <c r="C2031" s="107">
        <v>3</v>
      </c>
      <c r="D2031" s="107" t="s">
        <v>604</v>
      </c>
      <c r="E2031" s="107" t="s">
        <v>605</v>
      </c>
      <c r="F2031" s="161">
        <v>45353</v>
      </c>
      <c r="G2031" s="107">
        <f>DATEDIF(G$2,F2031,"d")</f>
        <v>5</v>
      </c>
    </row>
    <row r="2032" spans="1:7">
      <c r="A2032" s="107">
        <v>42</v>
      </c>
      <c r="B2032" s="107">
        <v>3</v>
      </c>
      <c r="C2032" s="107">
        <v>4</v>
      </c>
      <c r="D2032" s="107" t="s">
        <v>604</v>
      </c>
      <c r="E2032" s="107" t="s">
        <v>605</v>
      </c>
      <c r="F2032" s="161">
        <v>45353</v>
      </c>
      <c r="G2032" s="107">
        <f>DATEDIF(G$2,F2032,"d")</f>
        <v>5</v>
      </c>
    </row>
    <row r="2033" spans="1:7">
      <c r="A2033" s="107">
        <v>42</v>
      </c>
      <c r="B2033" s="107">
        <v>3</v>
      </c>
      <c r="C2033" s="107">
        <v>5</v>
      </c>
      <c r="D2033" s="107" t="s">
        <v>604</v>
      </c>
      <c r="E2033" s="107" t="s">
        <v>605</v>
      </c>
      <c r="F2033" s="161">
        <v>45353</v>
      </c>
      <c r="G2033" s="107">
        <f>DATEDIF(G$2,F2033,"d")</f>
        <v>5</v>
      </c>
    </row>
    <row r="2034" spans="1:7">
      <c r="A2034" s="107">
        <v>42</v>
      </c>
      <c r="B2034" s="107">
        <v>3</v>
      </c>
      <c r="C2034" s="107">
        <v>6</v>
      </c>
      <c r="D2034" s="107" t="s">
        <v>604</v>
      </c>
      <c r="E2034" s="107" t="s">
        <v>605</v>
      </c>
      <c r="F2034" s="161">
        <v>45353</v>
      </c>
      <c r="G2034" s="107">
        <f>DATEDIF(G$2,F2034,"d")</f>
        <v>5</v>
      </c>
    </row>
    <row r="2035" spans="1:7">
      <c r="A2035" s="107">
        <v>42</v>
      </c>
      <c r="B2035" s="107">
        <v>3</v>
      </c>
      <c r="C2035" s="107">
        <v>7</v>
      </c>
      <c r="D2035" s="107" t="s">
        <v>604</v>
      </c>
      <c r="E2035" s="107" t="s">
        <v>605</v>
      </c>
      <c r="F2035" s="107"/>
      <c r="G2035" s="107"/>
    </row>
    <row r="2036" spans="1:7">
      <c r="A2036" s="107">
        <v>42</v>
      </c>
      <c r="B2036" s="107">
        <v>3</v>
      </c>
      <c r="C2036" s="107">
        <v>8</v>
      </c>
      <c r="D2036" s="107" t="s">
        <v>604</v>
      </c>
      <c r="E2036" s="107" t="s">
        <v>605</v>
      </c>
      <c r="F2036" s="161">
        <v>45353</v>
      </c>
      <c r="G2036" s="107">
        <f t="shared" ref="G2036:G2060" si="67">DATEDIF(G$2,F2036,"d")</f>
        <v>5</v>
      </c>
    </row>
    <row r="2037" spans="1:7">
      <c r="A2037" s="107">
        <v>42</v>
      </c>
      <c r="B2037" s="107">
        <v>4</v>
      </c>
      <c r="C2037" s="107">
        <v>1</v>
      </c>
      <c r="D2037" s="107" t="s">
        <v>606</v>
      </c>
      <c r="E2037" s="107" t="s">
        <v>607</v>
      </c>
      <c r="F2037" s="161">
        <v>45353</v>
      </c>
      <c r="G2037" s="107">
        <f t="shared" si="67"/>
        <v>5</v>
      </c>
    </row>
    <row r="2038" spans="1:7">
      <c r="A2038" s="107">
        <v>42</v>
      </c>
      <c r="B2038" s="107">
        <v>4</v>
      </c>
      <c r="C2038" s="107">
        <v>2</v>
      </c>
      <c r="D2038" s="107" t="s">
        <v>606</v>
      </c>
      <c r="E2038" s="107" t="s">
        <v>607</v>
      </c>
      <c r="F2038" s="161">
        <v>45353</v>
      </c>
      <c r="G2038" s="107">
        <f t="shared" si="67"/>
        <v>5</v>
      </c>
    </row>
    <row r="2039" spans="1:7">
      <c r="A2039" s="107">
        <v>42</v>
      </c>
      <c r="B2039" s="107">
        <v>4</v>
      </c>
      <c r="C2039" s="107">
        <v>3</v>
      </c>
      <c r="D2039" s="107" t="s">
        <v>606</v>
      </c>
      <c r="E2039" s="107" t="s">
        <v>607</v>
      </c>
      <c r="F2039" s="161">
        <v>45353</v>
      </c>
      <c r="G2039" s="107">
        <f t="shared" si="67"/>
        <v>5</v>
      </c>
    </row>
    <row r="2040" spans="1:7">
      <c r="A2040" s="107">
        <v>42</v>
      </c>
      <c r="B2040" s="107">
        <v>4</v>
      </c>
      <c r="C2040" s="107">
        <v>4</v>
      </c>
      <c r="D2040" s="107" t="s">
        <v>606</v>
      </c>
      <c r="E2040" s="107" t="s">
        <v>607</v>
      </c>
      <c r="F2040" s="161">
        <v>45353</v>
      </c>
      <c r="G2040" s="107">
        <f t="shared" si="67"/>
        <v>5</v>
      </c>
    </row>
    <row r="2041" spans="1:7">
      <c r="A2041" s="107">
        <v>42</v>
      </c>
      <c r="B2041" s="107">
        <v>4</v>
      </c>
      <c r="C2041" s="107">
        <v>5</v>
      </c>
      <c r="D2041" s="107" t="s">
        <v>606</v>
      </c>
      <c r="E2041" s="107" t="s">
        <v>607</v>
      </c>
      <c r="F2041" s="161">
        <v>45353</v>
      </c>
      <c r="G2041" s="107">
        <f t="shared" si="67"/>
        <v>5</v>
      </c>
    </row>
    <row r="2042" spans="1:7">
      <c r="A2042" s="107">
        <v>42</v>
      </c>
      <c r="B2042" s="107">
        <v>4</v>
      </c>
      <c r="C2042" s="107">
        <v>6</v>
      </c>
      <c r="D2042" s="107" t="s">
        <v>606</v>
      </c>
      <c r="E2042" s="107" t="s">
        <v>607</v>
      </c>
      <c r="F2042" s="161">
        <v>45354</v>
      </c>
      <c r="G2042" s="107">
        <f t="shared" si="67"/>
        <v>6</v>
      </c>
    </row>
    <row r="2043" spans="1:7">
      <c r="A2043" s="107">
        <v>42</v>
      </c>
      <c r="B2043" s="107">
        <v>4</v>
      </c>
      <c r="C2043" s="107">
        <v>7</v>
      </c>
      <c r="D2043" s="107" t="s">
        <v>606</v>
      </c>
      <c r="E2043" s="107" t="s">
        <v>607</v>
      </c>
      <c r="F2043" s="161">
        <v>45354</v>
      </c>
      <c r="G2043" s="107">
        <f t="shared" si="67"/>
        <v>6</v>
      </c>
    </row>
    <row r="2044" spans="1:7">
      <c r="A2044" s="107">
        <v>42</v>
      </c>
      <c r="B2044" s="107">
        <v>4</v>
      </c>
      <c r="C2044" s="107">
        <v>8</v>
      </c>
      <c r="D2044" s="107" t="s">
        <v>606</v>
      </c>
      <c r="E2044" s="107" t="s">
        <v>607</v>
      </c>
      <c r="F2044" s="161">
        <v>45354</v>
      </c>
      <c r="G2044" s="107">
        <f t="shared" si="67"/>
        <v>6</v>
      </c>
    </row>
    <row r="2045" spans="1:7">
      <c r="A2045" s="107">
        <v>42</v>
      </c>
      <c r="B2045" s="107">
        <v>5</v>
      </c>
      <c r="C2045" s="107">
        <v>1</v>
      </c>
      <c r="D2045" s="107" t="s">
        <v>608</v>
      </c>
      <c r="E2045" s="107" t="s">
        <v>609</v>
      </c>
      <c r="F2045" s="161">
        <v>45353</v>
      </c>
      <c r="G2045" s="107">
        <f t="shared" si="67"/>
        <v>5</v>
      </c>
    </row>
    <row r="2046" spans="1:7">
      <c r="A2046" s="107">
        <v>42</v>
      </c>
      <c r="B2046" s="107">
        <v>5</v>
      </c>
      <c r="C2046" s="107">
        <v>2</v>
      </c>
      <c r="D2046" s="107" t="s">
        <v>608</v>
      </c>
      <c r="E2046" s="107" t="s">
        <v>609</v>
      </c>
      <c r="F2046" s="161">
        <v>45354</v>
      </c>
      <c r="G2046" s="107">
        <f t="shared" si="67"/>
        <v>6</v>
      </c>
    </row>
    <row r="2047" spans="1:7">
      <c r="A2047" s="107">
        <v>42</v>
      </c>
      <c r="B2047" s="107">
        <v>5</v>
      </c>
      <c r="C2047" s="107">
        <v>3</v>
      </c>
      <c r="D2047" s="107" t="s">
        <v>608</v>
      </c>
      <c r="E2047" s="107" t="s">
        <v>609</v>
      </c>
      <c r="F2047" s="161">
        <v>45353</v>
      </c>
      <c r="G2047" s="107">
        <f t="shared" si="67"/>
        <v>5</v>
      </c>
    </row>
    <row r="2048" spans="1:7">
      <c r="A2048" s="107">
        <v>42</v>
      </c>
      <c r="B2048" s="107">
        <v>5</v>
      </c>
      <c r="C2048" s="107">
        <v>4</v>
      </c>
      <c r="D2048" s="107" t="s">
        <v>608</v>
      </c>
      <c r="E2048" s="107" t="s">
        <v>609</v>
      </c>
      <c r="F2048" s="161">
        <v>45353</v>
      </c>
      <c r="G2048" s="107">
        <f t="shared" si="67"/>
        <v>5</v>
      </c>
    </row>
    <row r="2049" spans="1:7">
      <c r="A2049" s="107">
        <v>42</v>
      </c>
      <c r="B2049" s="107">
        <v>5</v>
      </c>
      <c r="C2049" s="107">
        <v>5</v>
      </c>
      <c r="D2049" s="107" t="s">
        <v>608</v>
      </c>
      <c r="E2049" s="107" t="s">
        <v>609</v>
      </c>
      <c r="F2049" s="161">
        <v>45353</v>
      </c>
      <c r="G2049" s="107">
        <f t="shared" si="67"/>
        <v>5</v>
      </c>
    </row>
    <row r="2050" spans="1:7">
      <c r="A2050" s="107">
        <v>42</v>
      </c>
      <c r="B2050" s="107">
        <v>5</v>
      </c>
      <c r="C2050" s="107">
        <v>6</v>
      </c>
      <c r="D2050" s="107" t="s">
        <v>608</v>
      </c>
      <c r="E2050" s="107" t="s">
        <v>609</v>
      </c>
      <c r="F2050" s="161">
        <v>45354</v>
      </c>
      <c r="G2050" s="107">
        <f t="shared" si="67"/>
        <v>6</v>
      </c>
    </row>
    <row r="2051" spans="1:7">
      <c r="A2051" s="107">
        <v>42</v>
      </c>
      <c r="B2051" s="107">
        <v>5</v>
      </c>
      <c r="C2051" s="107">
        <v>7</v>
      </c>
      <c r="D2051" s="107" t="s">
        <v>608</v>
      </c>
      <c r="E2051" s="107" t="s">
        <v>609</v>
      </c>
      <c r="F2051" s="161">
        <v>45352</v>
      </c>
      <c r="G2051" s="107">
        <f t="shared" si="67"/>
        <v>4</v>
      </c>
    </row>
    <row r="2052" spans="1:7">
      <c r="A2052" s="107">
        <v>42</v>
      </c>
      <c r="B2052" s="107">
        <v>5</v>
      </c>
      <c r="C2052" s="107">
        <v>8</v>
      </c>
      <c r="D2052" s="107" t="s">
        <v>608</v>
      </c>
      <c r="E2052" s="107" t="s">
        <v>609</v>
      </c>
      <c r="F2052" s="161">
        <v>45353</v>
      </c>
      <c r="G2052" s="107">
        <f t="shared" si="67"/>
        <v>5</v>
      </c>
    </row>
    <row r="2053" spans="1:7">
      <c r="A2053" s="107">
        <v>42</v>
      </c>
      <c r="B2053" s="107">
        <v>6</v>
      </c>
      <c r="C2053" s="107">
        <v>1</v>
      </c>
      <c r="D2053" s="107" t="s">
        <v>610</v>
      </c>
      <c r="E2053" s="107" t="s">
        <v>611</v>
      </c>
      <c r="F2053" s="161">
        <v>45353</v>
      </c>
      <c r="G2053" s="107">
        <f t="shared" si="67"/>
        <v>5</v>
      </c>
    </row>
    <row r="2054" spans="1:7">
      <c r="A2054" s="107">
        <v>42</v>
      </c>
      <c r="B2054" s="107">
        <v>6</v>
      </c>
      <c r="C2054" s="107">
        <v>2</v>
      </c>
      <c r="D2054" s="107" t="s">
        <v>610</v>
      </c>
      <c r="E2054" s="107" t="s">
        <v>611</v>
      </c>
      <c r="F2054" s="161">
        <v>45353</v>
      </c>
      <c r="G2054" s="107">
        <f t="shared" si="67"/>
        <v>5</v>
      </c>
    </row>
    <row r="2055" spans="1:7">
      <c r="A2055" s="107">
        <v>42</v>
      </c>
      <c r="B2055" s="107">
        <v>6</v>
      </c>
      <c r="C2055" s="107">
        <v>3</v>
      </c>
      <c r="D2055" s="107" t="s">
        <v>610</v>
      </c>
      <c r="E2055" s="107" t="s">
        <v>611</v>
      </c>
      <c r="F2055" s="161">
        <v>45353</v>
      </c>
      <c r="G2055" s="107">
        <f t="shared" si="67"/>
        <v>5</v>
      </c>
    </row>
    <row r="2056" spans="1:7">
      <c r="A2056" s="107">
        <v>42</v>
      </c>
      <c r="B2056" s="107">
        <v>6</v>
      </c>
      <c r="C2056" s="107">
        <v>4</v>
      </c>
      <c r="D2056" s="107" t="s">
        <v>610</v>
      </c>
      <c r="E2056" s="107" t="s">
        <v>611</v>
      </c>
      <c r="F2056" s="161">
        <v>45353</v>
      </c>
      <c r="G2056" s="107">
        <f t="shared" si="67"/>
        <v>5</v>
      </c>
    </row>
    <row r="2057" spans="1:7">
      <c r="A2057" s="107">
        <v>42</v>
      </c>
      <c r="B2057" s="107">
        <v>6</v>
      </c>
      <c r="C2057" s="107">
        <v>5</v>
      </c>
      <c r="D2057" s="107" t="s">
        <v>610</v>
      </c>
      <c r="E2057" s="107" t="s">
        <v>611</v>
      </c>
      <c r="F2057" s="161">
        <v>45353</v>
      </c>
      <c r="G2057" s="107">
        <f t="shared" si="67"/>
        <v>5</v>
      </c>
    </row>
    <row r="2058" spans="1:7">
      <c r="A2058" s="107">
        <v>42</v>
      </c>
      <c r="B2058" s="107">
        <v>6</v>
      </c>
      <c r="C2058" s="107">
        <v>6</v>
      </c>
      <c r="D2058" s="107" t="s">
        <v>610</v>
      </c>
      <c r="E2058" s="107" t="s">
        <v>611</v>
      </c>
      <c r="F2058" s="161">
        <v>45353</v>
      </c>
      <c r="G2058" s="107">
        <f t="shared" si="67"/>
        <v>5</v>
      </c>
    </row>
    <row r="2059" spans="1:7">
      <c r="A2059" s="107">
        <v>42</v>
      </c>
      <c r="B2059" s="107">
        <v>6</v>
      </c>
      <c r="C2059" s="107">
        <v>7</v>
      </c>
      <c r="D2059" s="107" t="s">
        <v>610</v>
      </c>
      <c r="E2059" s="107" t="s">
        <v>611</v>
      </c>
      <c r="F2059" s="161">
        <v>45353</v>
      </c>
      <c r="G2059" s="107">
        <f t="shared" si="67"/>
        <v>5</v>
      </c>
    </row>
    <row r="2060" spans="1:7">
      <c r="A2060" s="107">
        <v>42</v>
      </c>
      <c r="B2060" s="107">
        <v>6</v>
      </c>
      <c r="C2060" s="107">
        <v>8</v>
      </c>
      <c r="D2060" s="107" t="s">
        <v>610</v>
      </c>
      <c r="E2060" s="107" t="s">
        <v>611</v>
      </c>
      <c r="F2060" s="161">
        <v>45355</v>
      </c>
      <c r="G2060" s="107">
        <f t="shared" si="67"/>
        <v>7</v>
      </c>
    </row>
    <row r="2061" spans="1:7">
      <c r="D2061" s="139"/>
      <c r="E2061" s="139"/>
      <c r="F2061" s="139"/>
      <c r="G2061" s="139"/>
    </row>
    <row r="2062" spans="1:7">
      <c r="A2062" s="107">
        <v>43</v>
      </c>
      <c r="B2062" s="107">
        <v>1</v>
      </c>
      <c r="C2062" s="107">
        <v>1</v>
      </c>
      <c r="D2062" s="170" t="s">
        <v>612</v>
      </c>
      <c r="E2062" s="170" t="s">
        <v>613</v>
      </c>
      <c r="F2062" s="100">
        <v>45352</v>
      </c>
      <c r="G2062" s="170">
        <f t="shared" ref="G2062:G2109" si="68">DATEDIF(G$2,F2062,"d")</f>
        <v>4</v>
      </c>
    </row>
    <row r="2063" spans="1:7">
      <c r="A2063" s="107">
        <v>43</v>
      </c>
      <c r="B2063" s="107">
        <v>1</v>
      </c>
      <c r="C2063" s="107">
        <v>2</v>
      </c>
      <c r="D2063" s="107" t="s">
        <v>612</v>
      </c>
      <c r="E2063" s="107" t="s">
        <v>613</v>
      </c>
      <c r="F2063" s="161">
        <v>45352</v>
      </c>
      <c r="G2063" s="107">
        <f t="shared" si="68"/>
        <v>4</v>
      </c>
    </row>
    <row r="2064" spans="1:7">
      <c r="A2064" s="107">
        <v>43</v>
      </c>
      <c r="B2064" s="107">
        <v>1</v>
      </c>
      <c r="C2064" s="107">
        <v>3</v>
      </c>
      <c r="D2064" s="107" t="s">
        <v>612</v>
      </c>
      <c r="E2064" s="107" t="s">
        <v>613</v>
      </c>
      <c r="F2064" s="161">
        <v>45353</v>
      </c>
      <c r="G2064" s="107">
        <f t="shared" si="68"/>
        <v>5</v>
      </c>
    </row>
    <row r="2065" spans="1:7">
      <c r="A2065" s="107">
        <v>43</v>
      </c>
      <c r="B2065" s="107">
        <v>1</v>
      </c>
      <c r="C2065" s="107">
        <v>4</v>
      </c>
      <c r="D2065" s="107" t="s">
        <v>612</v>
      </c>
      <c r="E2065" s="107" t="s">
        <v>613</v>
      </c>
      <c r="F2065" s="161">
        <v>45353</v>
      </c>
      <c r="G2065" s="107">
        <f t="shared" si="68"/>
        <v>5</v>
      </c>
    </row>
    <row r="2066" spans="1:7">
      <c r="A2066" s="107">
        <v>43</v>
      </c>
      <c r="B2066" s="107">
        <v>1</v>
      </c>
      <c r="C2066" s="107">
        <v>5</v>
      </c>
      <c r="D2066" s="107" t="s">
        <v>612</v>
      </c>
      <c r="E2066" s="107" t="s">
        <v>613</v>
      </c>
      <c r="F2066" s="161">
        <v>45353</v>
      </c>
      <c r="G2066" s="107">
        <f t="shared" si="68"/>
        <v>5</v>
      </c>
    </row>
    <row r="2067" spans="1:7">
      <c r="A2067" s="107">
        <v>43</v>
      </c>
      <c r="B2067" s="107">
        <v>1</v>
      </c>
      <c r="C2067" s="107">
        <v>6</v>
      </c>
      <c r="D2067" s="107" t="s">
        <v>612</v>
      </c>
      <c r="E2067" s="107" t="s">
        <v>613</v>
      </c>
      <c r="F2067" s="161">
        <v>45352</v>
      </c>
      <c r="G2067" s="107">
        <f t="shared" si="68"/>
        <v>4</v>
      </c>
    </row>
    <row r="2068" spans="1:7">
      <c r="A2068" s="107">
        <v>43</v>
      </c>
      <c r="B2068" s="107">
        <v>1</v>
      </c>
      <c r="C2068" s="107">
        <v>7</v>
      </c>
      <c r="D2068" s="107" t="s">
        <v>612</v>
      </c>
      <c r="E2068" s="107" t="s">
        <v>613</v>
      </c>
      <c r="F2068" s="161">
        <v>45352</v>
      </c>
      <c r="G2068" s="107">
        <f t="shared" si="68"/>
        <v>4</v>
      </c>
    </row>
    <row r="2069" spans="1:7">
      <c r="A2069" s="107">
        <v>43</v>
      </c>
      <c r="B2069" s="107">
        <v>1</v>
      </c>
      <c r="C2069" s="107">
        <v>8</v>
      </c>
      <c r="D2069" s="107" t="s">
        <v>612</v>
      </c>
      <c r="E2069" s="107" t="s">
        <v>613</v>
      </c>
      <c r="F2069" s="161">
        <v>45352</v>
      </c>
      <c r="G2069" s="107">
        <f t="shared" si="68"/>
        <v>4</v>
      </c>
    </row>
    <row r="2070" spans="1:7">
      <c r="A2070" s="107">
        <v>43</v>
      </c>
      <c r="B2070" s="107">
        <v>2</v>
      </c>
      <c r="C2070" s="107">
        <v>1</v>
      </c>
      <c r="D2070" s="107" t="s">
        <v>614</v>
      </c>
      <c r="E2070" s="107" t="s">
        <v>615</v>
      </c>
      <c r="F2070" s="161">
        <v>45353</v>
      </c>
      <c r="G2070" s="107">
        <f t="shared" si="68"/>
        <v>5</v>
      </c>
    </row>
    <row r="2071" spans="1:7">
      <c r="A2071" s="107">
        <v>43</v>
      </c>
      <c r="B2071" s="107">
        <v>2</v>
      </c>
      <c r="C2071" s="107">
        <v>2</v>
      </c>
      <c r="D2071" s="107" t="s">
        <v>614</v>
      </c>
      <c r="E2071" s="107" t="s">
        <v>615</v>
      </c>
      <c r="F2071" s="161">
        <v>45353</v>
      </c>
      <c r="G2071" s="107">
        <f t="shared" si="68"/>
        <v>5</v>
      </c>
    </row>
    <row r="2072" spans="1:7">
      <c r="A2072" s="107">
        <v>43</v>
      </c>
      <c r="B2072" s="107">
        <v>2</v>
      </c>
      <c r="C2072" s="107">
        <v>3</v>
      </c>
      <c r="D2072" s="107" t="s">
        <v>614</v>
      </c>
      <c r="E2072" s="107" t="s">
        <v>615</v>
      </c>
      <c r="F2072" s="161">
        <v>45353</v>
      </c>
      <c r="G2072" s="107">
        <f t="shared" si="68"/>
        <v>5</v>
      </c>
    </row>
    <row r="2073" spans="1:7">
      <c r="A2073" s="107">
        <v>43</v>
      </c>
      <c r="B2073" s="107">
        <v>2</v>
      </c>
      <c r="C2073" s="107">
        <v>4</v>
      </c>
      <c r="D2073" s="107" t="s">
        <v>614</v>
      </c>
      <c r="E2073" s="107" t="s">
        <v>615</v>
      </c>
      <c r="F2073" s="161">
        <v>45352</v>
      </c>
      <c r="G2073" s="107">
        <f t="shared" si="68"/>
        <v>4</v>
      </c>
    </row>
    <row r="2074" spans="1:7">
      <c r="A2074" s="107">
        <v>43</v>
      </c>
      <c r="B2074" s="107">
        <v>2</v>
      </c>
      <c r="C2074" s="107">
        <v>5</v>
      </c>
      <c r="D2074" s="107" t="s">
        <v>614</v>
      </c>
      <c r="E2074" s="107" t="s">
        <v>615</v>
      </c>
      <c r="F2074" s="161">
        <v>45353</v>
      </c>
      <c r="G2074" s="107">
        <f t="shared" si="68"/>
        <v>5</v>
      </c>
    </row>
    <row r="2075" spans="1:7">
      <c r="A2075" s="107">
        <v>43</v>
      </c>
      <c r="B2075" s="107">
        <v>2</v>
      </c>
      <c r="C2075" s="107">
        <v>6</v>
      </c>
      <c r="D2075" s="107" t="s">
        <v>614</v>
      </c>
      <c r="E2075" s="107" t="s">
        <v>615</v>
      </c>
      <c r="F2075" s="161">
        <v>45352</v>
      </c>
      <c r="G2075" s="107">
        <f t="shared" si="68"/>
        <v>4</v>
      </c>
    </row>
    <row r="2076" spans="1:7">
      <c r="A2076" s="107">
        <v>43</v>
      </c>
      <c r="B2076" s="107">
        <v>2</v>
      </c>
      <c r="C2076" s="107">
        <v>7</v>
      </c>
      <c r="D2076" s="107" t="s">
        <v>614</v>
      </c>
      <c r="E2076" s="107" t="s">
        <v>615</v>
      </c>
      <c r="F2076" s="161">
        <v>45353</v>
      </c>
      <c r="G2076" s="107">
        <f t="shared" si="68"/>
        <v>5</v>
      </c>
    </row>
    <row r="2077" spans="1:7">
      <c r="A2077" s="107">
        <v>43</v>
      </c>
      <c r="B2077" s="107">
        <v>2</v>
      </c>
      <c r="C2077" s="107">
        <v>8</v>
      </c>
      <c r="D2077" s="107" t="s">
        <v>614</v>
      </c>
      <c r="E2077" s="107" t="s">
        <v>615</v>
      </c>
      <c r="F2077" s="161">
        <v>45353</v>
      </c>
      <c r="G2077" s="107">
        <f t="shared" si="68"/>
        <v>5</v>
      </c>
    </row>
    <row r="2078" spans="1:7">
      <c r="A2078" s="107">
        <v>43</v>
      </c>
      <c r="B2078" s="107">
        <v>3</v>
      </c>
      <c r="C2078" s="107">
        <v>1</v>
      </c>
      <c r="D2078" s="107" t="s">
        <v>616</v>
      </c>
      <c r="E2078" s="107" t="s">
        <v>617</v>
      </c>
      <c r="F2078" s="161">
        <v>45353</v>
      </c>
      <c r="G2078" s="107">
        <f t="shared" si="68"/>
        <v>5</v>
      </c>
    </row>
    <row r="2079" spans="1:7">
      <c r="A2079" s="107">
        <v>43</v>
      </c>
      <c r="B2079" s="107">
        <v>3</v>
      </c>
      <c r="C2079" s="107">
        <v>2</v>
      </c>
      <c r="D2079" s="107" t="s">
        <v>616</v>
      </c>
      <c r="E2079" s="107" t="s">
        <v>617</v>
      </c>
      <c r="F2079" s="161">
        <v>45353</v>
      </c>
      <c r="G2079" s="107">
        <f t="shared" si="68"/>
        <v>5</v>
      </c>
    </row>
    <row r="2080" spans="1:7">
      <c r="A2080" s="107">
        <v>43</v>
      </c>
      <c r="B2080" s="107">
        <v>3</v>
      </c>
      <c r="C2080" s="107">
        <v>3</v>
      </c>
      <c r="D2080" s="107" t="s">
        <v>616</v>
      </c>
      <c r="E2080" s="107" t="s">
        <v>617</v>
      </c>
      <c r="F2080" s="161">
        <v>45352</v>
      </c>
      <c r="G2080" s="107">
        <f t="shared" si="68"/>
        <v>4</v>
      </c>
    </row>
    <row r="2081" spans="1:7">
      <c r="A2081" s="107">
        <v>43</v>
      </c>
      <c r="B2081" s="107">
        <v>3</v>
      </c>
      <c r="C2081" s="107">
        <v>4</v>
      </c>
      <c r="D2081" s="107" t="s">
        <v>616</v>
      </c>
      <c r="E2081" s="107" t="s">
        <v>617</v>
      </c>
      <c r="F2081" s="161">
        <v>45353</v>
      </c>
      <c r="G2081" s="107">
        <f t="shared" si="68"/>
        <v>5</v>
      </c>
    </row>
    <row r="2082" spans="1:7">
      <c r="A2082" s="107">
        <v>43</v>
      </c>
      <c r="B2082" s="107">
        <v>3</v>
      </c>
      <c r="C2082" s="107">
        <v>5</v>
      </c>
      <c r="D2082" s="107" t="s">
        <v>616</v>
      </c>
      <c r="E2082" s="107" t="s">
        <v>617</v>
      </c>
      <c r="F2082" s="161">
        <v>45352</v>
      </c>
      <c r="G2082" s="107">
        <f t="shared" si="68"/>
        <v>4</v>
      </c>
    </row>
    <row r="2083" spans="1:7">
      <c r="A2083" s="107">
        <v>43</v>
      </c>
      <c r="B2083" s="107">
        <v>3</v>
      </c>
      <c r="C2083" s="107">
        <v>6</v>
      </c>
      <c r="D2083" s="107" t="s">
        <v>616</v>
      </c>
      <c r="E2083" s="107" t="s">
        <v>617</v>
      </c>
      <c r="F2083" s="161">
        <v>45352</v>
      </c>
      <c r="G2083" s="107">
        <f t="shared" si="68"/>
        <v>4</v>
      </c>
    </row>
    <row r="2084" spans="1:7">
      <c r="A2084" s="107">
        <v>43</v>
      </c>
      <c r="B2084" s="107">
        <v>3</v>
      </c>
      <c r="C2084" s="107">
        <v>7</v>
      </c>
      <c r="D2084" s="107" t="s">
        <v>616</v>
      </c>
      <c r="E2084" s="107" t="s">
        <v>617</v>
      </c>
      <c r="F2084" s="161">
        <v>45352</v>
      </c>
      <c r="G2084" s="107">
        <f t="shared" si="68"/>
        <v>4</v>
      </c>
    </row>
    <row r="2085" spans="1:7">
      <c r="A2085" s="107">
        <v>43</v>
      </c>
      <c r="B2085" s="107">
        <v>3</v>
      </c>
      <c r="C2085" s="107">
        <v>8</v>
      </c>
      <c r="D2085" s="107" t="s">
        <v>616</v>
      </c>
      <c r="E2085" s="107" t="s">
        <v>617</v>
      </c>
      <c r="F2085" s="161">
        <v>45352</v>
      </c>
      <c r="G2085" s="107">
        <f t="shared" si="68"/>
        <v>4</v>
      </c>
    </row>
    <row r="2086" spans="1:7">
      <c r="A2086" s="107">
        <v>43</v>
      </c>
      <c r="B2086" s="107">
        <v>4</v>
      </c>
      <c r="C2086" s="107">
        <v>1</v>
      </c>
      <c r="D2086" s="107" t="s">
        <v>618</v>
      </c>
      <c r="E2086" s="107" t="s">
        <v>619</v>
      </c>
      <c r="F2086" s="161">
        <v>45353</v>
      </c>
      <c r="G2086" s="107">
        <f t="shared" si="68"/>
        <v>5</v>
      </c>
    </row>
    <row r="2087" spans="1:7">
      <c r="A2087" s="107">
        <v>43</v>
      </c>
      <c r="B2087" s="107">
        <v>4</v>
      </c>
      <c r="C2087" s="107">
        <v>2</v>
      </c>
      <c r="D2087" s="107" t="s">
        <v>618</v>
      </c>
      <c r="E2087" s="107" t="s">
        <v>619</v>
      </c>
      <c r="F2087" s="161">
        <v>45354</v>
      </c>
      <c r="G2087" s="107">
        <f t="shared" si="68"/>
        <v>6</v>
      </c>
    </row>
    <row r="2088" spans="1:7">
      <c r="A2088" s="107">
        <v>43</v>
      </c>
      <c r="B2088" s="107">
        <v>4</v>
      </c>
      <c r="C2088" s="107">
        <v>3</v>
      </c>
      <c r="D2088" s="107" t="s">
        <v>618</v>
      </c>
      <c r="E2088" s="107" t="s">
        <v>619</v>
      </c>
      <c r="F2088" s="161">
        <v>45353</v>
      </c>
      <c r="G2088" s="107">
        <f t="shared" si="68"/>
        <v>5</v>
      </c>
    </row>
    <row r="2089" spans="1:7">
      <c r="A2089" s="107">
        <v>43</v>
      </c>
      <c r="B2089" s="107">
        <v>4</v>
      </c>
      <c r="C2089" s="107">
        <v>4</v>
      </c>
      <c r="D2089" s="107" t="s">
        <v>618</v>
      </c>
      <c r="E2089" s="107" t="s">
        <v>619</v>
      </c>
      <c r="F2089" s="161">
        <v>45353</v>
      </c>
      <c r="G2089" s="107">
        <f t="shared" si="68"/>
        <v>5</v>
      </c>
    </row>
    <row r="2090" spans="1:7">
      <c r="A2090" s="107">
        <v>43</v>
      </c>
      <c r="B2090" s="107">
        <v>4</v>
      </c>
      <c r="C2090" s="107">
        <v>5</v>
      </c>
      <c r="D2090" s="107" t="s">
        <v>618</v>
      </c>
      <c r="E2090" s="107" t="s">
        <v>619</v>
      </c>
      <c r="F2090" s="161">
        <v>45352</v>
      </c>
      <c r="G2090" s="107">
        <f t="shared" si="68"/>
        <v>4</v>
      </c>
    </row>
    <row r="2091" spans="1:7">
      <c r="A2091" s="107">
        <v>43</v>
      </c>
      <c r="B2091" s="107">
        <v>4</v>
      </c>
      <c r="C2091" s="107">
        <v>6</v>
      </c>
      <c r="D2091" s="107" t="s">
        <v>618</v>
      </c>
      <c r="E2091" s="107" t="s">
        <v>619</v>
      </c>
      <c r="F2091" s="161">
        <v>45354</v>
      </c>
      <c r="G2091" s="107">
        <f t="shared" si="68"/>
        <v>6</v>
      </c>
    </row>
    <row r="2092" spans="1:7">
      <c r="A2092" s="107">
        <v>43</v>
      </c>
      <c r="B2092" s="107">
        <v>4</v>
      </c>
      <c r="C2092" s="107">
        <v>7</v>
      </c>
      <c r="D2092" s="107" t="s">
        <v>618</v>
      </c>
      <c r="E2092" s="107" t="s">
        <v>619</v>
      </c>
      <c r="F2092" s="161">
        <v>45352</v>
      </c>
      <c r="G2092" s="107">
        <f t="shared" si="68"/>
        <v>4</v>
      </c>
    </row>
    <row r="2093" spans="1:7">
      <c r="A2093" s="107">
        <v>43</v>
      </c>
      <c r="B2093" s="107">
        <v>4</v>
      </c>
      <c r="C2093" s="107">
        <v>8</v>
      </c>
      <c r="D2093" s="107" t="s">
        <v>618</v>
      </c>
      <c r="E2093" s="107" t="s">
        <v>619</v>
      </c>
      <c r="F2093" s="161">
        <v>45354</v>
      </c>
      <c r="G2093" s="107">
        <f t="shared" si="68"/>
        <v>6</v>
      </c>
    </row>
    <row r="2094" spans="1:7">
      <c r="A2094" s="107">
        <v>43</v>
      </c>
      <c r="B2094" s="107">
        <v>5</v>
      </c>
      <c r="C2094" s="107">
        <v>1</v>
      </c>
      <c r="D2094" s="107" t="s">
        <v>620</v>
      </c>
      <c r="E2094" s="107" t="s">
        <v>621</v>
      </c>
      <c r="F2094" s="161">
        <v>45353</v>
      </c>
      <c r="G2094" s="107">
        <f t="shared" si="68"/>
        <v>5</v>
      </c>
    </row>
    <row r="2095" spans="1:7">
      <c r="A2095" s="107">
        <v>43</v>
      </c>
      <c r="B2095" s="107">
        <v>5</v>
      </c>
      <c r="C2095" s="107">
        <v>2</v>
      </c>
      <c r="D2095" s="107" t="s">
        <v>620</v>
      </c>
      <c r="E2095" s="107" t="s">
        <v>621</v>
      </c>
      <c r="F2095" s="161">
        <v>45353</v>
      </c>
      <c r="G2095" s="107">
        <f t="shared" si="68"/>
        <v>5</v>
      </c>
    </row>
    <row r="2096" spans="1:7">
      <c r="A2096" s="107">
        <v>43</v>
      </c>
      <c r="B2096" s="107">
        <v>5</v>
      </c>
      <c r="C2096" s="107">
        <v>3</v>
      </c>
      <c r="D2096" s="107" t="s">
        <v>620</v>
      </c>
      <c r="E2096" s="107" t="s">
        <v>621</v>
      </c>
      <c r="F2096" s="161">
        <v>45353</v>
      </c>
      <c r="G2096" s="107">
        <f t="shared" si="68"/>
        <v>5</v>
      </c>
    </row>
    <row r="2097" spans="1:7">
      <c r="A2097" s="107">
        <v>43</v>
      </c>
      <c r="B2097" s="107">
        <v>5</v>
      </c>
      <c r="C2097" s="107">
        <v>4</v>
      </c>
      <c r="D2097" s="107" t="s">
        <v>620</v>
      </c>
      <c r="E2097" s="107" t="s">
        <v>621</v>
      </c>
      <c r="F2097" s="161">
        <v>45353</v>
      </c>
      <c r="G2097" s="107">
        <f t="shared" si="68"/>
        <v>5</v>
      </c>
    </row>
    <row r="2098" spans="1:7">
      <c r="A2098" s="107">
        <v>43</v>
      </c>
      <c r="B2098" s="107">
        <v>5</v>
      </c>
      <c r="C2098" s="107">
        <v>5</v>
      </c>
      <c r="D2098" s="107" t="s">
        <v>620</v>
      </c>
      <c r="E2098" s="107" t="s">
        <v>621</v>
      </c>
      <c r="F2098" s="161">
        <v>45353</v>
      </c>
      <c r="G2098" s="107">
        <f t="shared" si="68"/>
        <v>5</v>
      </c>
    </row>
    <row r="2099" spans="1:7">
      <c r="A2099" s="107">
        <v>43</v>
      </c>
      <c r="B2099" s="107">
        <v>5</v>
      </c>
      <c r="C2099" s="107">
        <v>6</v>
      </c>
      <c r="D2099" s="107" t="s">
        <v>620</v>
      </c>
      <c r="E2099" s="107" t="s">
        <v>621</v>
      </c>
      <c r="F2099" s="161">
        <v>45353</v>
      </c>
      <c r="G2099" s="107">
        <f t="shared" si="68"/>
        <v>5</v>
      </c>
    </row>
    <row r="2100" spans="1:7">
      <c r="A2100" s="107">
        <v>43</v>
      </c>
      <c r="B2100" s="107">
        <v>5</v>
      </c>
      <c r="C2100" s="107">
        <v>7</v>
      </c>
      <c r="D2100" s="107" t="s">
        <v>620</v>
      </c>
      <c r="E2100" s="107" t="s">
        <v>621</v>
      </c>
      <c r="F2100" s="161">
        <v>45353</v>
      </c>
      <c r="G2100" s="107">
        <f t="shared" si="68"/>
        <v>5</v>
      </c>
    </row>
    <row r="2101" spans="1:7">
      <c r="A2101" s="107">
        <v>43</v>
      </c>
      <c r="B2101" s="107">
        <v>5</v>
      </c>
      <c r="C2101" s="107">
        <v>8</v>
      </c>
      <c r="D2101" s="107" t="s">
        <v>620</v>
      </c>
      <c r="E2101" s="107" t="s">
        <v>621</v>
      </c>
      <c r="F2101" s="161">
        <v>45353</v>
      </c>
      <c r="G2101" s="107">
        <f t="shared" si="68"/>
        <v>5</v>
      </c>
    </row>
    <row r="2102" spans="1:7">
      <c r="A2102" s="107">
        <v>43</v>
      </c>
      <c r="B2102" s="107">
        <v>6</v>
      </c>
      <c r="C2102" s="107">
        <v>1</v>
      </c>
      <c r="D2102" s="107" t="s">
        <v>622</v>
      </c>
      <c r="E2102" s="107" t="s">
        <v>623</v>
      </c>
      <c r="F2102" s="161">
        <v>45352</v>
      </c>
      <c r="G2102" s="107">
        <f t="shared" si="68"/>
        <v>4</v>
      </c>
    </row>
    <row r="2103" spans="1:7">
      <c r="A2103" s="107">
        <v>43</v>
      </c>
      <c r="B2103" s="107">
        <v>6</v>
      </c>
      <c r="C2103" s="107">
        <v>2</v>
      </c>
      <c r="D2103" s="107" t="s">
        <v>622</v>
      </c>
      <c r="E2103" s="107" t="s">
        <v>623</v>
      </c>
      <c r="F2103" s="161">
        <v>45352</v>
      </c>
      <c r="G2103" s="107">
        <f t="shared" si="68"/>
        <v>4</v>
      </c>
    </row>
    <row r="2104" spans="1:7">
      <c r="A2104" s="107">
        <v>43</v>
      </c>
      <c r="B2104" s="107">
        <v>6</v>
      </c>
      <c r="C2104" s="107">
        <v>3</v>
      </c>
      <c r="D2104" s="107" t="s">
        <v>622</v>
      </c>
      <c r="E2104" s="107" t="s">
        <v>623</v>
      </c>
      <c r="F2104" s="161">
        <v>45353</v>
      </c>
      <c r="G2104" s="107">
        <f t="shared" si="68"/>
        <v>5</v>
      </c>
    </row>
    <row r="2105" spans="1:7">
      <c r="A2105" s="107">
        <v>43</v>
      </c>
      <c r="B2105" s="107">
        <v>6</v>
      </c>
      <c r="C2105" s="107">
        <v>4</v>
      </c>
      <c r="D2105" s="107" t="s">
        <v>622</v>
      </c>
      <c r="E2105" s="107" t="s">
        <v>623</v>
      </c>
      <c r="F2105" s="161">
        <v>45353</v>
      </c>
      <c r="G2105" s="107">
        <f t="shared" si="68"/>
        <v>5</v>
      </c>
    </row>
    <row r="2106" spans="1:7">
      <c r="A2106" s="107">
        <v>43</v>
      </c>
      <c r="B2106" s="107">
        <v>6</v>
      </c>
      <c r="C2106" s="107">
        <v>5</v>
      </c>
      <c r="D2106" s="107" t="s">
        <v>622</v>
      </c>
      <c r="E2106" s="107" t="s">
        <v>623</v>
      </c>
      <c r="F2106" s="161">
        <v>45352</v>
      </c>
      <c r="G2106" s="107">
        <f t="shared" si="68"/>
        <v>4</v>
      </c>
    </row>
    <row r="2107" spans="1:7">
      <c r="A2107" s="107">
        <v>43</v>
      </c>
      <c r="B2107" s="107">
        <v>6</v>
      </c>
      <c r="C2107" s="107">
        <v>6</v>
      </c>
      <c r="D2107" s="107" t="s">
        <v>622</v>
      </c>
      <c r="E2107" s="107" t="s">
        <v>623</v>
      </c>
      <c r="F2107" s="161">
        <v>45352</v>
      </c>
      <c r="G2107" s="107">
        <f t="shared" si="68"/>
        <v>4</v>
      </c>
    </row>
    <row r="2108" spans="1:7">
      <c r="A2108" s="107">
        <v>43</v>
      </c>
      <c r="B2108" s="107">
        <v>6</v>
      </c>
      <c r="C2108" s="107">
        <v>7</v>
      </c>
      <c r="D2108" s="107" t="s">
        <v>622</v>
      </c>
      <c r="E2108" s="107" t="s">
        <v>623</v>
      </c>
      <c r="F2108" s="161">
        <v>45352</v>
      </c>
      <c r="G2108" s="107">
        <f t="shared" si="68"/>
        <v>4</v>
      </c>
    </row>
    <row r="2109" spans="1:7">
      <c r="A2109" s="107">
        <v>43</v>
      </c>
      <c r="B2109" s="107">
        <v>6</v>
      </c>
      <c r="C2109" s="107">
        <v>8</v>
      </c>
      <c r="D2109" s="107" t="s">
        <v>622</v>
      </c>
      <c r="E2109" s="107" t="s">
        <v>623</v>
      </c>
      <c r="F2109" s="161">
        <v>45352</v>
      </c>
      <c r="G2109" s="107">
        <f t="shared" si="68"/>
        <v>4</v>
      </c>
    </row>
    <row r="2111" spans="1:7">
      <c r="A2111" s="107">
        <v>44</v>
      </c>
      <c r="B2111" s="107">
        <v>1</v>
      </c>
      <c r="C2111" s="107">
        <v>1</v>
      </c>
      <c r="D2111" s="107" t="s">
        <v>624</v>
      </c>
      <c r="E2111" s="107" t="s">
        <v>625</v>
      </c>
      <c r="F2111" s="161">
        <v>45352</v>
      </c>
      <c r="G2111" s="107">
        <f t="shared" ref="G2111:G2122" si="69">DATEDIF(G$2,F2111,"d")</f>
        <v>4</v>
      </c>
    </row>
    <row r="2112" spans="1:7">
      <c r="A2112" s="107">
        <v>44</v>
      </c>
      <c r="B2112" s="107">
        <v>1</v>
      </c>
      <c r="C2112" s="107">
        <v>2</v>
      </c>
      <c r="D2112" s="107" t="s">
        <v>624</v>
      </c>
      <c r="E2112" s="107" t="s">
        <v>625</v>
      </c>
      <c r="F2112" s="161">
        <v>45352</v>
      </c>
      <c r="G2112" s="107">
        <f t="shared" si="69"/>
        <v>4</v>
      </c>
    </row>
    <row r="2113" spans="1:7">
      <c r="A2113" s="107">
        <v>44</v>
      </c>
      <c r="B2113" s="107">
        <v>1</v>
      </c>
      <c r="C2113" s="107">
        <v>3</v>
      </c>
      <c r="D2113" s="107" t="s">
        <v>624</v>
      </c>
      <c r="E2113" s="107" t="s">
        <v>625</v>
      </c>
      <c r="F2113" s="161">
        <v>45353</v>
      </c>
      <c r="G2113" s="107">
        <f t="shared" si="69"/>
        <v>5</v>
      </c>
    </row>
    <row r="2114" spans="1:7">
      <c r="A2114" s="107">
        <v>44</v>
      </c>
      <c r="B2114" s="107">
        <v>1</v>
      </c>
      <c r="C2114" s="107">
        <v>4</v>
      </c>
      <c r="D2114" s="107" t="s">
        <v>624</v>
      </c>
      <c r="E2114" s="107" t="s">
        <v>625</v>
      </c>
      <c r="F2114" s="161">
        <v>45352</v>
      </c>
      <c r="G2114" s="107">
        <f t="shared" si="69"/>
        <v>4</v>
      </c>
    </row>
    <row r="2115" spans="1:7">
      <c r="A2115" s="107">
        <v>44</v>
      </c>
      <c r="B2115" s="107">
        <v>1</v>
      </c>
      <c r="C2115" s="107">
        <v>5</v>
      </c>
      <c r="D2115" s="107" t="s">
        <v>624</v>
      </c>
      <c r="E2115" s="107" t="s">
        <v>625</v>
      </c>
      <c r="F2115" s="161">
        <v>45353</v>
      </c>
      <c r="G2115" s="107">
        <f t="shared" si="69"/>
        <v>5</v>
      </c>
    </row>
    <row r="2116" spans="1:7">
      <c r="A2116" s="107">
        <v>44</v>
      </c>
      <c r="B2116" s="107">
        <v>1</v>
      </c>
      <c r="C2116" s="107">
        <v>6</v>
      </c>
      <c r="D2116" s="107" t="s">
        <v>624</v>
      </c>
      <c r="E2116" s="107" t="s">
        <v>625</v>
      </c>
      <c r="F2116" s="161">
        <v>45353</v>
      </c>
      <c r="G2116" s="107">
        <f t="shared" si="69"/>
        <v>5</v>
      </c>
    </row>
    <row r="2117" spans="1:7">
      <c r="A2117" s="107">
        <v>44</v>
      </c>
      <c r="B2117" s="107">
        <v>1</v>
      </c>
      <c r="C2117" s="107">
        <v>7</v>
      </c>
      <c r="D2117" s="107" t="s">
        <v>624</v>
      </c>
      <c r="E2117" s="107" t="s">
        <v>625</v>
      </c>
      <c r="F2117" s="161">
        <v>45352</v>
      </c>
      <c r="G2117" s="107">
        <f t="shared" si="69"/>
        <v>4</v>
      </c>
    </row>
    <row r="2118" spans="1:7">
      <c r="A2118" s="107">
        <v>44</v>
      </c>
      <c r="B2118" s="107">
        <v>1</v>
      </c>
      <c r="C2118" s="107">
        <v>8</v>
      </c>
      <c r="D2118" s="107" t="s">
        <v>624</v>
      </c>
      <c r="E2118" s="107" t="s">
        <v>625</v>
      </c>
      <c r="F2118" s="161">
        <v>45353</v>
      </c>
      <c r="G2118" s="107">
        <f t="shared" si="69"/>
        <v>5</v>
      </c>
    </row>
    <row r="2119" spans="1:7">
      <c r="A2119" s="107">
        <v>44</v>
      </c>
      <c r="B2119" s="107">
        <v>2</v>
      </c>
      <c r="C2119" s="107">
        <v>1</v>
      </c>
      <c r="D2119" s="107" t="s">
        <v>626</v>
      </c>
      <c r="E2119" s="107" t="s">
        <v>627</v>
      </c>
      <c r="F2119" s="161">
        <v>45353</v>
      </c>
      <c r="G2119" s="107">
        <f t="shared" si="69"/>
        <v>5</v>
      </c>
    </row>
    <row r="2120" spans="1:7">
      <c r="A2120" s="107">
        <v>44</v>
      </c>
      <c r="B2120" s="107">
        <v>2</v>
      </c>
      <c r="C2120" s="107">
        <v>2</v>
      </c>
      <c r="D2120" s="107" t="s">
        <v>626</v>
      </c>
      <c r="E2120" s="107" t="s">
        <v>627</v>
      </c>
      <c r="F2120" s="161">
        <v>45353</v>
      </c>
      <c r="G2120" s="107">
        <f t="shared" si="69"/>
        <v>5</v>
      </c>
    </row>
    <row r="2121" spans="1:7">
      <c r="A2121" s="107">
        <v>44</v>
      </c>
      <c r="B2121" s="107">
        <v>2</v>
      </c>
      <c r="C2121" s="107">
        <v>3</v>
      </c>
      <c r="D2121" s="107" t="s">
        <v>626</v>
      </c>
      <c r="E2121" s="107" t="s">
        <v>627</v>
      </c>
      <c r="F2121" s="161">
        <v>45354</v>
      </c>
      <c r="G2121" s="107">
        <f t="shared" si="69"/>
        <v>6</v>
      </c>
    </row>
    <row r="2122" spans="1:7">
      <c r="A2122" s="107">
        <v>44</v>
      </c>
      <c r="B2122" s="107">
        <v>2</v>
      </c>
      <c r="C2122" s="107">
        <v>4</v>
      </c>
      <c r="D2122" s="107" t="s">
        <v>626</v>
      </c>
      <c r="E2122" s="107" t="s">
        <v>627</v>
      </c>
      <c r="F2122" s="161">
        <v>45353</v>
      </c>
      <c r="G2122" s="107">
        <f t="shared" si="69"/>
        <v>5</v>
      </c>
    </row>
    <row r="2123" spans="1:7">
      <c r="A2123" s="107">
        <v>44</v>
      </c>
      <c r="B2123" s="107">
        <v>2</v>
      </c>
      <c r="C2123" s="107">
        <v>5</v>
      </c>
      <c r="D2123" s="107" t="s">
        <v>626</v>
      </c>
      <c r="E2123" s="107" t="s">
        <v>627</v>
      </c>
      <c r="F2123" s="107"/>
      <c r="G2123" s="107"/>
    </row>
    <row r="2124" spans="1:7">
      <c r="A2124" s="107">
        <v>44</v>
      </c>
      <c r="B2124" s="107">
        <v>2</v>
      </c>
      <c r="C2124" s="107">
        <v>6</v>
      </c>
      <c r="D2124" s="107" t="s">
        <v>626</v>
      </c>
      <c r="E2124" s="107" t="s">
        <v>627</v>
      </c>
      <c r="F2124" s="161">
        <v>45353</v>
      </c>
      <c r="G2124" s="107">
        <f t="shared" ref="G2124:G2158" si="70">DATEDIF(G$2,F2124,"d")</f>
        <v>5</v>
      </c>
    </row>
    <row r="2125" spans="1:7">
      <c r="A2125" s="107">
        <v>44</v>
      </c>
      <c r="B2125" s="107">
        <v>2</v>
      </c>
      <c r="C2125" s="107">
        <v>7</v>
      </c>
      <c r="D2125" s="107" t="s">
        <v>626</v>
      </c>
      <c r="E2125" s="107" t="s">
        <v>627</v>
      </c>
      <c r="F2125" s="161">
        <v>45355</v>
      </c>
      <c r="G2125" s="107">
        <f t="shared" si="70"/>
        <v>7</v>
      </c>
    </row>
    <row r="2126" spans="1:7">
      <c r="A2126" s="107">
        <v>44</v>
      </c>
      <c r="B2126" s="107">
        <v>2</v>
      </c>
      <c r="C2126" s="107">
        <v>8</v>
      </c>
      <c r="D2126" s="107" t="s">
        <v>626</v>
      </c>
      <c r="E2126" s="107" t="s">
        <v>627</v>
      </c>
      <c r="F2126" s="161">
        <v>45353</v>
      </c>
      <c r="G2126" s="107">
        <f t="shared" si="70"/>
        <v>5</v>
      </c>
    </row>
    <row r="2127" spans="1:7">
      <c r="A2127" s="107">
        <v>44</v>
      </c>
      <c r="B2127" s="107">
        <v>3</v>
      </c>
      <c r="C2127" s="107">
        <v>1</v>
      </c>
      <c r="D2127" s="107" t="s">
        <v>628</v>
      </c>
      <c r="E2127" s="107" t="s">
        <v>629</v>
      </c>
      <c r="F2127" s="161">
        <v>45352</v>
      </c>
      <c r="G2127" s="107">
        <f t="shared" si="70"/>
        <v>4</v>
      </c>
    </row>
    <row r="2128" spans="1:7">
      <c r="A2128" s="107">
        <v>44</v>
      </c>
      <c r="B2128" s="107">
        <v>3</v>
      </c>
      <c r="C2128" s="107">
        <v>2</v>
      </c>
      <c r="D2128" s="107" t="s">
        <v>628</v>
      </c>
      <c r="E2128" s="107" t="s">
        <v>629</v>
      </c>
      <c r="F2128" s="161">
        <v>45352</v>
      </c>
      <c r="G2128" s="107">
        <f t="shared" si="70"/>
        <v>4</v>
      </c>
    </row>
    <row r="2129" spans="1:7">
      <c r="A2129" s="107">
        <v>44</v>
      </c>
      <c r="B2129" s="107">
        <v>3</v>
      </c>
      <c r="C2129" s="107">
        <v>3</v>
      </c>
      <c r="D2129" s="107" t="s">
        <v>628</v>
      </c>
      <c r="E2129" s="107" t="s">
        <v>629</v>
      </c>
      <c r="F2129" s="161">
        <v>45354</v>
      </c>
      <c r="G2129" s="107">
        <f t="shared" si="70"/>
        <v>6</v>
      </c>
    </row>
    <row r="2130" spans="1:7">
      <c r="A2130" s="107">
        <v>44</v>
      </c>
      <c r="B2130" s="107">
        <v>3</v>
      </c>
      <c r="C2130" s="107">
        <v>4</v>
      </c>
      <c r="D2130" s="107" t="s">
        <v>628</v>
      </c>
      <c r="E2130" s="107" t="s">
        <v>629</v>
      </c>
      <c r="F2130" s="161">
        <v>45353</v>
      </c>
      <c r="G2130" s="107">
        <f t="shared" si="70"/>
        <v>5</v>
      </c>
    </row>
    <row r="2131" spans="1:7">
      <c r="A2131" s="107">
        <v>44</v>
      </c>
      <c r="B2131" s="107">
        <v>3</v>
      </c>
      <c r="C2131" s="107">
        <v>5</v>
      </c>
      <c r="D2131" s="107" t="s">
        <v>628</v>
      </c>
      <c r="E2131" s="107" t="s">
        <v>629</v>
      </c>
      <c r="F2131" s="161">
        <v>45352</v>
      </c>
      <c r="G2131" s="107">
        <f t="shared" si="70"/>
        <v>4</v>
      </c>
    </row>
    <row r="2132" spans="1:7">
      <c r="A2132" s="107">
        <v>44</v>
      </c>
      <c r="B2132" s="107">
        <v>3</v>
      </c>
      <c r="C2132" s="107">
        <v>6</v>
      </c>
      <c r="D2132" s="107" t="s">
        <v>628</v>
      </c>
      <c r="E2132" s="107" t="s">
        <v>629</v>
      </c>
      <c r="F2132" s="161">
        <v>45352</v>
      </c>
      <c r="G2132" s="107">
        <f t="shared" si="70"/>
        <v>4</v>
      </c>
    </row>
    <row r="2133" spans="1:7">
      <c r="A2133" s="107">
        <v>44</v>
      </c>
      <c r="B2133" s="107">
        <v>3</v>
      </c>
      <c r="C2133" s="107">
        <v>7</v>
      </c>
      <c r="D2133" s="107" t="s">
        <v>628</v>
      </c>
      <c r="E2133" s="107" t="s">
        <v>629</v>
      </c>
      <c r="F2133" s="161">
        <v>45352</v>
      </c>
      <c r="G2133" s="107">
        <f t="shared" si="70"/>
        <v>4</v>
      </c>
    </row>
    <row r="2134" spans="1:7">
      <c r="A2134" s="107">
        <v>44</v>
      </c>
      <c r="B2134" s="107">
        <v>3</v>
      </c>
      <c r="C2134" s="107">
        <v>8</v>
      </c>
      <c r="D2134" s="107" t="s">
        <v>628</v>
      </c>
      <c r="E2134" s="107" t="s">
        <v>629</v>
      </c>
      <c r="F2134" s="161">
        <v>45352</v>
      </c>
      <c r="G2134" s="107">
        <f t="shared" si="70"/>
        <v>4</v>
      </c>
    </row>
    <row r="2135" spans="1:7">
      <c r="A2135" s="107">
        <v>44</v>
      </c>
      <c r="B2135" s="107">
        <v>4</v>
      </c>
      <c r="C2135" s="107">
        <v>1</v>
      </c>
      <c r="D2135" s="107" t="s">
        <v>630</v>
      </c>
      <c r="E2135" s="107" t="s">
        <v>631</v>
      </c>
      <c r="F2135" s="161">
        <v>45353</v>
      </c>
      <c r="G2135" s="107">
        <f t="shared" si="70"/>
        <v>5</v>
      </c>
    </row>
    <row r="2136" spans="1:7">
      <c r="A2136" s="107">
        <v>44</v>
      </c>
      <c r="B2136" s="107">
        <v>4</v>
      </c>
      <c r="C2136" s="107">
        <v>2</v>
      </c>
      <c r="D2136" s="107" t="s">
        <v>630</v>
      </c>
      <c r="E2136" s="107" t="s">
        <v>631</v>
      </c>
      <c r="F2136" s="161">
        <v>45353</v>
      </c>
      <c r="G2136" s="107">
        <f t="shared" si="70"/>
        <v>5</v>
      </c>
    </row>
    <row r="2137" spans="1:7">
      <c r="A2137" s="107">
        <v>44</v>
      </c>
      <c r="B2137" s="107">
        <v>4</v>
      </c>
      <c r="C2137" s="107">
        <v>3</v>
      </c>
      <c r="D2137" s="107" t="s">
        <v>630</v>
      </c>
      <c r="E2137" s="107" t="s">
        <v>631</v>
      </c>
      <c r="F2137" s="161">
        <v>45353</v>
      </c>
      <c r="G2137" s="107">
        <f t="shared" si="70"/>
        <v>5</v>
      </c>
    </row>
    <row r="2138" spans="1:7">
      <c r="A2138" s="107">
        <v>44</v>
      </c>
      <c r="B2138" s="107">
        <v>4</v>
      </c>
      <c r="C2138" s="107">
        <v>4</v>
      </c>
      <c r="D2138" s="107" t="s">
        <v>630</v>
      </c>
      <c r="E2138" s="107" t="s">
        <v>631</v>
      </c>
      <c r="F2138" s="161">
        <v>45353</v>
      </c>
      <c r="G2138" s="107">
        <f t="shared" si="70"/>
        <v>5</v>
      </c>
    </row>
    <row r="2139" spans="1:7">
      <c r="A2139" s="107">
        <v>44</v>
      </c>
      <c r="B2139" s="107">
        <v>4</v>
      </c>
      <c r="C2139" s="107">
        <v>5</v>
      </c>
      <c r="D2139" s="107" t="s">
        <v>630</v>
      </c>
      <c r="E2139" s="107" t="s">
        <v>631</v>
      </c>
      <c r="F2139" s="161">
        <v>45352</v>
      </c>
      <c r="G2139" s="107">
        <f t="shared" si="70"/>
        <v>4</v>
      </c>
    </row>
    <row r="2140" spans="1:7">
      <c r="A2140" s="107">
        <v>44</v>
      </c>
      <c r="B2140" s="107">
        <v>4</v>
      </c>
      <c r="C2140" s="107">
        <v>6</v>
      </c>
      <c r="D2140" s="107" t="s">
        <v>630</v>
      </c>
      <c r="E2140" s="107" t="s">
        <v>631</v>
      </c>
      <c r="F2140" s="161">
        <v>45353</v>
      </c>
      <c r="G2140" s="107">
        <f t="shared" si="70"/>
        <v>5</v>
      </c>
    </row>
    <row r="2141" spans="1:7">
      <c r="A2141" s="107">
        <v>44</v>
      </c>
      <c r="B2141" s="107">
        <v>4</v>
      </c>
      <c r="C2141" s="107">
        <v>7</v>
      </c>
      <c r="D2141" s="107" t="s">
        <v>630</v>
      </c>
      <c r="E2141" s="107" t="s">
        <v>631</v>
      </c>
      <c r="F2141" s="161">
        <v>45352</v>
      </c>
      <c r="G2141" s="107">
        <f t="shared" si="70"/>
        <v>4</v>
      </c>
    </row>
    <row r="2142" spans="1:7">
      <c r="A2142" s="107">
        <v>44</v>
      </c>
      <c r="B2142" s="107">
        <v>4</v>
      </c>
      <c r="C2142" s="107">
        <v>8</v>
      </c>
      <c r="D2142" s="107" t="s">
        <v>630</v>
      </c>
      <c r="E2142" s="107" t="s">
        <v>631</v>
      </c>
      <c r="F2142" s="161">
        <v>45353</v>
      </c>
      <c r="G2142" s="107">
        <f t="shared" si="70"/>
        <v>5</v>
      </c>
    </row>
    <row r="2143" spans="1:7">
      <c r="A2143" s="107">
        <v>44</v>
      </c>
      <c r="B2143" s="107">
        <v>5</v>
      </c>
      <c r="C2143" s="107">
        <v>1</v>
      </c>
      <c r="D2143" s="107" t="s">
        <v>632</v>
      </c>
      <c r="E2143" s="107" t="s">
        <v>633</v>
      </c>
      <c r="F2143" s="161">
        <v>45353</v>
      </c>
      <c r="G2143" s="107">
        <f t="shared" si="70"/>
        <v>5</v>
      </c>
    </row>
    <row r="2144" spans="1:7">
      <c r="A2144" s="107">
        <v>44</v>
      </c>
      <c r="B2144" s="107">
        <v>5</v>
      </c>
      <c r="C2144" s="107">
        <v>2</v>
      </c>
      <c r="D2144" s="107" t="s">
        <v>632</v>
      </c>
      <c r="E2144" s="107" t="s">
        <v>633</v>
      </c>
      <c r="F2144" s="161">
        <v>45353</v>
      </c>
      <c r="G2144" s="107">
        <f t="shared" si="70"/>
        <v>5</v>
      </c>
    </row>
    <row r="2145" spans="1:7">
      <c r="A2145" s="107">
        <v>44</v>
      </c>
      <c r="B2145" s="107">
        <v>5</v>
      </c>
      <c r="C2145" s="107">
        <v>3</v>
      </c>
      <c r="D2145" s="107" t="s">
        <v>632</v>
      </c>
      <c r="E2145" s="107" t="s">
        <v>633</v>
      </c>
      <c r="F2145" s="161">
        <v>45353</v>
      </c>
      <c r="G2145" s="107">
        <f t="shared" si="70"/>
        <v>5</v>
      </c>
    </row>
    <row r="2146" spans="1:7">
      <c r="A2146" s="107">
        <v>44</v>
      </c>
      <c r="B2146" s="107">
        <v>5</v>
      </c>
      <c r="C2146" s="107">
        <v>4</v>
      </c>
      <c r="D2146" s="107" t="s">
        <v>632</v>
      </c>
      <c r="E2146" s="107" t="s">
        <v>633</v>
      </c>
      <c r="F2146" s="161">
        <v>45353</v>
      </c>
      <c r="G2146" s="107">
        <f t="shared" si="70"/>
        <v>5</v>
      </c>
    </row>
    <row r="2147" spans="1:7">
      <c r="A2147" s="107">
        <v>44</v>
      </c>
      <c r="B2147" s="107">
        <v>5</v>
      </c>
      <c r="C2147" s="107">
        <v>5</v>
      </c>
      <c r="D2147" s="107" t="s">
        <v>632</v>
      </c>
      <c r="E2147" s="107" t="s">
        <v>633</v>
      </c>
      <c r="F2147" s="161">
        <v>45353</v>
      </c>
      <c r="G2147" s="107">
        <f t="shared" si="70"/>
        <v>5</v>
      </c>
    </row>
    <row r="2148" spans="1:7">
      <c r="A2148" s="107">
        <v>44</v>
      </c>
      <c r="B2148" s="107">
        <v>5</v>
      </c>
      <c r="C2148" s="107">
        <v>6</v>
      </c>
      <c r="D2148" s="107" t="s">
        <v>632</v>
      </c>
      <c r="E2148" s="107" t="s">
        <v>633</v>
      </c>
      <c r="F2148" s="161">
        <v>45353</v>
      </c>
      <c r="G2148" s="107">
        <f t="shared" si="70"/>
        <v>5</v>
      </c>
    </row>
    <row r="2149" spans="1:7">
      <c r="A2149" s="107">
        <v>44</v>
      </c>
      <c r="B2149" s="107">
        <v>5</v>
      </c>
      <c r="C2149" s="107">
        <v>7</v>
      </c>
      <c r="D2149" s="107" t="s">
        <v>632</v>
      </c>
      <c r="E2149" s="107" t="s">
        <v>633</v>
      </c>
      <c r="F2149" s="161">
        <v>45353</v>
      </c>
      <c r="G2149" s="107">
        <f t="shared" si="70"/>
        <v>5</v>
      </c>
    </row>
    <row r="2150" spans="1:7">
      <c r="A2150" s="107">
        <v>44</v>
      </c>
      <c r="B2150" s="107">
        <v>5</v>
      </c>
      <c r="C2150" s="107">
        <v>8</v>
      </c>
      <c r="D2150" s="107" t="s">
        <v>632</v>
      </c>
      <c r="E2150" s="107" t="s">
        <v>633</v>
      </c>
      <c r="F2150" s="161">
        <v>45353</v>
      </c>
      <c r="G2150" s="107">
        <f t="shared" si="70"/>
        <v>5</v>
      </c>
    </row>
    <row r="2151" spans="1:7">
      <c r="A2151" s="107">
        <v>44</v>
      </c>
      <c r="B2151" s="107">
        <v>6</v>
      </c>
      <c r="C2151" s="107">
        <v>1</v>
      </c>
      <c r="D2151" s="107" t="s">
        <v>634</v>
      </c>
      <c r="E2151" s="107" t="s">
        <v>635</v>
      </c>
      <c r="F2151" s="161">
        <v>45352</v>
      </c>
      <c r="G2151" s="107">
        <f t="shared" si="70"/>
        <v>4</v>
      </c>
    </row>
    <row r="2152" spans="1:7">
      <c r="A2152" s="107">
        <v>44</v>
      </c>
      <c r="B2152" s="107">
        <v>6</v>
      </c>
      <c r="C2152" s="107">
        <v>2</v>
      </c>
      <c r="D2152" s="107" t="s">
        <v>634</v>
      </c>
      <c r="E2152" s="107" t="s">
        <v>635</v>
      </c>
      <c r="F2152" s="161">
        <v>45353</v>
      </c>
      <c r="G2152" s="107">
        <f t="shared" si="70"/>
        <v>5</v>
      </c>
    </row>
    <row r="2153" spans="1:7">
      <c r="A2153" s="107">
        <v>44</v>
      </c>
      <c r="B2153" s="107">
        <v>6</v>
      </c>
      <c r="C2153" s="107">
        <v>3</v>
      </c>
      <c r="D2153" s="107" t="s">
        <v>634</v>
      </c>
      <c r="E2153" s="107" t="s">
        <v>635</v>
      </c>
      <c r="F2153" s="161">
        <v>45352</v>
      </c>
      <c r="G2153" s="107">
        <f t="shared" si="70"/>
        <v>4</v>
      </c>
    </row>
    <row r="2154" spans="1:7">
      <c r="A2154" s="107">
        <v>44</v>
      </c>
      <c r="B2154" s="107">
        <v>6</v>
      </c>
      <c r="C2154" s="107">
        <v>4</v>
      </c>
      <c r="D2154" s="107" t="s">
        <v>634</v>
      </c>
      <c r="E2154" s="107" t="s">
        <v>635</v>
      </c>
      <c r="F2154" s="161">
        <v>45352</v>
      </c>
      <c r="G2154" s="107">
        <f t="shared" si="70"/>
        <v>4</v>
      </c>
    </row>
    <row r="2155" spans="1:7">
      <c r="A2155" s="107">
        <v>44</v>
      </c>
      <c r="B2155" s="107">
        <v>6</v>
      </c>
      <c r="C2155" s="107">
        <v>5</v>
      </c>
      <c r="D2155" s="107" t="s">
        <v>634</v>
      </c>
      <c r="E2155" s="107" t="s">
        <v>635</v>
      </c>
      <c r="F2155" s="161">
        <v>45353</v>
      </c>
      <c r="G2155" s="107">
        <f t="shared" si="70"/>
        <v>5</v>
      </c>
    </row>
    <row r="2156" spans="1:7">
      <c r="A2156" s="107">
        <v>44</v>
      </c>
      <c r="B2156" s="107">
        <v>6</v>
      </c>
      <c r="C2156" s="107">
        <v>6</v>
      </c>
      <c r="D2156" s="107" t="s">
        <v>634</v>
      </c>
      <c r="E2156" s="107" t="s">
        <v>635</v>
      </c>
      <c r="F2156" s="161">
        <v>45352</v>
      </c>
      <c r="G2156" s="107">
        <f t="shared" si="70"/>
        <v>4</v>
      </c>
    </row>
    <row r="2157" spans="1:7">
      <c r="A2157" s="107">
        <v>44</v>
      </c>
      <c r="B2157" s="107">
        <v>6</v>
      </c>
      <c r="C2157" s="107">
        <v>7</v>
      </c>
      <c r="D2157" s="107" t="s">
        <v>634</v>
      </c>
      <c r="E2157" s="107" t="s">
        <v>635</v>
      </c>
      <c r="F2157" s="161">
        <v>45352</v>
      </c>
      <c r="G2157" s="107">
        <f t="shared" si="70"/>
        <v>4</v>
      </c>
    </row>
    <row r="2158" spans="1:7">
      <c r="A2158" s="107">
        <v>44</v>
      </c>
      <c r="B2158" s="107">
        <v>6</v>
      </c>
      <c r="C2158" s="107">
        <v>8</v>
      </c>
      <c r="D2158" s="107" t="s">
        <v>634</v>
      </c>
      <c r="E2158" s="107" t="s">
        <v>635</v>
      </c>
      <c r="F2158" s="161">
        <v>45355</v>
      </c>
      <c r="G2158" s="107">
        <f t="shared" si="70"/>
        <v>7</v>
      </c>
    </row>
    <row r="2160" spans="1:7">
      <c r="A2160" s="107">
        <v>45</v>
      </c>
      <c r="B2160" s="107">
        <v>1</v>
      </c>
      <c r="C2160" s="107">
        <v>1</v>
      </c>
      <c r="D2160" s="107" t="s">
        <v>636</v>
      </c>
      <c r="E2160" s="107" t="s">
        <v>637</v>
      </c>
      <c r="F2160" s="161">
        <v>45352</v>
      </c>
      <c r="G2160" s="107">
        <f>DATEDIF(G$2,F2160,"d")</f>
        <v>4</v>
      </c>
    </row>
    <row r="2161" spans="1:7">
      <c r="A2161" s="107">
        <v>45</v>
      </c>
      <c r="B2161" s="107">
        <v>1</v>
      </c>
      <c r="C2161" s="107">
        <v>2</v>
      </c>
      <c r="D2161" s="107" t="s">
        <v>636</v>
      </c>
      <c r="E2161" s="107" t="s">
        <v>637</v>
      </c>
      <c r="F2161" s="161">
        <v>45353</v>
      </c>
      <c r="G2161" s="107">
        <f>DATEDIF(G$2,F2161,"d")</f>
        <v>5</v>
      </c>
    </row>
    <row r="2162" spans="1:7">
      <c r="A2162" s="107">
        <v>45</v>
      </c>
      <c r="B2162" s="107">
        <v>1</v>
      </c>
      <c r="C2162" s="107">
        <v>3</v>
      </c>
      <c r="D2162" s="107" t="s">
        <v>636</v>
      </c>
      <c r="E2162" s="107" t="s">
        <v>637</v>
      </c>
      <c r="F2162" s="161">
        <v>45353</v>
      </c>
      <c r="G2162" s="107">
        <f>DATEDIF(G$2,F2162,"d")</f>
        <v>5</v>
      </c>
    </row>
    <row r="2163" spans="1:7">
      <c r="A2163" s="107">
        <v>45</v>
      </c>
      <c r="B2163" s="107">
        <v>1</v>
      </c>
      <c r="C2163" s="107">
        <v>4</v>
      </c>
      <c r="D2163" s="107" t="s">
        <v>636</v>
      </c>
      <c r="E2163" s="107" t="s">
        <v>637</v>
      </c>
      <c r="F2163" s="107"/>
      <c r="G2163" s="107"/>
    </row>
    <row r="2164" spans="1:7">
      <c r="A2164" s="107">
        <v>45</v>
      </c>
      <c r="B2164" s="107">
        <v>1</v>
      </c>
      <c r="C2164" s="107">
        <v>5</v>
      </c>
      <c r="D2164" s="107" t="s">
        <v>636</v>
      </c>
      <c r="E2164" s="107" t="s">
        <v>637</v>
      </c>
      <c r="F2164" s="161">
        <v>45353</v>
      </c>
      <c r="G2164" s="107">
        <f t="shared" ref="G2164:G2176" si="71">DATEDIF(G$2,F2164,"d")</f>
        <v>5</v>
      </c>
    </row>
    <row r="2165" spans="1:7">
      <c r="A2165" s="107">
        <v>45</v>
      </c>
      <c r="B2165" s="107">
        <v>1</v>
      </c>
      <c r="C2165" s="107">
        <v>6</v>
      </c>
      <c r="D2165" s="107" t="s">
        <v>636</v>
      </c>
      <c r="E2165" s="107" t="s">
        <v>637</v>
      </c>
      <c r="F2165" s="161">
        <v>45353</v>
      </c>
      <c r="G2165" s="107">
        <f t="shared" si="71"/>
        <v>5</v>
      </c>
    </row>
    <row r="2166" spans="1:7">
      <c r="A2166" s="107">
        <v>45</v>
      </c>
      <c r="B2166" s="107">
        <v>1</v>
      </c>
      <c r="C2166" s="107">
        <v>7</v>
      </c>
      <c r="D2166" s="107" t="s">
        <v>636</v>
      </c>
      <c r="E2166" s="107" t="s">
        <v>637</v>
      </c>
      <c r="F2166" s="161">
        <v>45354</v>
      </c>
      <c r="G2166" s="107">
        <f t="shared" si="71"/>
        <v>6</v>
      </c>
    </row>
    <row r="2167" spans="1:7">
      <c r="A2167" s="107">
        <v>45</v>
      </c>
      <c r="B2167" s="107">
        <v>1</v>
      </c>
      <c r="C2167" s="107">
        <v>8</v>
      </c>
      <c r="D2167" s="107" t="s">
        <v>636</v>
      </c>
      <c r="E2167" s="107" t="s">
        <v>637</v>
      </c>
      <c r="F2167" s="161">
        <v>45353</v>
      </c>
      <c r="G2167" s="107">
        <f t="shared" si="71"/>
        <v>5</v>
      </c>
    </row>
    <row r="2168" spans="1:7">
      <c r="A2168" s="107">
        <v>45</v>
      </c>
      <c r="B2168" s="107">
        <v>2</v>
      </c>
      <c r="C2168" s="107">
        <v>1</v>
      </c>
      <c r="D2168" s="107" t="s">
        <v>638</v>
      </c>
      <c r="E2168" s="107" t="s">
        <v>639</v>
      </c>
      <c r="F2168" s="161">
        <v>45353</v>
      </c>
      <c r="G2168" s="107">
        <f t="shared" si="71"/>
        <v>5</v>
      </c>
    </row>
    <row r="2169" spans="1:7">
      <c r="A2169" s="107">
        <v>45</v>
      </c>
      <c r="B2169" s="107">
        <v>2</v>
      </c>
      <c r="C2169" s="107">
        <v>2</v>
      </c>
      <c r="D2169" s="107" t="s">
        <v>638</v>
      </c>
      <c r="E2169" s="107" t="s">
        <v>639</v>
      </c>
      <c r="F2169" s="161">
        <v>45352</v>
      </c>
      <c r="G2169" s="107">
        <f t="shared" si="71"/>
        <v>4</v>
      </c>
    </row>
    <row r="2170" spans="1:7">
      <c r="A2170" s="107">
        <v>45</v>
      </c>
      <c r="B2170" s="107">
        <v>2</v>
      </c>
      <c r="C2170" s="107">
        <v>3</v>
      </c>
      <c r="D2170" s="107" t="s">
        <v>638</v>
      </c>
      <c r="E2170" s="107" t="s">
        <v>639</v>
      </c>
      <c r="F2170" s="161">
        <v>45353</v>
      </c>
      <c r="G2170" s="107">
        <f t="shared" si="71"/>
        <v>5</v>
      </c>
    </row>
    <row r="2171" spans="1:7">
      <c r="A2171" s="107">
        <v>45</v>
      </c>
      <c r="B2171" s="107">
        <v>2</v>
      </c>
      <c r="C2171" s="107">
        <v>4</v>
      </c>
      <c r="D2171" s="107" t="s">
        <v>638</v>
      </c>
      <c r="E2171" s="107" t="s">
        <v>639</v>
      </c>
      <c r="F2171" s="161">
        <v>45352</v>
      </c>
      <c r="G2171" s="107">
        <f t="shared" si="71"/>
        <v>4</v>
      </c>
    </row>
    <row r="2172" spans="1:7">
      <c r="A2172" s="107">
        <v>45</v>
      </c>
      <c r="B2172" s="107">
        <v>2</v>
      </c>
      <c r="C2172" s="107">
        <v>5</v>
      </c>
      <c r="D2172" s="107" t="s">
        <v>638</v>
      </c>
      <c r="E2172" s="107" t="s">
        <v>639</v>
      </c>
      <c r="F2172" s="161">
        <v>45352</v>
      </c>
      <c r="G2172" s="107">
        <f t="shared" si="71"/>
        <v>4</v>
      </c>
    </row>
    <row r="2173" spans="1:7">
      <c r="A2173" s="107">
        <v>45</v>
      </c>
      <c r="B2173" s="107">
        <v>2</v>
      </c>
      <c r="C2173" s="107">
        <v>6</v>
      </c>
      <c r="D2173" s="107" t="s">
        <v>638</v>
      </c>
      <c r="E2173" s="107" t="s">
        <v>639</v>
      </c>
      <c r="F2173" s="161">
        <v>45353</v>
      </c>
      <c r="G2173" s="107">
        <f t="shared" si="71"/>
        <v>5</v>
      </c>
    </row>
    <row r="2174" spans="1:7">
      <c r="A2174" s="107">
        <v>45</v>
      </c>
      <c r="B2174" s="107">
        <v>2</v>
      </c>
      <c r="C2174" s="107">
        <v>7</v>
      </c>
      <c r="D2174" s="107" t="s">
        <v>638</v>
      </c>
      <c r="E2174" s="107" t="s">
        <v>639</v>
      </c>
      <c r="F2174" s="161">
        <v>45352</v>
      </c>
      <c r="G2174" s="107">
        <f t="shared" si="71"/>
        <v>4</v>
      </c>
    </row>
    <row r="2175" spans="1:7">
      <c r="A2175" s="107">
        <v>45</v>
      </c>
      <c r="B2175" s="107">
        <v>2</v>
      </c>
      <c r="C2175" s="107">
        <v>8</v>
      </c>
      <c r="D2175" s="107" t="s">
        <v>638</v>
      </c>
      <c r="E2175" s="107" t="s">
        <v>639</v>
      </c>
      <c r="F2175" s="161">
        <v>45353</v>
      </c>
      <c r="G2175" s="107">
        <f t="shared" si="71"/>
        <v>5</v>
      </c>
    </row>
    <row r="2176" spans="1:7">
      <c r="A2176" s="107">
        <v>45</v>
      </c>
      <c r="B2176" s="107">
        <v>3</v>
      </c>
      <c r="C2176" s="107">
        <v>1</v>
      </c>
      <c r="D2176" s="107" t="s">
        <v>640</v>
      </c>
      <c r="E2176" s="107" t="s">
        <v>641</v>
      </c>
      <c r="F2176" s="161">
        <v>45353</v>
      </c>
      <c r="G2176" s="107">
        <f t="shared" si="71"/>
        <v>5</v>
      </c>
    </row>
    <row r="2177" spans="1:7">
      <c r="A2177" s="107">
        <v>45</v>
      </c>
      <c r="B2177" s="107">
        <v>3</v>
      </c>
      <c r="C2177" s="107">
        <v>2</v>
      </c>
      <c r="D2177" s="107" t="s">
        <v>640</v>
      </c>
      <c r="E2177" s="107" t="s">
        <v>641</v>
      </c>
      <c r="F2177" s="107"/>
      <c r="G2177" s="107"/>
    </row>
    <row r="2178" spans="1:7">
      <c r="A2178" s="107">
        <v>45</v>
      </c>
      <c r="B2178" s="107">
        <v>3</v>
      </c>
      <c r="C2178" s="107">
        <v>3</v>
      </c>
      <c r="D2178" s="107" t="s">
        <v>640</v>
      </c>
      <c r="E2178" s="107" t="s">
        <v>641</v>
      </c>
      <c r="F2178" s="161">
        <v>45353</v>
      </c>
      <c r="G2178" s="107">
        <f t="shared" ref="G2178:G2187" si="72">DATEDIF(G$2,F2178,"d")</f>
        <v>5</v>
      </c>
    </row>
    <row r="2179" spans="1:7">
      <c r="A2179" s="107">
        <v>45</v>
      </c>
      <c r="B2179" s="107">
        <v>3</v>
      </c>
      <c r="C2179" s="107">
        <v>4</v>
      </c>
      <c r="D2179" s="107" t="s">
        <v>640</v>
      </c>
      <c r="E2179" s="107" t="s">
        <v>641</v>
      </c>
      <c r="F2179" s="161">
        <v>45353</v>
      </c>
      <c r="G2179" s="107">
        <f t="shared" si="72"/>
        <v>5</v>
      </c>
    </row>
    <row r="2180" spans="1:7">
      <c r="A2180" s="107">
        <v>45</v>
      </c>
      <c r="B2180" s="107">
        <v>3</v>
      </c>
      <c r="C2180" s="107">
        <v>5</v>
      </c>
      <c r="D2180" s="107" t="s">
        <v>640</v>
      </c>
      <c r="E2180" s="107" t="s">
        <v>641</v>
      </c>
      <c r="F2180" s="161">
        <v>45353</v>
      </c>
      <c r="G2180" s="107">
        <f t="shared" si="72"/>
        <v>5</v>
      </c>
    </row>
    <row r="2181" spans="1:7">
      <c r="A2181" s="107">
        <v>45</v>
      </c>
      <c r="B2181" s="107">
        <v>3</v>
      </c>
      <c r="C2181" s="107">
        <v>6</v>
      </c>
      <c r="D2181" s="107" t="s">
        <v>640</v>
      </c>
      <c r="E2181" s="107" t="s">
        <v>641</v>
      </c>
      <c r="F2181" s="161">
        <v>45353</v>
      </c>
      <c r="G2181" s="107">
        <f t="shared" si="72"/>
        <v>5</v>
      </c>
    </row>
    <row r="2182" spans="1:7">
      <c r="A2182" s="107">
        <v>45</v>
      </c>
      <c r="B2182" s="107">
        <v>3</v>
      </c>
      <c r="C2182" s="107">
        <v>7</v>
      </c>
      <c r="D2182" s="107" t="s">
        <v>640</v>
      </c>
      <c r="E2182" s="107" t="s">
        <v>641</v>
      </c>
      <c r="F2182" s="161">
        <v>45353</v>
      </c>
      <c r="G2182" s="107">
        <f t="shared" si="72"/>
        <v>5</v>
      </c>
    </row>
    <row r="2183" spans="1:7">
      <c r="A2183" s="107">
        <v>45</v>
      </c>
      <c r="B2183" s="107">
        <v>3</v>
      </c>
      <c r="C2183" s="107">
        <v>8</v>
      </c>
      <c r="D2183" s="107" t="s">
        <v>640</v>
      </c>
      <c r="E2183" s="107" t="s">
        <v>641</v>
      </c>
      <c r="F2183" s="161">
        <v>45353</v>
      </c>
      <c r="G2183" s="107">
        <f t="shared" si="72"/>
        <v>5</v>
      </c>
    </row>
    <row r="2184" spans="1:7">
      <c r="A2184" s="107">
        <v>45</v>
      </c>
      <c r="B2184" s="107">
        <v>4</v>
      </c>
      <c r="C2184" s="107">
        <v>1</v>
      </c>
      <c r="D2184" s="107" t="s">
        <v>642</v>
      </c>
      <c r="E2184" s="107" t="s">
        <v>643</v>
      </c>
      <c r="F2184" s="161">
        <v>45353</v>
      </c>
      <c r="G2184" s="107">
        <f t="shared" si="72"/>
        <v>5</v>
      </c>
    </row>
    <row r="2185" spans="1:7">
      <c r="A2185" s="107">
        <v>45</v>
      </c>
      <c r="B2185" s="107">
        <v>4</v>
      </c>
      <c r="C2185" s="107">
        <v>2</v>
      </c>
      <c r="D2185" s="107" t="s">
        <v>642</v>
      </c>
      <c r="E2185" s="107" t="s">
        <v>643</v>
      </c>
      <c r="F2185" s="161">
        <v>45352</v>
      </c>
      <c r="G2185" s="107">
        <f t="shared" si="72"/>
        <v>4</v>
      </c>
    </row>
    <row r="2186" spans="1:7">
      <c r="A2186" s="107">
        <v>45</v>
      </c>
      <c r="B2186" s="107">
        <v>4</v>
      </c>
      <c r="C2186" s="107">
        <v>3</v>
      </c>
      <c r="D2186" s="107" t="s">
        <v>642</v>
      </c>
      <c r="E2186" s="107" t="s">
        <v>643</v>
      </c>
      <c r="F2186" s="161">
        <v>45353</v>
      </c>
      <c r="G2186" s="107">
        <f t="shared" si="72"/>
        <v>5</v>
      </c>
    </row>
    <row r="2187" spans="1:7">
      <c r="A2187" s="107">
        <v>45</v>
      </c>
      <c r="B2187" s="107">
        <v>4</v>
      </c>
      <c r="C2187" s="107">
        <v>4</v>
      </c>
      <c r="D2187" s="107" t="s">
        <v>642</v>
      </c>
      <c r="E2187" s="107" t="s">
        <v>643</v>
      </c>
      <c r="F2187" s="161">
        <v>45353</v>
      </c>
      <c r="G2187" s="107">
        <f t="shared" si="72"/>
        <v>5</v>
      </c>
    </row>
    <row r="2188" spans="1:7">
      <c r="A2188" s="107">
        <v>45</v>
      </c>
      <c r="B2188" s="107">
        <v>4</v>
      </c>
      <c r="C2188" s="107">
        <v>5</v>
      </c>
      <c r="D2188" s="107" t="s">
        <v>642</v>
      </c>
      <c r="E2188" s="107" t="s">
        <v>643</v>
      </c>
      <c r="F2188" s="107"/>
      <c r="G2188" s="107"/>
    </row>
    <row r="2189" spans="1:7">
      <c r="A2189" s="107">
        <v>45</v>
      </c>
      <c r="B2189" s="107">
        <v>4</v>
      </c>
      <c r="C2189" s="107">
        <v>6</v>
      </c>
      <c r="D2189" s="107" t="s">
        <v>642</v>
      </c>
      <c r="E2189" s="107" t="s">
        <v>643</v>
      </c>
      <c r="F2189" s="161">
        <v>45353</v>
      </c>
      <c r="G2189" s="107">
        <f t="shared" ref="G2189:G2203" si="73">DATEDIF(G$2,F2189,"d")</f>
        <v>5</v>
      </c>
    </row>
    <row r="2190" spans="1:7">
      <c r="A2190" s="107">
        <v>45</v>
      </c>
      <c r="B2190" s="107">
        <v>4</v>
      </c>
      <c r="C2190" s="107">
        <v>7</v>
      </c>
      <c r="D2190" s="107" t="s">
        <v>642</v>
      </c>
      <c r="E2190" s="107" t="s">
        <v>643</v>
      </c>
      <c r="F2190" s="161">
        <v>45353</v>
      </c>
      <c r="G2190" s="107">
        <f t="shared" si="73"/>
        <v>5</v>
      </c>
    </row>
    <row r="2191" spans="1:7">
      <c r="A2191" s="107">
        <v>45</v>
      </c>
      <c r="B2191" s="107">
        <v>4</v>
      </c>
      <c r="C2191" s="107">
        <v>8</v>
      </c>
      <c r="D2191" s="107" t="s">
        <v>642</v>
      </c>
      <c r="E2191" s="107" t="s">
        <v>643</v>
      </c>
      <c r="F2191" s="161">
        <v>45353</v>
      </c>
      <c r="G2191" s="107">
        <f t="shared" si="73"/>
        <v>5</v>
      </c>
    </row>
    <row r="2192" spans="1:7">
      <c r="A2192" s="107">
        <v>45</v>
      </c>
      <c r="B2192" s="107">
        <v>5</v>
      </c>
      <c r="C2192" s="107">
        <v>1</v>
      </c>
      <c r="D2192" s="107" t="s">
        <v>644</v>
      </c>
      <c r="E2192" s="107" t="s">
        <v>645</v>
      </c>
      <c r="F2192" s="161">
        <v>45353</v>
      </c>
      <c r="G2192" s="107">
        <f t="shared" si="73"/>
        <v>5</v>
      </c>
    </row>
    <row r="2193" spans="1:7">
      <c r="A2193" s="107">
        <v>45</v>
      </c>
      <c r="B2193" s="107">
        <v>5</v>
      </c>
      <c r="C2193" s="107">
        <v>2</v>
      </c>
      <c r="D2193" s="107" t="s">
        <v>644</v>
      </c>
      <c r="E2193" s="107" t="s">
        <v>645</v>
      </c>
      <c r="F2193" s="161">
        <v>45352</v>
      </c>
      <c r="G2193" s="107">
        <f t="shared" si="73"/>
        <v>4</v>
      </c>
    </row>
    <row r="2194" spans="1:7">
      <c r="A2194" s="107">
        <v>45</v>
      </c>
      <c r="B2194" s="107">
        <v>5</v>
      </c>
      <c r="C2194" s="107">
        <v>3</v>
      </c>
      <c r="D2194" s="107" t="s">
        <v>644</v>
      </c>
      <c r="E2194" s="107" t="s">
        <v>645</v>
      </c>
      <c r="F2194" s="161">
        <v>45353</v>
      </c>
      <c r="G2194" s="107">
        <f t="shared" si="73"/>
        <v>5</v>
      </c>
    </row>
    <row r="2195" spans="1:7">
      <c r="A2195" s="107">
        <v>45</v>
      </c>
      <c r="B2195" s="107">
        <v>5</v>
      </c>
      <c r="C2195" s="107">
        <v>4</v>
      </c>
      <c r="D2195" s="107" t="s">
        <v>644</v>
      </c>
      <c r="E2195" s="107" t="s">
        <v>645</v>
      </c>
      <c r="F2195" s="161">
        <v>45353</v>
      </c>
      <c r="G2195" s="107">
        <f t="shared" si="73"/>
        <v>5</v>
      </c>
    </row>
    <row r="2196" spans="1:7">
      <c r="A2196" s="107">
        <v>45</v>
      </c>
      <c r="B2196" s="107">
        <v>5</v>
      </c>
      <c r="C2196" s="107">
        <v>5</v>
      </c>
      <c r="D2196" s="107" t="s">
        <v>644</v>
      </c>
      <c r="E2196" s="107" t="s">
        <v>645</v>
      </c>
      <c r="F2196" s="161">
        <v>45353</v>
      </c>
      <c r="G2196" s="107">
        <f t="shared" si="73"/>
        <v>5</v>
      </c>
    </row>
    <row r="2197" spans="1:7">
      <c r="A2197" s="107">
        <v>45</v>
      </c>
      <c r="B2197" s="107">
        <v>5</v>
      </c>
      <c r="C2197" s="107">
        <v>6</v>
      </c>
      <c r="D2197" s="107" t="s">
        <v>644</v>
      </c>
      <c r="E2197" s="107" t="s">
        <v>645</v>
      </c>
      <c r="F2197" s="161">
        <v>45353</v>
      </c>
      <c r="G2197" s="107">
        <f t="shared" si="73"/>
        <v>5</v>
      </c>
    </row>
    <row r="2198" spans="1:7">
      <c r="A2198" s="107">
        <v>45</v>
      </c>
      <c r="B2198" s="107">
        <v>5</v>
      </c>
      <c r="C2198" s="107">
        <v>7</v>
      </c>
      <c r="D2198" s="107" t="s">
        <v>644</v>
      </c>
      <c r="E2198" s="107" t="s">
        <v>645</v>
      </c>
      <c r="F2198" s="161">
        <v>45353</v>
      </c>
      <c r="G2198" s="107">
        <f t="shared" si="73"/>
        <v>5</v>
      </c>
    </row>
    <row r="2199" spans="1:7">
      <c r="A2199" s="107">
        <v>45</v>
      </c>
      <c r="B2199" s="107">
        <v>5</v>
      </c>
      <c r="C2199" s="107">
        <v>8</v>
      </c>
      <c r="D2199" s="107" t="s">
        <v>644</v>
      </c>
      <c r="E2199" s="107" t="s">
        <v>645</v>
      </c>
      <c r="F2199" s="161">
        <v>45353</v>
      </c>
      <c r="G2199" s="107">
        <f t="shared" si="73"/>
        <v>5</v>
      </c>
    </row>
    <row r="2200" spans="1:7">
      <c r="A2200" s="107">
        <v>45</v>
      </c>
      <c r="B2200" s="107">
        <v>6</v>
      </c>
      <c r="C2200" s="107">
        <v>1</v>
      </c>
      <c r="D2200" s="107" t="s">
        <v>646</v>
      </c>
      <c r="E2200" s="107" t="s">
        <v>647</v>
      </c>
      <c r="F2200" s="161">
        <v>45353</v>
      </c>
      <c r="G2200" s="107">
        <f t="shared" si="73"/>
        <v>5</v>
      </c>
    </row>
    <row r="2201" spans="1:7">
      <c r="A2201" s="107">
        <v>45</v>
      </c>
      <c r="B2201" s="107">
        <v>6</v>
      </c>
      <c r="C2201" s="107">
        <v>2</v>
      </c>
      <c r="D2201" s="107" t="s">
        <v>646</v>
      </c>
      <c r="E2201" s="107" t="s">
        <v>647</v>
      </c>
      <c r="F2201" s="161">
        <v>45353</v>
      </c>
      <c r="G2201" s="107">
        <f t="shared" si="73"/>
        <v>5</v>
      </c>
    </row>
    <row r="2202" spans="1:7">
      <c r="A2202" s="107">
        <v>45</v>
      </c>
      <c r="B2202" s="107">
        <v>6</v>
      </c>
      <c r="C2202" s="107">
        <v>3</v>
      </c>
      <c r="D2202" s="107" t="s">
        <v>646</v>
      </c>
      <c r="E2202" s="107" t="s">
        <v>647</v>
      </c>
      <c r="F2202" s="161">
        <v>45353</v>
      </c>
      <c r="G2202" s="107">
        <f t="shared" si="73"/>
        <v>5</v>
      </c>
    </row>
    <row r="2203" spans="1:7">
      <c r="A2203" s="107">
        <v>45</v>
      </c>
      <c r="B2203" s="107">
        <v>6</v>
      </c>
      <c r="C2203" s="107">
        <v>4</v>
      </c>
      <c r="D2203" s="107" t="s">
        <v>646</v>
      </c>
      <c r="E2203" s="107" t="s">
        <v>647</v>
      </c>
      <c r="F2203" s="161">
        <v>45353</v>
      </c>
      <c r="G2203" s="107">
        <f t="shared" si="73"/>
        <v>5</v>
      </c>
    </row>
    <row r="2204" spans="1:7">
      <c r="A2204" s="107">
        <v>45</v>
      </c>
      <c r="B2204" s="107">
        <v>6</v>
      </c>
      <c r="C2204" s="107">
        <v>5</v>
      </c>
      <c r="D2204" s="107" t="s">
        <v>646</v>
      </c>
      <c r="E2204" s="107" t="s">
        <v>647</v>
      </c>
      <c r="F2204" s="107"/>
      <c r="G2204" s="107"/>
    </row>
    <row r="2205" spans="1:7">
      <c r="A2205" s="107">
        <v>45</v>
      </c>
      <c r="B2205" s="107">
        <v>6</v>
      </c>
      <c r="C2205" s="107">
        <v>6</v>
      </c>
      <c r="D2205" s="107" t="s">
        <v>646</v>
      </c>
      <c r="E2205" s="107" t="s">
        <v>647</v>
      </c>
      <c r="F2205" s="161">
        <v>45353</v>
      </c>
      <c r="G2205" s="107">
        <f>DATEDIF(G$2,F2205,"d")</f>
        <v>5</v>
      </c>
    </row>
    <row r="2206" spans="1:7">
      <c r="A2206" s="107">
        <v>45</v>
      </c>
      <c r="B2206" s="107">
        <v>6</v>
      </c>
      <c r="C2206" s="107">
        <v>7</v>
      </c>
      <c r="D2206" s="107" t="s">
        <v>646</v>
      </c>
      <c r="E2206" s="107" t="s">
        <v>647</v>
      </c>
      <c r="F2206" s="161">
        <v>45353</v>
      </c>
      <c r="G2206" s="107">
        <f>DATEDIF(G$2,F2206,"d")</f>
        <v>5</v>
      </c>
    </row>
    <row r="2207" spans="1:7">
      <c r="A2207" s="107">
        <v>45</v>
      </c>
      <c r="B2207" s="107">
        <v>6</v>
      </c>
      <c r="C2207" s="107">
        <v>8</v>
      </c>
      <c r="D2207" s="107" t="s">
        <v>646</v>
      </c>
      <c r="E2207" s="107" t="s">
        <v>647</v>
      </c>
      <c r="F2207" s="171">
        <v>45353</v>
      </c>
      <c r="G2207" s="107">
        <f>DATEDIF(G$2,F2207,"d")</f>
        <v>5</v>
      </c>
    </row>
    <row r="2208" spans="1:7">
      <c r="F2208" s="139"/>
      <c r="G2208" s="174"/>
    </row>
    <row r="2209" spans="1:7">
      <c r="A2209" s="107">
        <v>46</v>
      </c>
      <c r="B2209" s="107">
        <v>1</v>
      </c>
      <c r="C2209" s="107">
        <v>1</v>
      </c>
      <c r="D2209" s="107" t="s">
        <v>648</v>
      </c>
      <c r="E2209" s="107" t="s">
        <v>649</v>
      </c>
      <c r="F2209" s="172">
        <v>45353</v>
      </c>
      <c r="G2209" s="107">
        <f t="shared" ref="G2209:G2252" si="74">DATEDIF(G$2,F2209,"d")</f>
        <v>5</v>
      </c>
    </row>
    <row r="2210" spans="1:7">
      <c r="A2210" s="107">
        <v>46</v>
      </c>
      <c r="B2210" s="107">
        <v>1</v>
      </c>
      <c r="C2210" s="107">
        <v>2</v>
      </c>
      <c r="D2210" s="107" t="s">
        <v>648</v>
      </c>
      <c r="E2210" s="107" t="s">
        <v>649</v>
      </c>
      <c r="F2210" s="161">
        <v>45353</v>
      </c>
      <c r="G2210" s="107">
        <f t="shared" si="74"/>
        <v>5</v>
      </c>
    </row>
    <row r="2211" spans="1:7">
      <c r="A2211" s="107">
        <v>46</v>
      </c>
      <c r="B2211" s="107">
        <v>1</v>
      </c>
      <c r="C2211" s="107">
        <v>3</v>
      </c>
      <c r="D2211" s="107" t="s">
        <v>648</v>
      </c>
      <c r="E2211" s="107" t="s">
        <v>649</v>
      </c>
      <c r="F2211" s="161">
        <v>45353</v>
      </c>
      <c r="G2211" s="107">
        <f t="shared" si="74"/>
        <v>5</v>
      </c>
    </row>
    <row r="2212" spans="1:7">
      <c r="A2212" s="107">
        <v>46</v>
      </c>
      <c r="B2212" s="107">
        <v>1</v>
      </c>
      <c r="C2212" s="107">
        <v>4</v>
      </c>
      <c r="D2212" s="107" t="s">
        <v>648</v>
      </c>
      <c r="E2212" s="107" t="s">
        <v>649</v>
      </c>
      <c r="F2212" s="161">
        <v>45352</v>
      </c>
      <c r="G2212" s="107">
        <f t="shared" si="74"/>
        <v>4</v>
      </c>
    </row>
    <row r="2213" spans="1:7">
      <c r="A2213" s="107">
        <v>46</v>
      </c>
      <c r="B2213" s="107">
        <v>1</v>
      </c>
      <c r="C2213" s="107">
        <v>5</v>
      </c>
      <c r="D2213" s="107" t="s">
        <v>648</v>
      </c>
      <c r="E2213" s="107" t="s">
        <v>649</v>
      </c>
      <c r="F2213" s="161">
        <v>45353</v>
      </c>
      <c r="G2213" s="107">
        <f t="shared" si="74"/>
        <v>5</v>
      </c>
    </row>
    <row r="2214" spans="1:7">
      <c r="A2214" s="107">
        <v>46</v>
      </c>
      <c r="B2214" s="107">
        <v>1</v>
      </c>
      <c r="C2214" s="107">
        <v>6</v>
      </c>
      <c r="D2214" s="107" t="s">
        <v>648</v>
      </c>
      <c r="E2214" s="107" t="s">
        <v>649</v>
      </c>
      <c r="F2214" s="161">
        <v>45353</v>
      </c>
      <c r="G2214" s="107">
        <f t="shared" si="74"/>
        <v>5</v>
      </c>
    </row>
    <row r="2215" spans="1:7">
      <c r="A2215" s="107">
        <v>46</v>
      </c>
      <c r="B2215" s="107">
        <v>1</v>
      </c>
      <c r="C2215" s="107">
        <v>7</v>
      </c>
      <c r="D2215" s="107" t="s">
        <v>648</v>
      </c>
      <c r="E2215" s="107" t="s">
        <v>649</v>
      </c>
      <c r="F2215" s="161">
        <v>45353</v>
      </c>
      <c r="G2215" s="107">
        <f t="shared" si="74"/>
        <v>5</v>
      </c>
    </row>
    <row r="2216" spans="1:7">
      <c r="A2216" s="107">
        <v>46</v>
      </c>
      <c r="B2216" s="107">
        <v>1</v>
      </c>
      <c r="C2216" s="107">
        <v>8</v>
      </c>
      <c r="D2216" s="107" t="s">
        <v>648</v>
      </c>
      <c r="E2216" s="107" t="s">
        <v>649</v>
      </c>
      <c r="F2216" s="161">
        <v>45353</v>
      </c>
      <c r="G2216" s="107">
        <f t="shared" si="74"/>
        <v>5</v>
      </c>
    </row>
    <row r="2217" spans="1:7">
      <c r="A2217" s="107">
        <v>46</v>
      </c>
      <c r="B2217" s="107">
        <v>2</v>
      </c>
      <c r="C2217" s="107">
        <v>1</v>
      </c>
      <c r="D2217" s="107" t="s">
        <v>650</v>
      </c>
      <c r="E2217" s="107" t="s">
        <v>651</v>
      </c>
      <c r="F2217" s="161">
        <v>45353</v>
      </c>
      <c r="G2217" s="107">
        <f t="shared" si="74"/>
        <v>5</v>
      </c>
    </row>
    <row r="2218" spans="1:7">
      <c r="A2218" s="107">
        <v>46</v>
      </c>
      <c r="B2218" s="107">
        <v>2</v>
      </c>
      <c r="C2218" s="107">
        <v>2</v>
      </c>
      <c r="D2218" s="107" t="s">
        <v>650</v>
      </c>
      <c r="E2218" s="107" t="s">
        <v>651</v>
      </c>
      <c r="F2218" s="161">
        <v>45353</v>
      </c>
      <c r="G2218" s="107">
        <f t="shared" si="74"/>
        <v>5</v>
      </c>
    </row>
    <row r="2219" spans="1:7">
      <c r="A2219" s="107">
        <v>46</v>
      </c>
      <c r="B2219" s="107">
        <v>2</v>
      </c>
      <c r="C2219" s="107">
        <v>3</v>
      </c>
      <c r="D2219" s="107" t="s">
        <v>650</v>
      </c>
      <c r="E2219" s="107" t="s">
        <v>651</v>
      </c>
      <c r="F2219" s="161">
        <v>45353</v>
      </c>
      <c r="G2219" s="107">
        <f t="shared" si="74"/>
        <v>5</v>
      </c>
    </row>
    <row r="2220" spans="1:7">
      <c r="A2220" s="107">
        <v>46</v>
      </c>
      <c r="B2220" s="107">
        <v>2</v>
      </c>
      <c r="C2220" s="107">
        <v>4</v>
      </c>
      <c r="D2220" s="107" t="s">
        <v>650</v>
      </c>
      <c r="E2220" s="107" t="s">
        <v>651</v>
      </c>
      <c r="F2220" s="161">
        <v>45353</v>
      </c>
      <c r="G2220" s="107">
        <f t="shared" si="74"/>
        <v>5</v>
      </c>
    </row>
    <row r="2221" spans="1:7">
      <c r="A2221" s="107">
        <v>46</v>
      </c>
      <c r="B2221" s="107">
        <v>2</v>
      </c>
      <c r="C2221" s="107">
        <v>5</v>
      </c>
      <c r="D2221" s="107" t="s">
        <v>650</v>
      </c>
      <c r="E2221" s="107" t="s">
        <v>651</v>
      </c>
      <c r="F2221" s="161">
        <v>45353</v>
      </c>
      <c r="G2221" s="107">
        <f t="shared" si="74"/>
        <v>5</v>
      </c>
    </row>
    <row r="2222" spans="1:7">
      <c r="A2222" s="107">
        <v>46</v>
      </c>
      <c r="B2222" s="107">
        <v>2</v>
      </c>
      <c r="C2222" s="107">
        <v>6</v>
      </c>
      <c r="D2222" s="107" t="s">
        <v>650</v>
      </c>
      <c r="E2222" s="107" t="s">
        <v>651</v>
      </c>
      <c r="F2222" s="161">
        <v>45353</v>
      </c>
      <c r="G2222" s="107">
        <f t="shared" si="74"/>
        <v>5</v>
      </c>
    </row>
    <row r="2223" spans="1:7">
      <c r="A2223" s="107">
        <v>46</v>
      </c>
      <c r="B2223" s="107">
        <v>2</v>
      </c>
      <c r="C2223" s="107">
        <v>7</v>
      </c>
      <c r="D2223" s="107" t="s">
        <v>650</v>
      </c>
      <c r="E2223" s="107" t="s">
        <v>651</v>
      </c>
      <c r="F2223" s="161">
        <v>45352</v>
      </c>
      <c r="G2223" s="107">
        <f t="shared" si="74"/>
        <v>4</v>
      </c>
    </row>
    <row r="2224" spans="1:7">
      <c r="A2224" s="107">
        <v>46</v>
      </c>
      <c r="B2224" s="107">
        <v>2</v>
      </c>
      <c r="C2224" s="107">
        <v>8</v>
      </c>
      <c r="D2224" s="107" t="s">
        <v>650</v>
      </c>
      <c r="E2224" s="107" t="s">
        <v>651</v>
      </c>
      <c r="F2224" s="161">
        <v>45352</v>
      </c>
      <c r="G2224" s="107">
        <f t="shared" si="74"/>
        <v>4</v>
      </c>
    </row>
    <row r="2225" spans="1:7">
      <c r="A2225" s="107">
        <v>46</v>
      </c>
      <c r="B2225" s="107">
        <v>3</v>
      </c>
      <c r="C2225" s="107">
        <v>1</v>
      </c>
      <c r="D2225" s="107" t="s">
        <v>652</v>
      </c>
      <c r="E2225" s="107" t="s">
        <v>653</v>
      </c>
      <c r="F2225" s="161">
        <v>45355</v>
      </c>
      <c r="G2225" s="107">
        <f t="shared" si="74"/>
        <v>7</v>
      </c>
    </row>
    <row r="2226" spans="1:7">
      <c r="A2226" s="107">
        <v>46</v>
      </c>
      <c r="B2226" s="107">
        <v>3</v>
      </c>
      <c r="C2226" s="107">
        <v>2</v>
      </c>
      <c r="D2226" s="107" t="s">
        <v>652</v>
      </c>
      <c r="E2226" s="107" t="s">
        <v>653</v>
      </c>
      <c r="F2226" s="161">
        <v>45353</v>
      </c>
      <c r="G2226" s="107">
        <f t="shared" si="74"/>
        <v>5</v>
      </c>
    </row>
    <row r="2227" spans="1:7">
      <c r="A2227" s="107">
        <v>46</v>
      </c>
      <c r="B2227" s="107">
        <v>3</v>
      </c>
      <c r="C2227" s="107">
        <v>3</v>
      </c>
      <c r="D2227" s="107" t="s">
        <v>652</v>
      </c>
      <c r="E2227" s="107" t="s">
        <v>653</v>
      </c>
      <c r="F2227" s="161">
        <v>45353</v>
      </c>
      <c r="G2227" s="107">
        <f t="shared" si="74"/>
        <v>5</v>
      </c>
    </row>
    <row r="2228" spans="1:7">
      <c r="A2228" s="107">
        <v>46</v>
      </c>
      <c r="B2228" s="107">
        <v>3</v>
      </c>
      <c r="C2228" s="107">
        <v>4</v>
      </c>
      <c r="D2228" s="107" t="s">
        <v>652</v>
      </c>
      <c r="E2228" s="107" t="s">
        <v>653</v>
      </c>
      <c r="F2228" s="161">
        <v>45353</v>
      </c>
      <c r="G2228" s="107">
        <f t="shared" si="74"/>
        <v>5</v>
      </c>
    </row>
    <row r="2229" spans="1:7">
      <c r="A2229" s="107">
        <v>46</v>
      </c>
      <c r="B2229" s="107">
        <v>3</v>
      </c>
      <c r="C2229" s="107">
        <v>5</v>
      </c>
      <c r="D2229" s="107" t="s">
        <v>652</v>
      </c>
      <c r="E2229" s="107" t="s">
        <v>653</v>
      </c>
      <c r="F2229" s="161">
        <v>45353</v>
      </c>
      <c r="G2229" s="107">
        <f t="shared" si="74"/>
        <v>5</v>
      </c>
    </row>
    <row r="2230" spans="1:7">
      <c r="A2230" s="107">
        <v>46</v>
      </c>
      <c r="B2230" s="107">
        <v>3</v>
      </c>
      <c r="C2230" s="107">
        <v>6</v>
      </c>
      <c r="D2230" s="107" t="s">
        <v>652</v>
      </c>
      <c r="E2230" s="107" t="s">
        <v>653</v>
      </c>
      <c r="F2230" s="161">
        <v>45353</v>
      </c>
      <c r="G2230" s="107">
        <f t="shared" si="74"/>
        <v>5</v>
      </c>
    </row>
    <row r="2231" spans="1:7">
      <c r="A2231" s="107">
        <v>46</v>
      </c>
      <c r="B2231" s="107">
        <v>3</v>
      </c>
      <c r="C2231" s="107">
        <v>7</v>
      </c>
      <c r="D2231" s="107" t="s">
        <v>652</v>
      </c>
      <c r="E2231" s="107" t="s">
        <v>653</v>
      </c>
      <c r="F2231" s="161">
        <v>45353</v>
      </c>
      <c r="G2231" s="107">
        <f t="shared" si="74"/>
        <v>5</v>
      </c>
    </row>
    <row r="2232" spans="1:7">
      <c r="A2232" s="107">
        <v>46</v>
      </c>
      <c r="B2232" s="107">
        <v>3</v>
      </c>
      <c r="C2232" s="107">
        <v>8</v>
      </c>
      <c r="D2232" s="107" t="s">
        <v>652</v>
      </c>
      <c r="E2232" s="107" t="s">
        <v>653</v>
      </c>
      <c r="F2232" s="161">
        <v>45353</v>
      </c>
      <c r="G2232" s="107">
        <f t="shared" si="74"/>
        <v>5</v>
      </c>
    </row>
    <row r="2233" spans="1:7">
      <c r="A2233" s="107">
        <v>46</v>
      </c>
      <c r="B2233" s="107">
        <v>4</v>
      </c>
      <c r="C2233" s="107">
        <v>1</v>
      </c>
      <c r="D2233" s="107" t="s">
        <v>654</v>
      </c>
      <c r="E2233" s="107" t="s">
        <v>655</v>
      </c>
      <c r="F2233" s="161">
        <v>45354</v>
      </c>
      <c r="G2233" s="107">
        <f t="shared" si="74"/>
        <v>6</v>
      </c>
    </row>
    <row r="2234" spans="1:7">
      <c r="A2234" s="107">
        <v>46</v>
      </c>
      <c r="B2234" s="107">
        <v>4</v>
      </c>
      <c r="C2234" s="107">
        <v>2</v>
      </c>
      <c r="D2234" s="107" t="s">
        <v>654</v>
      </c>
      <c r="E2234" s="107" t="s">
        <v>655</v>
      </c>
      <c r="F2234" s="161">
        <v>45354</v>
      </c>
      <c r="G2234" s="107">
        <f t="shared" si="74"/>
        <v>6</v>
      </c>
    </row>
    <row r="2235" spans="1:7">
      <c r="A2235" s="107">
        <v>46</v>
      </c>
      <c r="B2235" s="107">
        <v>4</v>
      </c>
      <c r="C2235" s="107">
        <v>3</v>
      </c>
      <c r="D2235" s="107" t="s">
        <v>654</v>
      </c>
      <c r="E2235" s="107" t="s">
        <v>655</v>
      </c>
      <c r="F2235" s="161">
        <v>45354</v>
      </c>
      <c r="G2235" s="107">
        <f t="shared" si="74"/>
        <v>6</v>
      </c>
    </row>
    <row r="2236" spans="1:7">
      <c r="A2236" s="107">
        <v>46</v>
      </c>
      <c r="B2236" s="107">
        <v>4</v>
      </c>
      <c r="C2236" s="107">
        <v>4</v>
      </c>
      <c r="D2236" s="107" t="s">
        <v>654</v>
      </c>
      <c r="E2236" s="107" t="s">
        <v>655</v>
      </c>
      <c r="F2236" s="161">
        <v>45353</v>
      </c>
      <c r="G2236" s="107">
        <f t="shared" si="74"/>
        <v>5</v>
      </c>
    </row>
    <row r="2237" spans="1:7">
      <c r="A2237" s="107">
        <v>46</v>
      </c>
      <c r="B2237" s="107">
        <v>4</v>
      </c>
      <c r="C2237" s="107">
        <v>5</v>
      </c>
      <c r="D2237" s="107" t="s">
        <v>654</v>
      </c>
      <c r="E2237" s="107" t="s">
        <v>655</v>
      </c>
      <c r="F2237" s="161">
        <v>45354</v>
      </c>
      <c r="G2237" s="107">
        <f t="shared" si="74"/>
        <v>6</v>
      </c>
    </row>
    <row r="2238" spans="1:7">
      <c r="A2238" s="107">
        <v>46</v>
      </c>
      <c r="B2238" s="107">
        <v>4</v>
      </c>
      <c r="C2238" s="107">
        <v>6</v>
      </c>
      <c r="D2238" s="107" t="s">
        <v>654</v>
      </c>
      <c r="E2238" s="107" t="s">
        <v>655</v>
      </c>
      <c r="F2238" s="161">
        <v>45353</v>
      </c>
      <c r="G2238" s="107">
        <f t="shared" si="74"/>
        <v>5</v>
      </c>
    </row>
    <row r="2239" spans="1:7">
      <c r="A2239" s="107">
        <v>46</v>
      </c>
      <c r="B2239" s="107">
        <v>4</v>
      </c>
      <c r="C2239" s="107">
        <v>7</v>
      </c>
      <c r="D2239" s="107" t="s">
        <v>654</v>
      </c>
      <c r="E2239" s="107" t="s">
        <v>655</v>
      </c>
      <c r="F2239" s="161">
        <v>45353</v>
      </c>
      <c r="G2239" s="107">
        <f t="shared" si="74"/>
        <v>5</v>
      </c>
    </row>
    <row r="2240" spans="1:7">
      <c r="A2240" s="107">
        <v>46</v>
      </c>
      <c r="B2240" s="107">
        <v>4</v>
      </c>
      <c r="C2240" s="107">
        <v>8</v>
      </c>
      <c r="D2240" s="107" t="s">
        <v>654</v>
      </c>
      <c r="E2240" s="107" t="s">
        <v>655</v>
      </c>
      <c r="F2240" s="161">
        <v>45353</v>
      </c>
      <c r="G2240" s="107">
        <f t="shared" si="74"/>
        <v>5</v>
      </c>
    </row>
    <row r="2241" spans="1:7">
      <c r="A2241" s="107">
        <v>46</v>
      </c>
      <c r="B2241" s="107">
        <v>5</v>
      </c>
      <c r="C2241" s="107">
        <v>1</v>
      </c>
      <c r="D2241" s="107" t="s">
        <v>656</v>
      </c>
      <c r="E2241" s="107" t="s">
        <v>657</v>
      </c>
      <c r="F2241" s="161">
        <v>45353</v>
      </c>
      <c r="G2241" s="107">
        <f t="shared" si="74"/>
        <v>5</v>
      </c>
    </row>
    <row r="2242" spans="1:7">
      <c r="A2242" s="107">
        <v>46</v>
      </c>
      <c r="B2242" s="107">
        <v>5</v>
      </c>
      <c r="C2242" s="107">
        <v>2</v>
      </c>
      <c r="D2242" s="107" t="s">
        <v>656</v>
      </c>
      <c r="E2242" s="107" t="s">
        <v>657</v>
      </c>
      <c r="F2242" s="161">
        <v>45354</v>
      </c>
      <c r="G2242" s="107">
        <f t="shared" si="74"/>
        <v>6</v>
      </c>
    </row>
    <row r="2243" spans="1:7">
      <c r="A2243" s="107">
        <v>46</v>
      </c>
      <c r="B2243" s="107">
        <v>5</v>
      </c>
      <c r="C2243" s="107">
        <v>3</v>
      </c>
      <c r="D2243" s="107" t="s">
        <v>656</v>
      </c>
      <c r="E2243" s="107" t="s">
        <v>657</v>
      </c>
      <c r="F2243" s="161">
        <v>45353</v>
      </c>
      <c r="G2243" s="107">
        <f t="shared" si="74"/>
        <v>5</v>
      </c>
    </row>
    <row r="2244" spans="1:7">
      <c r="A2244" s="107">
        <v>46</v>
      </c>
      <c r="B2244" s="107">
        <v>5</v>
      </c>
      <c r="C2244" s="107">
        <v>4</v>
      </c>
      <c r="D2244" s="107" t="s">
        <v>656</v>
      </c>
      <c r="E2244" s="107" t="s">
        <v>657</v>
      </c>
      <c r="F2244" s="161">
        <v>45353</v>
      </c>
      <c r="G2244" s="107">
        <f t="shared" si="74"/>
        <v>5</v>
      </c>
    </row>
    <row r="2245" spans="1:7">
      <c r="A2245" s="107">
        <v>46</v>
      </c>
      <c r="B2245" s="107">
        <v>5</v>
      </c>
      <c r="C2245" s="107">
        <v>5</v>
      </c>
      <c r="D2245" s="107" t="s">
        <v>656</v>
      </c>
      <c r="E2245" s="107" t="s">
        <v>657</v>
      </c>
      <c r="F2245" s="161">
        <v>45353</v>
      </c>
      <c r="G2245" s="107">
        <f t="shared" si="74"/>
        <v>5</v>
      </c>
    </row>
    <row r="2246" spans="1:7">
      <c r="A2246" s="107">
        <v>46</v>
      </c>
      <c r="B2246" s="107">
        <v>5</v>
      </c>
      <c r="C2246" s="107">
        <v>6</v>
      </c>
      <c r="D2246" s="107" t="s">
        <v>656</v>
      </c>
      <c r="E2246" s="107" t="s">
        <v>657</v>
      </c>
      <c r="F2246" s="161">
        <v>45353</v>
      </c>
      <c r="G2246" s="107">
        <f t="shared" si="74"/>
        <v>5</v>
      </c>
    </row>
    <row r="2247" spans="1:7">
      <c r="A2247" s="107">
        <v>46</v>
      </c>
      <c r="B2247" s="107">
        <v>5</v>
      </c>
      <c r="C2247" s="107">
        <v>7</v>
      </c>
      <c r="D2247" s="107" t="s">
        <v>656</v>
      </c>
      <c r="E2247" s="107" t="s">
        <v>657</v>
      </c>
      <c r="F2247" s="161">
        <v>45352</v>
      </c>
      <c r="G2247" s="107">
        <f t="shared" si="74"/>
        <v>4</v>
      </c>
    </row>
    <row r="2248" spans="1:7">
      <c r="A2248" s="107">
        <v>46</v>
      </c>
      <c r="B2248" s="107">
        <v>5</v>
      </c>
      <c r="C2248" s="107">
        <v>8</v>
      </c>
      <c r="D2248" s="107" t="s">
        <v>656</v>
      </c>
      <c r="E2248" s="107" t="s">
        <v>657</v>
      </c>
      <c r="F2248" s="161">
        <v>45353</v>
      </c>
      <c r="G2248" s="107">
        <f t="shared" si="74"/>
        <v>5</v>
      </c>
    </row>
    <row r="2249" spans="1:7">
      <c r="A2249" s="107">
        <v>46</v>
      </c>
      <c r="B2249" s="107">
        <v>6</v>
      </c>
      <c r="C2249" s="107">
        <v>1</v>
      </c>
      <c r="D2249" s="107" t="s">
        <v>658</v>
      </c>
      <c r="E2249" s="107" t="s">
        <v>659</v>
      </c>
      <c r="F2249" s="161">
        <v>45353</v>
      </c>
      <c r="G2249" s="107">
        <f t="shared" si="74"/>
        <v>5</v>
      </c>
    </row>
    <row r="2250" spans="1:7">
      <c r="A2250" s="107">
        <v>46</v>
      </c>
      <c r="B2250" s="107">
        <v>6</v>
      </c>
      <c r="C2250" s="107">
        <v>2</v>
      </c>
      <c r="D2250" s="107" t="s">
        <v>658</v>
      </c>
      <c r="E2250" s="107" t="s">
        <v>659</v>
      </c>
      <c r="F2250" s="161">
        <v>45352</v>
      </c>
      <c r="G2250" s="107">
        <f t="shared" si="74"/>
        <v>4</v>
      </c>
    </row>
    <row r="2251" spans="1:7">
      <c r="A2251" s="107">
        <v>46</v>
      </c>
      <c r="B2251" s="107">
        <v>6</v>
      </c>
      <c r="C2251" s="107">
        <v>3</v>
      </c>
      <c r="D2251" s="107" t="s">
        <v>658</v>
      </c>
      <c r="E2251" s="107" t="s">
        <v>659</v>
      </c>
      <c r="F2251" s="161">
        <v>45353</v>
      </c>
      <c r="G2251" s="107">
        <f t="shared" si="74"/>
        <v>5</v>
      </c>
    </row>
    <row r="2252" spans="1:7">
      <c r="A2252" s="107">
        <v>46</v>
      </c>
      <c r="B2252" s="107">
        <v>6</v>
      </c>
      <c r="C2252" s="107">
        <v>4</v>
      </c>
      <c r="D2252" s="107" t="s">
        <v>658</v>
      </c>
      <c r="E2252" s="107" t="s">
        <v>659</v>
      </c>
      <c r="F2252" s="161">
        <v>45353</v>
      </c>
      <c r="G2252" s="107">
        <f t="shared" si="74"/>
        <v>5</v>
      </c>
    </row>
    <row r="2253" spans="1:7">
      <c r="A2253" s="107">
        <v>46</v>
      </c>
      <c r="B2253" s="107">
        <v>6</v>
      </c>
      <c r="C2253" s="107">
        <v>5</v>
      </c>
      <c r="D2253" s="107" t="s">
        <v>658</v>
      </c>
      <c r="E2253" s="107" t="s">
        <v>659</v>
      </c>
      <c r="F2253" s="107"/>
      <c r="G2253" s="107"/>
    </row>
    <row r="2254" spans="1:7">
      <c r="A2254" s="107">
        <v>46</v>
      </c>
      <c r="B2254" s="107">
        <v>6</v>
      </c>
      <c r="C2254" s="107">
        <v>6</v>
      </c>
      <c r="D2254" s="107" t="s">
        <v>658</v>
      </c>
      <c r="E2254" s="107" t="s">
        <v>659</v>
      </c>
      <c r="F2254" s="161">
        <v>45353</v>
      </c>
      <c r="G2254" s="107">
        <f>DATEDIF(G$2,F2254,"d")</f>
        <v>5</v>
      </c>
    </row>
    <row r="2255" spans="1:7">
      <c r="A2255" s="107">
        <v>46</v>
      </c>
      <c r="B2255" s="107">
        <v>6</v>
      </c>
      <c r="C2255" s="107">
        <v>7</v>
      </c>
      <c r="D2255" s="107" t="s">
        <v>658</v>
      </c>
      <c r="E2255" s="107" t="s">
        <v>659</v>
      </c>
      <c r="F2255" s="161">
        <v>45353</v>
      </c>
      <c r="G2255" s="107">
        <f>DATEDIF(G$2,F2255,"d")</f>
        <v>5</v>
      </c>
    </row>
    <row r="2256" spans="1:7">
      <c r="A2256" s="107">
        <v>46</v>
      </c>
      <c r="B2256" s="107">
        <v>6</v>
      </c>
      <c r="C2256" s="107">
        <v>8</v>
      </c>
      <c r="D2256" s="107" t="s">
        <v>658</v>
      </c>
      <c r="E2256" s="107" t="s">
        <v>659</v>
      </c>
      <c r="F2256" s="171">
        <v>45352</v>
      </c>
      <c r="G2256" s="107">
        <f>DATEDIF(G$2,F2256,"d")</f>
        <v>4</v>
      </c>
    </row>
    <row r="2257" spans="1:7">
      <c r="F2257" s="139"/>
      <c r="G2257" s="174"/>
    </row>
    <row r="2258" spans="1:7">
      <c r="A2258" s="107">
        <v>47</v>
      </c>
      <c r="B2258" s="107">
        <v>1</v>
      </c>
      <c r="C2258" s="107">
        <v>1</v>
      </c>
      <c r="D2258" s="107" t="s">
        <v>660</v>
      </c>
      <c r="E2258" s="107" t="s">
        <v>661</v>
      </c>
      <c r="F2258" s="172">
        <v>45353</v>
      </c>
      <c r="G2258" s="107">
        <f t="shared" ref="G2258:G2305" si="75">DATEDIF(G$2,F2258,"d")</f>
        <v>5</v>
      </c>
    </row>
    <row r="2259" spans="1:7">
      <c r="A2259" s="107">
        <v>47</v>
      </c>
      <c r="B2259" s="107">
        <v>1</v>
      </c>
      <c r="C2259" s="107">
        <v>2</v>
      </c>
      <c r="D2259" s="107" t="s">
        <v>660</v>
      </c>
      <c r="E2259" s="107" t="s">
        <v>661</v>
      </c>
      <c r="F2259" s="161">
        <v>45353</v>
      </c>
      <c r="G2259" s="107">
        <f t="shared" si="75"/>
        <v>5</v>
      </c>
    </row>
    <row r="2260" spans="1:7">
      <c r="A2260" s="107">
        <v>47</v>
      </c>
      <c r="B2260" s="107">
        <v>1</v>
      </c>
      <c r="C2260" s="107">
        <v>3</v>
      </c>
      <c r="D2260" s="107" t="s">
        <v>660</v>
      </c>
      <c r="E2260" s="107" t="s">
        <v>661</v>
      </c>
      <c r="F2260" s="161">
        <v>45353</v>
      </c>
      <c r="G2260" s="107">
        <f t="shared" si="75"/>
        <v>5</v>
      </c>
    </row>
    <row r="2261" spans="1:7">
      <c r="A2261" s="107">
        <v>47</v>
      </c>
      <c r="B2261" s="107">
        <v>1</v>
      </c>
      <c r="C2261" s="107">
        <v>4</v>
      </c>
      <c r="D2261" s="107" t="s">
        <v>660</v>
      </c>
      <c r="E2261" s="107" t="s">
        <v>661</v>
      </c>
      <c r="F2261" s="161">
        <v>45353</v>
      </c>
      <c r="G2261" s="107">
        <f t="shared" si="75"/>
        <v>5</v>
      </c>
    </row>
    <row r="2262" spans="1:7">
      <c r="A2262" s="107">
        <v>47</v>
      </c>
      <c r="B2262" s="107">
        <v>1</v>
      </c>
      <c r="C2262" s="107">
        <v>5</v>
      </c>
      <c r="D2262" s="107" t="s">
        <v>660</v>
      </c>
      <c r="E2262" s="107" t="s">
        <v>661</v>
      </c>
      <c r="F2262" s="161">
        <v>45353</v>
      </c>
      <c r="G2262" s="107">
        <f t="shared" si="75"/>
        <v>5</v>
      </c>
    </row>
    <row r="2263" spans="1:7">
      <c r="A2263" s="107">
        <v>47</v>
      </c>
      <c r="B2263" s="107">
        <v>1</v>
      </c>
      <c r="C2263" s="107">
        <v>6</v>
      </c>
      <c r="D2263" s="107" t="s">
        <v>660</v>
      </c>
      <c r="E2263" s="107" t="s">
        <v>661</v>
      </c>
      <c r="F2263" s="161">
        <v>45353</v>
      </c>
      <c r="G2263" s="107">
        <f t="shared" si="75"/>
        <v>5</v>
      </c>
    </row>
    <row r="2264" spans="1:7">
      <c r="A2264" s="107">
        <v>47</v>
      </c>
      <c r="B2264" s="107">
        <v>1</v>
      </c>
      <c r="C2264" s="107">
        <v>7</v>
      </c>
      <c r="D2264" s="107" t="s">
        <v>660</v>
      </c>
      <c r="E2264" s="107" t="s">
        <v>661</v>
      </c>
      <c r="F2264" s="161">
        <v>45353</v>
      </c>
      <c r="G2264" s="107">
        <f t="shared" si="75"/>
        <v>5</v>
      </c>
    </row>
    <row r="2265" spans="1:7">
      <c r="A2265" s="107">
        <v>47</v>
      </c>
      <c r="B2265" s="107">
        <v>1</v>
      </c>
      <c r="C2265" s="107">
        <v>8</v>
      </c>
      <c r="D2265" s="107" t="s">
        <v>660</v>
      </c>
      <c r="E2265" s="107" t="s">
        <v>661</v>
      </c>
      <c r="F2265" s="161">
        <v>45353</v>
      </c>
      <c r="G2265" s="107">
        <f t="shared" si="75"/>
        <v>5</v>
      </c>
    </row>
    <row r="2266" spans="1:7">
      <c r="A2266" s="107">
        <v>47</v>
      </c>
      <c r="B2266" s="107">
        <v>2</v>
      </c>
      <c r="C2266" s="107">
        <v>1</v>
      </c>
      <c r="D2266" s="107" t="s">
        <v>662</v>
      </c>
      <c r="E2266" s="107" t="s">
        <v>663</v>
      </c>
      <c r="F2266" s="161">
        <v>45353</v>
      </c>
      <c r="G2266" s="107">
        <f t="shared" si="75"/>
        <v>5</v>
      </c>
    </row>
    <row r="2267" spans="1:7">
      <c r="A2267" s="107">
        <v>47</v>
      </c>
      <c r="B2267" s="107">
        <v>2</v>
      </c>
      <c r="C2267" s="107">
        <v>2</v>
      </c>
      <c r="D2267" s="107" t="s">
        <v>662</v>
      </c>
      <c r="E2267" s="107" t="s">
        <v>663</v>
      </c>
      <c r="F2267" s="161">
        <v>45353</v>
      </c>
      <c r="G2267" s="107">
        <f t="shared" si="75"/>
        <v>5</v>
      </c>
    </row>
    <row r="2268" spans="1:7">
      <c r="A2268" s="107">
        <v>47</v>
      </c>
      <c r="B2268" s="107">
        <v>2</v>
      </c>
      <c r="C2268" s="107">
        <v>3</v>
      </c>
      <c r="D2268" s="107" t="s">
        <v>662</v>
      </c>
      <c r="E2268" s="107" t="s">
        <v>663</v>
      </c>
      <c r="F2268" s="161">
        <v>45353</v>
      </c>
      <c r="G2268" s="107">
        <f t="shared" si="75"/>
        <v>5</v>
      </c>
    </row>
    <row r="2269" spans="1:7">
      <c r="A2269" s="107">
        <v>47</v>
      </c>
      <c r="B2269" s="107">
        <v>2</v>
      </c>
      <c r="C2269" s="107">
        <v>4</v>
      </c>
      <c r="D2269" s="107" t="s">
        <v>662</v>
      </c>
      <c r="E2269" s="107" t="s">
        <v>663</v>
      </c>
      <c r="F2269" s="161">
        <v>45353</v>
      </c>
      <c r="G2269" s="107">
        <f t="shared" si="75"/>
        <v>5</v>
      </c>
    </row>
    <row r="2270" spans="1:7">
      <c r="A2270" s="107">
        <v>47</v>
      </c>
      <c r="B2270" s="107">
        <v>2</v>
      </c>
      <c r="C2270" s="107">
        <v>5</v>
      </c>
      <c r="D2270" s="107" t="s">
        <v>662</v>
      </c>
      <c r="E2270" s="107" t="s">
        <v>663</v>
      </c>
      <c r="F2270" s="161">
        <v>45353</v>
      </c>
      <c r="G2270" s="107">
        <f t="shared" si="75"/>
        <v>5</v>
      </c>
    </row>
    <row r="2271" spans="1:7">
      <c r="A2271" s="107">
        <v>47</v>
      </c>
      <c r="B2271" s="107">
        <v>2</v>
      </c>
      <c r="C2271" s="107">
        <v>6</v>
      </c>
      <c r="D2271" s="107" t="s">
        <v>662</v>
      </c>
      <c r="E2271" s="107" t="s">
        <v>663</v>
      </c>
      <c r="F2271" s="161">
        <v>45353</v>
      </c>
      <c r="G2271" s="107">
        <f t="shared" si="75"/>
        <v>5</v>
      </c>
    </row>
    <row r="2272" spans="1:7">
      <c r="A2272" s="107">
        <v>47</v>
      </c>
      <c r="B2272" s="107">
        <v>2</v>
      </c>
      <c r="C2272" s="107">
        <v>7</v>
      </c>
      <c r="D2272" s="107" t="s">
        <v>662</v>
      </c>
      <c r="E2272" s="107" t="s">
        <v>663</v>
      </c>
      <c r="F2272" s="161">
        <v>45353</v>
      </c>
      <c r="G2272" s="107">
        <f t="shared" si="75"/>
        <v>5</v>
      </c>
    </row>
    <row r="2273" spans="1:7">
      <c r="A2273" s="107">
        <v>47</v>
      </c>
      <c r="B2273" s="107">
        <v>2</v>
      </c>
      <c r="C2273" s="107">
        <v>8</v>
      </c>
      <c r="D2273" s="107" t="s">
        <v>662</v>
      </c>
      <c r="E2273" s="107" t="s">
        <v>663</v>
      </c>
      <c r="F2273" s="161">
        <v>45353</v>
      </c>
      <c r="G2273" s="107">
        <f t="shared" si="75"/>
        <v>5</v>
      </c>
    </row>
    <row r="2274" spans="1:7">
      <c r="A2274" s="107">
        <v>47</v>
      </c>
      <c r="B2274" s="107">
        <v>3</v>
      </c>
      <c r="C2274" s="107">
        <v>1</v>
      </c>
      <c r="D2274" s="107" t="s">
        <v>664</v>
      </c>
      <c r="E2274" s="107" t="s">
        <v>665</v>
      </c>
      <c r="F2274" s="161">
        <v>45354</v>
      </c>
      <c r="G2274" s="107">
        <f t="shared" si="75"/>
        <v>6</v>
      </c>
    </row>
    <row r="2275" spans="1:7">
      <c r="A2275" s="107">
        <v>47</v>
      </c>
      <c r="B2275" s="107">
        <v>3</v>
      </c>
      <c r="C2275" s="107">
        <v>2</v>
      </c>
      <c r="D2275" s="107" t="s">
        <v>664</v>
      </c>
      <c r="E2275" s="107" t="s">
        <v>665</v>
      </c>
      <c r="F2275" s="161">
        <v>45353</v>
      </c>
      <c r="G2275" s="107">
        <f t="shared" si="75"/>
        <v>5</v>
      </c>
    </row>
    <row r="2276" spans="1:7">
      <c r="A2276" s="107">
        <v>47</v>
      </c>
      <c r="B2276" s="107">
        <v>3</v>
      </c>
      <c r="C2276" s="107">
        <v>3</v>
      </c>
      <c r="D2276" s="107" t="s">
        <v>664</v>
      </c>
      <c r="E2276" s="107" t="s">
        <v>665</v>
      </c>
      <c r="F2276" s="161">
        <v>45353</v>
      </c>
      <c r="G2276" s="107">
        <f t="shared" si="75"/>
        <v>5</v>
      </c>
    </row>
    <row r="2277" spans="1:7">
      <c r="A2277" s="107">
        <v>47</v>
      </c>
      <c r="B2277" s="107">
        <v>3</v>
      </c>
      <c r="C2277" s="107">
        <v>4</v>
      </c>
      <c r="D2277" s="107" t="s">
        <v>664</v>
      </c>
      <c r="E2277" s="107" t="s">
        <v>665</v>
      </c>
      <c r="F2277" s="161">
        <v>45354</v>
      </c>
      <c r="G2277" s="107">
        <f t="shared" si="75"/>
        <v>6</v>
      </c>
    </row>
    <row r="2278" spans="1:7">
      <c r="A2278" s="107">
        <v>47</v>
      </c>
      <c r="B2278" s="107">
        <v>3</v>
      </c>
      <c r="C2278" s="107">
        <v>5</v>
      </c>
      <c r="D2278" s="107" t="s">
        <v>664</v>
      </c>
      <c r="E2278" s="107" t="s">
        <v>665</v>
      </c>
      <c r="F2278" s="161">
        <v>45355</v>
      </c>
      <c r="G2278" s="107">
        <f t="shared" si="75"/>
        <v>7</v>
      </c>
    </row>
    <row r="2279" spans="1:7">
      <c r="A2279" s="107">
        <v>47</v>
      </c>
      <c r="B2279" s="107">
        <v>3</v>
      </c>
      <c r="C2279" s="107">
        <v>6</v>
      </c>
      <c r="D2279" s="107" t="s">
        <v>664</v>
      </c>
      <c r="E2279" s="107" t="s">
        <v>665</v>
      </c>
      <c r="F2279" s="161">
        <v>45354</v>
      </c>
      <c r="G2279" s="107">
        <f t="shared" si="75"/>
        <v>6</v>
      </c>
    </row>
    <row r="2280" spans="1:7">
      <c r="A2280" s="107">
        <v>47</v>
      </c>
      <c r="B2280" s="107">
        <v>3</v>
      </c>
      <c r="C2280" s="107">
        <v>7</v>
      </c>
      <c r="D2280" s="107" t="s">
        <v>664</v>
      </c>
      <c r="E2280" s="107" t="s">
        <v>665</v>
      </c>
      <c r="F2280" s="161">
        <v>45353</v>
      </c>
      <c r="G2280" s="107">
        <f t="shared" si="75"/>
        <v>5</v>
      </c>
    </row>
    <row r="2281" spans="1:7">
      <c r="A2281" s="107">
        <v>47</v>
      </c>
      <c r="B2281" s="107">
        <v>3</v>
      </c>
      <c r="C2281" s="107">
        <v>8</v>
      </c>
      <c r="D2281" s="107" t="s">
        <v>664</v>
      </c>
      <c r="E2281" s="107" t="s">
        <v>665</v>
      </c>
      <c r="F2281" s="161">
        <v>45353</v>
      </c>
      <c r="G2281" s="107">
        <f t="shared" si="75"/>
        <v>5</v>
      </c>
    </row>
    <row r="2282" spans="1:7">
      <c r="A2282" s="107">
        <v>47</v>
      </c>
      <c r="B2282" s="107">
        <v>4</v>
      </c>
      <c r="C2282" s="107">
        <v>1</v>
      </c>
      <c r="D2282" s="107" t="s">
        <v>666</v>
      </c>
      <c r="E2282" s="107" t="s">
        <v>667</v>
      </c>
      <c r="F2282" s="161">
        <v>45353</v>
      </c>
      <c r="G2282" s="107">
        <f t="shared" si="75"/>
        <v>5</v>
      </c>
    </row>
    <row r="2283" spans="1:7">
      <c r="A2283" s="107">
        <v>47</v>
      </c>
      <c r="B2283" s="107">
        <v>4</v>
      </c>
      <c r="C2283" s="107">
        <v>2</v>
      </c>
      <c r="D2283" s="107" t="s">
        <v>666</v>
      </c>
      <c r="E2283" s="107" t="s">
        <v>667</v>
      </c>
      <c r="F2283" s="161">
        <v>45354</v>
      </c>
      <c r="G2283" s="107">
        <f t="shared" si="75"/>
        <v>6</v>
      </c>
    </row>
    <row r="2284" spans="1:7">
      <c r="A2284" s="107">
        <v>47</v>
      </c>
      <c r="B2284" s="107">
        <v>4</v>
      </c>
      <c r="C2284" s="107">
        <v>3</v>
      </c>
      <c r="D2284" s="107" t="s">
        <v>666</v>
      </c>
      <c r="E2284" s="107" t="s">
        <v>667</v>
      </c>
      <c r="F2284" s="161">
        <v>45353</v>
      </c>
      <c r="G2284" s="107">
        <f t="shared" si="75"/>
        <v>5</v>
      </c>
    </row>
    <row r="2285" spans="1:7">
      <c r="A2285" s="107">
        <v>47</v>
      </c>
      <c r="B2285" s="107">
        <v>4</v>
      </c>
      <c r="C2285" s="107">
        <v>4</v>
      </c>
      <c r="D2285" s="107" t="s">
        <v>666</v>
      </c>
      <c r="E2285" s="107" t="s">
        <v>667</v>
      </c>
      <c r="F2285" s="161">
        <v>45354</v>
      </c>
      <c r="G2285" s="107">
        <f t="shared" si="75"/>
        <v>6</v>
      </c>
    </row>
    <row r="2286" spans="1:7">
      <c r="A2286" s="107">
        <v>47</v>
      </c>
      <c r="B2286" s="107">
        <v>4</v>
      </c>
      <c r="C2286" s="107">
        <v>5</v>
      </c>
      <c r="D2286" s="107" t="s">
        <v>666</v>
      </c>
      <c r="E2286" s="107" t="s">
        <v>667</v>
      </c>
      <c r="F2286" s="161">
        <v>45353</v>
      </c>
      <c r="G2286" s="107">
        <f t="shared" si="75"/>
        <v>5</v>
      </c>
    </row>
    <row r="2287" spans="1:7">
      <c r="A2287" s="107">
        <v>47</v>
      </c>
      <c r="B2287" s="107">
        <v>4</v>
      </c>
      <c r="C2287" s="107">
        <v>6</v>
      </c>
      <c r="D2287" s="107" t="s">
        <v>666</v>
      </c>
      <c r="E2287" s="107" t="s">
        <v>667</v>
      </c>
      <c r="F2287" s="161">
        <v>45354</v>
      </c>
      <c r="G2287" s="107">
        <f t="shared" si="75"/>
        <v>6</v>
      </c>
    </row>
    <row r="2288" spans="1:7">
      <c r="A2288" s="107">
        <v>47</v>
      </c>
      <c r="B2288" s="107">
        <v>4</v>
      </c>
      <c r="C2288" s="107">
        <v>7</v>
      </c>
      <c r="D2288" s="107" t="s">
        <v>666</v>
      </c>
      <c r="E2288" s="107" t="s">
        <v>667</v>
      </c>
      <c r="F2288" s="161">
        <v>45354</v>
      </c>
      <c r="G2288" s="107">
        <f t="shared" si="75"/>
        <v>6</v>
      </c>
    </row>
    <row r="2289" spans="1:7">
      <c r="A2289" s="107">
        <v>47</v>
      </c>
      <c r="B2289" s="107">
        <v>4</v>
      </c>
      <c r="C2289" s="107">
        <v>8</v>
      </c>
      <c r="D2289" s="107" t="s">
        <v>666</v>
      </c>
      <c r="E2289" s="107" t="s">
        <v>667</v>
      </c>
      <c r="F2289" s="161">
        <v>45353</v>
      </c>
      <c r="G2289" s="107">
        <f t="shared" si="75"/>
        <v>5</v>
      </c>
    </row>
    <row r="2290" spans="1:7">
      <c r="A2290" s="107">
        <v>47</v>
      </c>
      <c r="B2290" s="107">
        <v>5</v>
      </c>
      <c r="C2290" s="107">
        <v>1</v>
      </c>
      <c r="D2290" s="107" t="s">
        <v>668</v>
      </c>
      <c r="E2290" s="107" t="s">
        <v>669</v>
      </c>
      <c r="F2290" s="161">
        <v>45353</v>
      </c>
      <c r="G2290" s="107">
        <f t="shared" si="75"/>
        <v>5</v>
      </c>
    </row>
    <row r="2291" spans="1:7">
      <c r="A2291" s="107">
        <v>47</v>
      </c>
      <c r="B2291" s="107">
        <v>5</v>
      </c>
      <c r="C2291" s="107">
        <v>2</v>
      </c>
      <c r="D2291" s="107" t="s">
        <v>668</v>
      </c>
      <c r="E2291" s="107" t="s">
        <v>669</v>
      </c>
      <c r="F2291" s="161">
        <v>45353</v>
      </c>
      <c r="G2291" s="107">
        <f t="shared" si="75"/>
        <v>5</v>
      </c>
    </row>
    <row r="2292" spans="1:7">
      <c r="A2292" s="107">
        <v>47</v>
      </c>
      <c r="B2292" s="107">
        <v>5</v>
      </c>
      <c r="C2292" s="107">
        <v>3</v>
      </c>
      <c r="D2292" s="107" t="s">
        <v>668</v>
      </c>
      <c r="E2292" s="107" t="s">
        <v>669</v>
      </c>
      <c r="F2292" s="161">
        <v>45353</v>
      </c>
      <c r="G2292" s="107">
        <f t="shared" si="75"/>
        <v>5</v>
      </c>
    </row>
    <row r="2293" spans="1:7">
      <c r="A2293" s="107">
        <v>47</v>
      </c>
      <c r="B2293" s="107">
        <v>5</v>
      </c>
      <c r="C2293" s="107">
        <v>4</v>
      </c>
      <c r="D2293" s="107" t="s">
        <v>668</v>
      </c>
      <c r="E2293" s="107" t="s">
        <v>669</v>
      </c>
      <c r="F2293" s="161">
        <v>45353</v>
      </c>
      <c r="G2293" s="107">
        <f t="shared" si="75"/>
        <v>5</v>
      </c>
    </row>
    <row r="2294" spans="1:7">
      <c r="A2294" s="107">
        <v>47</v>
      </c>
      <c r="B2294" s="107">
        <v>5</v>
      </c>
      <c r="C2294" s="107">
        <v>5</v>
      </c>
      <c r="D2294" s="107" t="s">
        <v>668</v>
      </c>
      <c r="E2294" s="107" t="s">
        <v>669</v>
      </c>
      <c r="F2294" s="161">
        <v>45353</v>
      </c>
      <c r="G2294" s="107">
        <f t="shared" si="75"/>
        <v>5</v>
      </c>
    </row>
    <row r="2295" spans="1:7">
      <c r="A2295" s="107">
        <v>47</v>
      </c>
      <c r="B2295" s="107">
        <v>5</v>
      </c>
      <c r="C2295" s="107">
        <v>6</v>
      </c>
      <c r="D2295" s="107" t="s">
        <v>668</v>
      </c>
      <c r="E2295" s="107" t="s">
        <v>669</v>
      </c>
      <c r="F2295" s="161">
        <v>45353</v>
      </c>
      <c r="G2295" s="107">
        <f t="shared" si="75"/>
        <v>5</v>
      </c>
    </row>
    <row r="2296" spans="1:7">
      <c r="A2296" s="107">
        <v>47</v>
      </c>
      <c r="B2296" s="107">
        <v>5</v>
      </c>
      <c r="C2296" s="107">
        <v>7</v>
      </c>
      <c r="D2296" s="107" t="s">
        <v>668</v>
      </c>
      <c r="E2296" s="107" t="s">
        <v>669</v>
      </c>
      <c r="F2296" s="161">
        <v>45353</v>
      </c>
      <c r="G2296" s="107">
        <f t="shared" si="75"/>
        <v>5</v>
      </c>
    </row>
    <row r="2297" spans="1:7">
      <c r="A2297" s="107">
        <v>47</v>
      </c>
      <c r="B2297" s="107">
        <v>5</v>
      </c>
      <c r="C2297" s="107">
        <v>8</v>
      </c>
      <c r="D2297" s="107" t="s">
        <v>668</v>
      </c>
      <c r="E2297" s="107" t="s">
        <v>669</v>
      </c>
      <c r="F2297" s="161">
        <v>45353</v>
      </c>
      <c r="G2297" s="107">
        <f t="shared" si="75"/>
        <v>5</v>
      </c>
    </row>
    <row r="2298" spans="1:7">
      <c r="A2298" s="107">
        <v>47</v>
      </c>
      <c r="B2298" s="107">
        <v>6</v>
      </c>
      <c r="C2298" s="107">
        <v>1</v>
      </c>
      <c r="D2298" s="107" t="s">
        <v>670</v>
      </c>
      <c r="E2298" s="107" t="s">
        <v>671</v>
      </c>
      <c r="F2298" s="161">
        <v>45354</v>
      </c>
      <c r="G2298" s="107">
        <f t="shared" si="75"/>
        <v>6</v>
      </c>
    </row>
    <row r="2299" spans="1:7">
      <c r="A2299" s="107">
        <v>47</v>
      </c>
      <c r="B2299" s="107">
        <v>6</v>
      </c>
      <c r="C2299" s="107">
        <v>2</v>
      </c>
      <c r="D2299" s="107" t="s">
        <v>670</v>
      </c>
      <c r="E2299" s="107" t="s">
        <v>671</v>
      </c>
      <c r="F2299" s="161">
        <v>45354</v>
      </c>
      <c r="G2299" s="107">
        <f t="shared" si="75"/>
        <v>6</v>
      </c>
    </row>
    <row r="2300" spans="1:7">
      <c r="A2300" s="107">
        <v>47</v>
      </c>
      <c r="B2300" s="107">
        <v>6</v>
      </c>
      <c r="C2300" s="107">
        <v>3</v>
      </c>
      <c r="D2300" s="107" t="s">
        <v>670</v>
      </c>
      <c r="E2300" s="107" t="s">
        <v>671</v>
      </c>
      <c r="F2300" s="161">
        <v>45355</v>
      </c>
      <c r="G2300" s="107">
        <f t="shared" si="75"/>
        <v>7</v>
      </c>
    </row>
    <row r="2301" spans="1:7">
      <c r="A2301" s="107">
        <v>47</v>
      </c>
      <c r="B2301" s="107">
        <v>6</v>
      </c>
      <c r="C2301" s="107">
        <v>4</v>
      </c>
      <c r="D2301" s="107" t="s">
        <v>670</v>
      </c>
      <c r="E2301" s="107" t="s">
        <v>671</v>
      </c>
      <c r="F2301" s="161">
        <v>45353</v>
      </c>
      <c r="G2301" s="107">
        <f t="shared" si="75"/>
        <v>5</v>
      </c>
    </row>
    <row r="2302" spans="1:7">
      <c r="A2302" s="107">
        <v>47</v>
      </c>
      <c r="B2302" s="107">
        <v>6</v>
      </c>
      <c r="C2302" s="107">
        <v>5</v>
      </c>
      <c r="D2302" s="107" t="s">
        <v>670</v>
      </c>
      <c r="E2302" s="107" t="s">
        <v>671</v>
      </c>
      <c r="F2302" s="161">
        <v>45354</v>
      </c>
      <c r="G2302" s="107">
        <f t="shared" si="75"/>
        <v>6</v>
      </c>
    </row>
    <row r="2303" spans="1:7">
      <c r="A2303" s="107">
        <v>47</v>
      </c>
      <c r="B2303" s="107">
        <v>6</v>
      </c>
      <c r="C2303" s="107">
        <v>6</v>
      </c>
      <c r="D2303" s="107" t="s">
        <v>670</v>
      </c>
      <c r="E2303" s="107" t="s">
        <v>671</v>
      </c>
      <c r="F2303" s="161">
        <v>45354</v>
      </c>
      <c r="G2303" s="107">
        <f t="shared" si="75"/>
        <v>6</v>
      </c>
    </row>
    <row r="2304" spans="1:7">
      <c r="A2304" s="107">
        <v>47</v>
      </c>
      <c r="B2304" s="107">
        <v>6</v>
      </c>
      <c r="C2304" s="107">
        <v>7</v>
      </c>
      <c r="D2304" s="107" t="s">
        <v>670</v>
      </c>
      <c r="E2304" s="107" t="s">
        <v>671</v>
      </c>
      <c r="F2304" s="161">
        <v>45355</v>
      </c>
      <c r="G2304" s="107">
        <f t="shared" si="75"/>
        <v>7</v>
      </c>
    </row>
    <row r="2305" spans="1:7">
      <c r="A2305" s="107">
        <v>47</v>
      </c>
      <c r="B2305" s="107">
        <v>6</v>
      </c>
      <c r="C2305" s="107">
        <v>8</v>
      </c>
      <c r="D2305" s="107" t="s">
        <v>670</v>
      </c>
      <c r="E2305" s="107" t="s">
        <v>671</v>
      </c>
      <c r="F2305" s="171">
        <v>45354</v>
      </c>
      <c r="G2305" s="107">
        <f t="shared" si="75"/>
        <v>6</v>
      </c>
    </row>
    <row r="2306" spans="1:7">
      <c r="F2306" s="139"/>
      <c r="G2306" s="174"/>
    </row>
    <row r="2307" spans="1:7">
      <c r="A2307" s="107">
        <v>48</v>
      </c>
      <c r="B2307" s="107">
        <v>1</v>
      </c>
      <c r="C2307" s="107">
        <v>1</v>
      </c>
      <c r="D2307" s="107" t="s">
        <v>672</v>
      </c>
      <c r="E2307" s="107" t="s">
        <v>673</v>
      </c>
      <c r="F2307" s="172">
        <v>45353</v>
      </c>
      <c r="G2307" s="107">
        <f t="shared" ref="G2307:G2330" si="76">DATEDIF(G$2,F2307,"d")</f>
        <v>5</v>
      </c>
    </row>
    <row r="2308" spans="1:7">
      <c r="A2308" s="107">
        <v>48</v>
      </c>
      <c r="B2308" s="107">
        <v>1</v>
      </c>
      <c r="C2308" s="107">
        <v>2</v>
      </c>
      <c r="D2308" s="107" t="s">
        <v>672</v>
      </c>
      <c r="E2308" s="107" t="s">
        <v>673</v>
      </c>
      <c r="F2308" s="161">
        <v>45353</v>
      </c>
      <c r="G2308" s="107">
        <f t="shared" si="76"/>
        <v>5</v>
      </c>
    </row>
    <row r="2309" spans="1:7">
      <c r="A2309" s="107">
        <v>48</v>
      </c>
      <c r="B2309" s="107">
        <v>1</v>
      </c>
      <c r="C2309" s="107">
        <v>3</v>
      </c>
      <c r="D2309" s="107" t="s">
        <v>672</v>
      </c>
      <c r="E2309" s="107" t="s">
        <v>673</v>
      </c>
      <c r="F2309" s="161">
        <v>45353</v>
      </c>
      <c r="G2309" s="107">
        <f t="shared" si="76"/>
        <v>5</v>
      </c>
    </row>
    <row r="2310" spans="1:7">
      <c r="A2310" s="107">
        <v>48</v>
      </c>
      <c r="B2310" s="107">
        <v>1</v>
      </c>
      <c r="C2310" s="107">
        <v>4</v>
      </c>
      <c r="D2310" s="107" t="s">
        <v>672</v>
      </c>
      <c r="E2310" s="107" t="s">
        <v>673</v>
      </c>
      <c r="F2310" s="161">
        <v>45353</v>
      </c>
      <c r="G2310" s="107">
        <f t="shared" si="76"/>
        <v>5</v>
      </c>
    </row>
    <row r="2311" spans="1:7">
      <c r="A2311" s="107">
        <v>48</v>
      </c>
      <c r="B2311" s="107">
        <v>1</v>
      </c>
      <c r="C2311" s="107">
        <v>5</v>
      </c>
      <c r="D2311" s="107" t="s">
        <v>672</v>
      </c>
      <c r="E2311" s="107" t="s">
        <v>673</v>
      </c>
      <c r="F2311" s="161">
        <v>45353</v>
      </c>
      <c r="G2311" s="107">
        <f t="shared" si="76"/>
        <v>5</v>
      </c>
    </row>
    <row r="2312" spans="1:7">
      <c r="A2312" s="107">
        <v>48</v>
      </c>
      <c r="B2312" s="107">
        <v>1</v>
      </c>
      <c r="C2312" s="107">
        <v>6</v>
      </c>
      <c r="D2312" s="107" t="s">
        <v>672</v>
      </c>
      <c r="E2312" s="107" t="s">
        <v>673</v>
      </c>
      <c r="F2312" s="161">
        <v>45352</v>
      </c>
      <c r="G2312" s="107">
        <f t="shared" si="76"/>
        <v>4</v>
      </c>
    </row>
    <row r="2313" spans="1:7">
      <c r="A2313" s="107">
        <v>48</v>
      </c>
      <c r="B2313" s="107">
        <v>1</v>
      </c>
      <c r="C2313" s="107">
        <v>7</v>
      </c>
      <c r="D2313" s="107" t="s">
        <v>672</v>
      </c>
      <c r="E2313" s="107" t="s">
        <v>673</v>
      </c>
      <c r="F2313" s="161">
        <v>45352</v>
      </c>
      <c r="G2313" s="107">
        <f t="shared" si="76"/>
        <v>4</v>
      </c>
    </row>
    <row r="2314" spans="1:7">
      <c r="A2314" s="107">
        <v>48</v>
      </c>
      <c r="B2314" s="107">
        <v>1</v>
      </c>
      <c r="C2314" s="107">
        <v>8</v>
      </c>
      <c r="D2314" s="107" t="s">
        <v>672</v>
      </c>
      <c r="E2314" s="107" t="s">
        <v>673</v>
      </c>
      <c r="F2314" s="161">
        <v>45353</v>
      </c>
      <c r="G2314" s="107">
        <f t="shared" si="76"/>
        <v>5</v>
      </c>
    </row>
    <row r="2315" spans="1:7">
      <c r="A2315" s="107">
        <v>48</v>
      </c>
      <c r="B2315" s="107">
        <v>2</v>
      </c>
      <c r="C2315" s="107">
        <v>1</v>
      </c>
      <c r="D2315" s="107" t="s">
        <v>674</v>
      </c>
      <c r="E2315" s="107" t="s">
        <v>675</v>
      </c>
      <c r="F2315" s="161">
        <v>45353</v>
      </c>
      <c r="G2315" s="107">
        <f t="shared" si="76"/>
        <v>5</v>
      </c>
    </row>
    <row r="2316" spans="1:7">
      <c r="A2316" s="107">
        <v>48</v>
      </c>
      <c r="B2316" s="107">
        <v>2</v>
      </c>
      <c r="C2316" s="107">
        <v>2</v>
      </c>
      <c r="D2316" s="107" t="s">
        <v>674</v>
      </c>
      <c r="E2316" s="107" t="s">
        <v>675</v>
      </c>
      <c r="F2316" s="161">
        <v>45353</v>
      </c>
      <c r="G2316" s="107">
        <f t="shared" si="76"/>
        <v>5</v>
      </c>
    </row>
    <row r="2317" spans="1:7">
      <c r="A2317" s="107">
        <v>48</v>
      </c>
      <c r="B2317" s="107">
        <v>2</v>
      </c>
      <c r="C2317" s="107">
        <v>3</v>
      </c>
      <c r="D2317" s="107" t="s">
        <v>674</v>
      </c>
      <c r="E2317" s="107" t="s">
        <v>675</v>
      </c>
      <c r="F2317" s="161">
        <v>45353</v>
      </c>
      <c r="G2317" s="107">
        <f t="shared" si="76"/>
        <v>5</v>
      </c>
    </row>
    <row r="2318" spans="1:7">
      <c r="A2318" s="107">
        <v>48</v>
      </c>
      <c r="B2318" s="107">
        <v>2</v>
      </c>
      <c r="C2318" s="107">
        <v>4</v>
      </c>
      <c r="D2318" s="107" t="s">
        <v>674</v>
      </c>
      <c r="E2318" s="107" t="s">
        <v>675</v>
      </c>
      <c r="F2318" s="161">
        <v>45353</v>
      </c>
      <c r="G2318" s="107">
        <f t="shared" si="76"/>
        <v>5</v>
      </c>
    </row>
    <row r="2319" spans="1:7">
      <c r="A2319" s="107">
        <v>48</v>
      </c>
      <c r="B2319" s="107">
        <v>2</v>
      </c>
      <c r="C2319" s="107">
        <v>5</v>
      </c>
      <c r="D2319" s="107" t="s">
        <v>674</v>
      </c>
      <c r="E2319" s="107" t="s">
        <v>675</v>
      </c>
      <c r="F2319" s="161">
        <v>45353</v>
      </c>
      <c r="G2319" s="107">
        <f t="shared" si="76"/>
        <v>5</v>
      </c>
    </row>
    <row r="2320" spans="1:7">
      <c r="A2320" s="107">
        <v>48</v>
      </c>
      <c r="B2320" s="107">
        <v>2</v>
      </c>
      <c r="C2320" s="107">
        <v>6</v>
      </c>
      <c r="D2320" s="107" t="s">
        <v>674</v>
      </c>
      <c r="E2320" s="107" t="s">
        <v>675</v>
      </c>
      <c r="F2320" s="161">
        <v>45353</v>
      </c>
      <c r="G2320" s="107">
        <f t="shared" si="76"/>
        <v>5</v>
      </c>
    </row>
    <row r="2321" spans="1:7">
      <c r="A2321" s="107">
        <v>48</v>
      </c>
      <c r="B2321" s="107">
        <v>2</v>
      </c>
      <c r="C2321" s="107">
        <v>7</v>
      </c>
      <c r="D2321" s="107" t="s">
        <v>674</v>
      </c>
      <c r="E2321" s="107" t="s">
        <v>675</v>
      </c>
      <c r="F2321" s="161">
        <v>45353</v>
      </c>
      <c r="G2321" s="107">
        <f t="shared" si="76"/>
        <v>5</v>
      </c>
    </row>
    <row r="2322" spans="1:7">
      <c r="A2322" s="107">
        <v>48</v>
      </c>
      <c r="B2322" s="107">
        <v>2</v>
      </c>
      <c r="C2322" s="107">
        <v>8</v>
      </c>
      <c r="D2322" s="107" t="s">
        <v>674</v>
      </c>
      <c r="E2322" s="107" t="s">
        <v>675</v>
      </c>
      <c r="F2322" s="161">
        <v>45353</v>
      </c>
      <c r="G2322" s="107">
        <f t="shared" si="76"/>
        <v>5</v>
      </c>
    </row>
    <row r="2323" spans="1:7">
      <c r="A2323" s="107">
        <v>48</v>
      </c>
      <c r="B2323" s="107">
        <v>3</v>
      </c>
      <c r="C2323" s="107">
        <v>1</v>
      </c>
      <c r="D2323" s="107" t="s">
        <v>676</v>
      </c>
      <c r="E2323" s="107" t="s">
        <v>677</v>
      </c>
      <c r="F2323" s="161">
        <v>45353</v>
      </c>
      <c r="G2323" s="107">
        <f t="shared" si="76"/>
        <v>5</v>
      </c>
    </row>
    <row r="2324" spans="1:7">
      <c r="A2324" s="107">
        <v>48</v>
      </c>
      <c r="B2324" s="107">
        <v>3</v>
      </c>
      <c r="C2324" s="107">
        <v>2</v>
      </c>
      <c r="D2324" s="107" t="s">
        <v>676</v>
      </c>
      <c r="E2324" s="107" t="s">
        <v>677</v>
      </c>
      <c r="F2324" s="161">
        <v>45354</v>
      </c>
      <c r="G2324" s="107">
        <f t="shared" si="76"/>
        <v>6</v>
      </c>
    </row>
    <row r="2325" spans="1:7">
      <c r="A2325" s="107">
        <v>48</v>
      </c>
      <c r="B2325" s="107">
        <v>3</v>
      </c>
      <c r="C2325" s="107">
        <v>3</v>
      </c>
      <c r="D2325" s="107" t="s">
        <v>676</v>
      </c>
      <c r="E2325" s="107" t="s">
        <v>677</v>
      </c>
      <c r="F2325" s="161">
        <v>45353</v>
      </c>
      <c r="G2325" s="107">
        <f t="shared" si="76"/>
        <v>5</v>
      </c>
    </row>
    <row r="2326" spans="1:7">
      <c r="A2326" s="107">
        <v>48</v>
      </c>
      <c r="B2326" s="107">
        <v>3</v>
      </c>
      <c r="C2326" s="107">
        <v>4</v>
      </c>
      <c r="D2326" s="107" t="s">
        <v>676</v>
      </c>
      <c r="E2326" s="107" t="s">
        <v>677</v>
      </c>
      <c r="F2326" s="161">
        <v>45354</v>
      </c>
      <c r="G2326" s="107">
        <f t="shared" si="76"/>
        <v>6</v>
      </c>
    </row>
    <row r="2327" spans="1:7">
      <c r="A2327" s="107">
        <v>48</v>
      </c>
      <c r="B2327" s="107">
        <v>3</v>
      </c>
      <c r="C2327" s="107">
        <v>5</v>
      </c>
      <c r="D2327" s="107" t="s">
        <v>676</v>
      </c>
      <c r="E2327" s="107" t="s">
        <v>677</v>
      </c>
      <c r="F2327" s="161">
        <v>45353</v>
      </c>
      <c r="G2327" s="107">
        <f t="shared" si="76"/>
        <v>5</v>
      </c>
    </row>
    <row r="2328" spans="1:7">
      <c r="A2328" s="107">
        <v>48</v>
      </c>
      <c r="B2328" s="107">
        <v>3</v>
      </c>
      <c r="C2328" s="107">
        <v>6</v>
      </c>
      <c r="D2328" s="107" t="s">
        <v>676</v>
      </c>
      <c r="E2328" s="107" t="s">
        <v>677</v>
      </c>
      <c r="F2328" s="161">
        <v>45353</v>
      </c>
      <c r="G2328" s="107">
        <f t="shared" si="76"/>
        <v>5</v>
      </c>
    </row>
    <row r="2329" spans="1:7">
      <c r="A2329" s="107">
        <v>48</v>
      </c>
      <c r="B2329" s="107">
        <v>3</v>
      </c>
      <c r="C2329" s="107">
        <v>7</v>
      </c>
      <c r="D2329" s="107" t="s">
        <v>676</v>
      </c>
      <c r="E2329" s="107" t="s">
        <v>677</v>
      </c>
      <c r="F2329" s="161">
        <v>45353</v>
      </c>
      <c r="G2329" s="107">
        <f t="shared" si="76"/>
        <v>5</v>
      </c>
    </row>
    <row r="2330" spans="1:7">
      <c r="A2330" s="107">
        <v>48</v>
      </c>
      <c r="B2330" s="107">
        <v>3</v>
      </c>
      <c r="C2330" s="107">
        <v>8</v>
      </c>
      <c r="D2330" s="107" t="s">
        <v>676</v>
      </c>
      <c r="E2330" s="107" t="s">
        <v>677</v>
      </c>
      <c r="F2330" s="161">
        <v>45353</v>
      </c>
      <c r="G2330" s="107">
        <f t="shared" si="76"/>
        <v>5</v>
      </c>
    </row>
    <row r="2331" spans="1:7">
      <c r="A2331" s="107">
        <v>48</v>
      </c>
      <c r="B2331" s="107">
        <v>4</v>
      </c>
      <c r="C2331" s="107">
        <v>1</v>
      </c>
      <c r="D2331" s="107" t="s">
        <v>678</v>
      </c>
      <c r="E2331" s="107" t="s">
        <v>679</v>
      </c>
      <c r="F2331" s="107"/>
      <c r="G2331" s="107"/>
    </row>
    <row r="2332" spans="1:7">
      <c r="A2332" s="107">
        <v>48</v>
      </c>
      <c r="B2332" s="107">
        <v>4</v>
      </c>
      <c r="C2332" s="107">
        <v>2</v>
      </c>
      <c r="D2332" s="107" t="s">
        <v>678</v>
      </c>
      <c r="E2332" s="107" t="s">
        <v>679</v>
      </c>
      <c r="F2332" s="161">
        <v>45353</v>
      </c>
      <c r="G2332" s="107">
        <f t="shared" ref="G2332:G2354" si="77">DATEDIF(G$2,F2332,"d")</f>
        <v>5</v>
      </c>
    </row>
    <row r="2333" spans="1:7">
      <c r="A2333" s="107">
        <v>48</v>
      </c>
      <c r="B2333" s="107">
        <v>4</v>
      </c>
      <c r="C2333" s="107">
        <v>3</v>
      </c>
      <c r="D2333" s="107" t="s">
        <v>678</v>
      </c>
      <c r="E2333" s="107" t="s">
        <v>679</v>
      </c>
      <c r="F2333" s="161">
        <v>45353</v>
      </c>
      <c r="G2333" s="107">
        <f t="shared" si="77"/>
        <v>5</v>
      </c>
    </row>
    <row r="2334" spans="1:7">
      <c r="A2334" s="107">
        <v>48</v>
      </c>
      <c r="B2334" s="107">
        <v>4</v>
      </c>
      <c r="C2334" s="107">
        <v>4</v>
      </c>
      <c r="D2334" s="107" t="s">
        <v>678</v>
      </c>
      <c r="E2334" s="107" t="s">
        <v>679</v>
      </c>
      <c r="F2334" s="161">
        <v>45353</v>
      </c>
      <c r="G2334" s="107">
        <f t="shared" si="77"/>
        <v>5</v>
      </c>
    </row>
    <row r="2335" spans="1:7">
      <c r="A2335" s="107">
        <v>48</v>
      </c>
      <c r="B2335" s="107">
        <v>4</v>
      </c>
      <c r="C2335" s="107">
        <v>5</v>
      </c>
      <c r="D2335" s="107" t="s">
        <v>678</v>
      </c>
      <c r="E2335" s="107" t="s">
        <v>679</v>
      </c>
      <c r="F2335" s="161">
        <v>45353</v>
      </c>
      <c r="G2335" s="107">
        <f t="shared" si="77"/>
        <v>5</v>
      </c>
    </row>
    <row r="2336" spans="1:7">
      <c r="A2336" s="107">
        <v>48</v>
      </c>
      <c r="B2336" s="107">
        <v>4</v>
      </c>
      <c r="C2336" s="107">
        <v>6</v>
      </c>
      <c r="D2336" s="107" t="s">
        <v>678</v>
      </c>
      <c r="E2336" s="107" t="s">
        <v>679</v>
      </c>
      <c r="F2336" s="161">
        <v>45353</v>
      </c>
      <c r="G2336" s="107">
        <f t="shared" si="77"/>
        <v>5</v>
      </c>
    </row>
    <row r="2337" spans="1:7">
      <c r="A2337" s="107">
        <v>48</v>
      </c>
      <c r="B2337" s="107">
        <v>4</v>
      </c>
      <c r="C2337" s="107">
        <v>7</v>
      </c>
      <c r="D2337" s="107" t="s">
        <v>678</v>
      </c>
      <c r="E2337" s="107" t="s">
        <v>679</v>
      </c>
      <c r="F2337" s="161">
        <v>45353</v>
      </c>
      <c r="G2337" s="107">
        <f t="shared" si="77"/>
        <v>5</v>
      </c>
    </row>
    <row r="2338" spans="1:7">
      <c r="A2338" s="107">
        <v>48</v>
      </c>
      <c r="B2338" s="107">
        <v>4</v>
      </c>
      <c r="C2338" s="107">
        <v>8</v>
      </c>
      <c r="D2338" s="107" t="s">
        <v>678</v>
      </c>
      <c r="E2338" s="107" t="s">
        <v>679</v>
      </c>
      <c r="F2338" s="161">
        <v>45353</v>
      </c>
      <c r="G2338" s="107">
        <f t="shared" si="77"/>
        <v>5</v>
      </c>
    </row>
    <row r="2339" spans="1:7">
      <c r="A2339" s="107">
        <v>48</v>
      </c>
      <c r="B2339" s="107">
        <v>5</v>
      </c>
      <c r="C2339" s="107">
        <v>1</v>
      </c>
      <c r="D2339" s="107" t="s">
        <v>680</v>
      </c>
      <c r="E2339" s="107" t="s">
        <v>681</v>
      </c>
      <c r="F2339" s="161">
        <v>45353</v>
      </c>
      <c r="G2339" s="107">
        <f t="shared" si="77"/>
        <v>5</v>
      </c>
    </row>
    <row r="2340" spans="1:7">
      <c r="A2340" s="107">
        <v>48</v>
      </c>
      <c r="B2340" s="107">
        <v>5</v>
      </c>
      <c r="C2340" s="107">
        <v>2</v>
      </c>
      <c r="D2340" s="107" t="s">
        <v>680</v>
      </c>
      <c r="E2340" s="107" t="s">
        <v>681</v>
      </c>
      <c r="F2340" s="161">
        <v>45352</v>
      </c>
      <c r="G2340" s="107">
        <f t="shared" si="77"/>
        <v>4</v>
      </c>
    </row>
    <row r="2341" spans="1:7">
      <c r="A2341" s="107">
        <v>48</v>
      </c>
      <c r="B2341" s="107">
        <v>5</v>
      </c>
      <c r="C2341" s="107">
        <v>3</v>
      </c>
      <c r="D2341" s="107" t="s">
        <v>680</v>
      </c>
      <c r="E2341" s="107" t="s">
        <v>681</v>
      </c>
      <c r="F2341" s="161">
        <v>45353</v>
      </c>
      <c r="G2341" s="107">
        <f t="shared" si="77"/>
        <v>5</v>
      </c>
    </row>
    <row r="2342" spans="1:7">
      <c r="A2342" s="107">
        <v>48</v>
      </c>
      <c r="B2342" s="107">
        <v>5</v>
      </c>
      <c r="C2342" s="107">
        <v>4</v>
      </c>
      <c r="D2342" s="107" t="s">
        <v>680</v>
      </c>
      <c r="E2342" s="107" t="s">
        <v>681</v>
      </c>
      <c r="F2342" s="161">
        <v>45354</v>
      </c>
      <c r="G2342" s="107">
        <f t="shared" si="77"/>
        <v>6</v>
      </c>
    </row>
    <row r="2343" spans="1:7">
      <c r="A2343" s="107">
        <v>48</v>
      </c>
      <c r="B2343" s="107">
        <v>5</v>
      </c>
      <c r="C2343" s="107">
        <v>5</v>
      </c>
      <c r="D2343" s="107" t="s">
        <v>680</v>
      </c>
      <c r="E2343" s="107" t="s">
        <v>681</v>
      </c>
      <c r="F2343" s="161">
        <v>45353</v>
      </c>
      <c r="G2343" s="107">
        <f t="shared" si="77"/>
        <v>5</v>
      </c>
    </row>
    <row r="2344" spans="1:7">
      <c r="A2344" s="107">
        <v>48</v>
      </c>
      <c r="B2344" s="107">
        <v>5</v>
      </c>
      <c r="C2344" s="107">
        <v>6</v>
      </c>
      <c r="D2344" s="107" t="s">
        <v>680</v>
      </c>
      <c r="E2344" s="107" t="s">
        <v>681</v>
      </c>
      <c r="F2344" s="161">
        <v>45353</v>
      </c>
      <c r="G2344" s="107">
        <f t="shared" si="77"/>
        <v>5</v>
      </c>
    </row>
    <row r="2345" spans="1:7">
      <c r="A2345" s="107">
        <v>48</v>
      </c>
      <c r="B2345" s="107">
        <v>5</v>
      </c>
      <c r="C2345" s="107">
        <v>7</v>
      </c>
      <c r="D2345" s="107" t="s">
        <v>680</v>
      </c>
      <c r="E2345" s="107" t="s">
        <v>681</v>
      </c>
      <c r="F2345" s="161">
        <v>45352</v>
      </c>
      <c r="G2345" s="107">
        <f t="shared" si="77"/>
        <v>4</v>
      </c>
    </row>
    <row r="2346" spans="1:7">
      <c r="A2346" s="107">
        <v>48</v>
      </c>
      <c r="B2346" s="107">
        <v>5</v>
      </c>
      <c r="C2346" s="107">
        <v>8</v>
      </c>
      <c r="D2346" s="107" t="s">
        <v>680</v>
      </c>
      <c r="E2346" s="107" t="s">
        <v>681</v>
      </c>
      <c r="F2346" s="161">
        <v>45352</v>
      </c>
      <c r="G2346" s="107">
        <f t="shared" si="77"/>
        <v>4</v>
      </c>
    </row>
    <row r="2347" spans="1:7">
      <c r="A2347" s="107">
        <v>48</v>
      </c>
      <c r="B2347" s="107">
        <v>6</v>
      </c>
      <c r="C2347" s="107">
        <v>1</v>
      </c>
      <c r="D2347" s="107" t="s">
        <v>682</v>
      </c>
      <c r="E2347" s="107" t="s">
        <v>683</v>
      </c>
      <c r="F2347" s="161">
        <v>45353</v>
      </c>
      <c r="G2347" s="107">
        <f t="shared" si="77"/>
        <v>5</v>
      </c>
    </row>
    <row r="2348" spans="1:7">
      <c r="A2348" s="107">
        <v>48</v>
      </c>
      <c r="B2348" s="107">
        <v>6</v>
      </c>
      <c r="C2348" s="107">
        <v>2</v>
      </c>
      <c r="D2348" s="107" t="s">
        <v>682</v>
      </c>
      <c r="E2348" s="107" t="s">
        <v>683</v>
      </c>
      <c r="F2348" s="161">
        <v>45353</v>
      </c>
      <c r="G2348" s="107">
        <f t="shared" si="77"/>
        <v>5</v>
      </c>
    </row>
    <row r="2349" spans="1:7">
      <c r="A2349" s="107">
        <v>48</v>
      </c>
      <c r="B2349" s="107">
        <v>6</v>
      </c>
      <c r="C2349" s="107">
        <v>3</v>
      </c>
      <c r="D2349" s="107" t="s">
        <v>682</v>
      </c>
      <c r="E2349" s="107" t="s">
        <v>683</v>
      </c>
      <c r="F2349" s="161">
        <v>45353</v>
      </c>
      <c r="G2349" s="107">
        <f t="shared" si="77"/>
        <v>5</v>
      </c>
    </row>
    <row r="2350" spans="1:7">
      <c r="A2350" s="107">
        <v>48</v>
      </c>
      <c r="B2350" s="107">
        <v>6</v>
      </c>
      <c r="C2350" s="107">
        <v>4</v>
      </c>
      <c r="D2350" s="107" t="s">
        <v>682</v>
      </c>
      <c r="E2350" s="107" t="s">
        <v>683</v>
      </c>
      <c r="F2350" s="161">
        <v>45353</v>
      </c>
      <c r="G2350" s="107">
        <f t="shared" si="77"/>
        <v>5</v>
      </c>
    </row>
    <row r="2351" spans="1:7">
      <c r="A2351" s="107">
        <v>48</v>
      </c>
      <c r="B2351" s="107">
        <v>6</v>
      </c>
      <c r="C2351" s="107">
        <v>5</v>
      </c>
      <c r="D2351" s="107" t="s">
        <v>682</v>
      </c>
      <c r="E2351" s="107" t="s">
        <v>683</v>
      </c>
      <c r="F2351" s="161">
        <v>45353</v>
      </c>
      <c r="G2351" s="107">
        <f t="shared" si="77"/>
        <v>5</v>
      </c>
    </row>
    <row r="2352" spans="1:7">
      <c r="A2352" s="107">
        <v>48</v>
      </c>
      <c r="B2352" s="107">
        <v>6</v>
      </c>
      <c r="C2352" s="107">
        <v>6</v>
      </c>
      <c r="D2352" s="107" t="s">
        <v>682</v>
      </c>
      <c r="E2352" s="107" t="s">
        <v>683</v>
      </c>
      <c r="F2352" s="161">
        <v>45353</v>
      </c>
      <c r="G2352" s="107">
        <f t="shared" si="77"/>
        <v>5</v>
      </c>
    </row>
    <row r="2353" spans="1:7">
      <c r="A2353" s="107">
        <v>48</v>
      </c>
      <c r="B2353" s="107">
        <v>6</v>
      </c>
      <c r="C2353" s="107">
        <v>7</v>
      </c>
      <c r="D2353" s="107" t="s">
        <v>682</v>
      </c>
      <c r="E2353" s="107" t="s">
        <v>683</v>
      </c>
      <c r="F2353" s="161">
        <v>45353</v>
      </c>
      <c r="G2353" s="107">
        <f t="shared" si="77"/>
        <v>5</v>
      </c>
    </row>
    <row r="2354" spans="1:7">
      <c r="A2354" s="107">
        <v>48</v>
      </c>
      <c r="B2354" s="107">
        <v>6</v>
      </c>
      <c r="C2354" s="107">
        <v>8</v>
      </c>
      <c r="D2354" s="107" t="s">
        <v>682</v>
      </c>
      <c r="E2354" s="107" t="s">
        <v>683</v>
      </c>
      <c r="F2354" s="171">
        <v>45353</v>
      </c>
      <c r="G2354" s="107">
        <f t="shared" si="77"/>
        <v>5</v>
      </c>
    </row>
    <row r="2355" spans="1:7">
      <c r="F2355" s="139"/>
      <c r="G2355" s="174"/>
    </row>
    <row r="2356" spans="1:7">
      <c r="A2356" s="107">
        <v>49</v>
      </c>
      <c r="B2356" s="107">
        <v>1</v>
      </c>
      <c r="C2356" s="107">
        <v>1</v>
      </c>
      <c r="D2356" s="107" t="s">
        <v>684</v>
      </c>
      <c r="E2356" s="107" t="s">
        <v>685</v>
      </c>
      <c r="F2356" s="172">
        <v>45353</v>
      </c>
      <c r="G2356" s="107">
        <f t="shared" ref="G2356:G2370" si="78">DATEDIF(G$2,F2356,"d")</f>
        <v>5</v>
      </c>
    </row>
    <row r="2357" spans="1:7">
      <c r="A2357" s="107">
        <v>49</v>
      </c>
      <c r="B2357" s="107">
        <v>1</v>
      </c>
      <c r="C2357" s="107">
        <v>2</v>
      </c>
      <c r="D2357" s="107" t="s">
        <v>684</v>
      </c>
      <c r="E2357" s="107" t="s">
        <v>685</v>
      </c>
      <c r="F2357" s="161">
        <v>45353</v>
      </c>
      <c r="G2357" s="107">
        <f t="shared" si="78"/>
        <v>5</v>
      </c>
    </row>
    <row r="2358" spans="1:7">
      <c r="A2358" s="107">
        <v>49</v>
      </c>
      <c r="B2358" s="107">
        <v>1</v>
      </c>
      <c r="C2358" s="107">
        <v>3</v>
      </c>
      <c r="D2358" s="107" t="s">
        <v>684</v>
      </c>
      <c r="E2358" s="107" t="s">
        <v>685</v>
      </c>
      <c r="F2358" s="161">
        <v>45353</v>
      </c>
      <c r="G2358" s="107">
        <f t="shared" si="78"/>
        <v>5</v>
      </c>
    </row>
    <row r="2359" spans="1:7">
      <c r="A2359" s="107">
        <v>49</v>
      </c>
      <c r="B2359" s="107">
        <v>1</v>
      </c>
      <c r="C2359" s="107">
        <v>4</v>
      </c>
      <c r="D2359" s="107" t="s">
        <v>684</v>
      </c>
      <c r="E2359" s="107" t="s">
        <v>685</v>
      </c>
      <c r="F2359" s="161">
        <v>45353</v>
      </c>
      <c r="G2359" s="107">
        <f t="shared" si="78"/>
        <v>5</v>
      </c>
    </row>
    <row r="2360" spans="1:7">
      <c r="A2360" s="107">
        <v>49</v>
      </c>
      <c r="B2360" s="107">
        <v>1</v>
      </c>
      <c r="C2360" s="107">
        <v>5</v>
      </c>
      <c r="D2360" s="107" t="s">
        <v>684</v>
      </c>
      <c r="E2360" s="107" t="s">
        <v>685</v>
      </c>
      <c r="F2360" s="161">
        <v>45352</v>
      </c>
      <c r="G2360" s="107">
        <f t="shared" si="78"/>
        <v>4</v>
      </c>
    </row>
    <row r="2361" spans="1:7">
      <c r="A2361" s="107">
        <v>49</v>
      </c>
      <c r="B2361" s="107">
        <v>1</v>
      </c>
      <c r="C2361" s="107">
        <v>6</v>
      </c>
      <c r="D2361" s="107" t="s">
        <v>684</v>
      </c>
      <c r="E2361" s="107" t="s">
        <v>685</v>
      </c>
      <c r="F2361" s="161">
        <v>45353</v>
      </c>
      <c r="G2361" s="107">
        <f t="shared" si="78"/>
        <v>5</v>
      </c>
    </row>
    <row r="2362" spans="1:7">
      <c r="A2362" s="107">
        <v>49</v>
      </c>
      <c r="B2362" s="107">
        <v>1</v>
      </c>
      <c r="C2362" s="107">
        <v>7</v>
      </c>
      <c r="D2362" s="107" t="s">
        <v>684</v>
      </c>
      <c r="E2362" s="107" t="s">
        <v>685</v>
      </c>
      <c r="F2362" s="161">
        <v>45352</v>
      </c>
      <c r="G2362" s="107">
        <f t="shared" si="78"/>
        <v>4</v>
      </c>
    </row>
    <row r="2363" spans="1:7">
      <c r="A2363" s="107">
        <v>49</v>
      </c>
      <c r="B2363" s="107">
        <v>1</v>
      </c>
      <c r="C2363" s="107">
        <v>8</v>
      </c>
      <c r="D2363" s="107" t="s">
        <v>684</v>
      </c>
      <c r="E2363" s="107" t="s">
        <v>685</v>
      </c>
      <c r="F2363" s="161">
        <v>45353</v>
      </c>
      <c r="G2363" s="107">
        <f t="shared" si="78"/>
        <v>5</v>
      </c>
    </row>
    <row r="2364" spans="1:7">
      <c r="A2364" s="107">
        <v>49</v>
      </c>
      <c r="B2364" s="107">
        <v>2</v>
      </c>
      <c r="C2364" s="107">
        <v>1</v>
      </c>
      <c r="D2364" s="107" t="s">
        <v>686</v>
      </c>
      <c r="E2364" s="107" t="s">
        <v>687</v>
      </c>
      <c r="F2364" s="161">
        <v>45352</v>
      </c>
      <c r="G2364" s="107">
        <f t="shared" si="78"/>
        <v>4</v>
      </c>
    </row>
    <row r="2365" spans="1:7">
      <c r="A2365" s="107">
        <v>49</v>
      </c>
      <c r="B2365" s="107">
        <v>2</v>
      </c>
      <c r="C2365" s="107">
        <v>2</v>
      </c>
      <c r="D2365" s="107" t="s">
        <v>686</v>
      </c>
      <c r="E2365" s="107" t="s">
        <v>687</v>
      </c>
      <c r="F2365" s="161">
        <v>45353</v>
      </c>
      <c r="G2365" s="107">
        <f t="shared" si="78"/>
        <v>5</v>
      </c>
    </row>
    <row r="2366" spans="1:7">
      <c r="A2366" s="107">
        <v>49</v>
      </c>
      <c r="B2366" s="107">
        <v>2</v>
      </c>
      <c r="C2366" s="107">
        <v>3</v>
      </c>
      <c r="D2366" s="107" t="s">
        <v>686</v>
      </c>
      <c r="E2366" s="107" t="s">
        <v>687</v>
      </c>
      <c r="F2366" s="161">
        <v>45353</v>
      </c>
      <c r="G2366" s="107">
        <f t="shared" si="78"/>
        <v>5</v>
      </c>
    </row>
    <row r="2367" spans="1:7">
      <c r="A2367" s="107">
        <v>49</v>
      </c>
      <c r="B2367" s="107">
        <v>2</v>
      </c>
      <c r="C2367" s="107">
        <v>4</v>
      </c>
      <c r="D2367" s="107" t="s">
        <v>686</v>
      </c>
      <c r="E2367" s="107" t="s">
        <v>687</v>
      </c>
      <c r="F2367" s="161">
        <v>45353</v>
      </c>
      <c r="G2367" s="107">
        <f t="shared" si="78"/>
        <v>5</v>
      </c>
    </row>
    <row r="2368" spans="1:7">
      <c r="A2368" s="107">
        <v>49</v>
      </c>
      <c r="B2368" s="107">
        <v>2</v>
      </c>
      <c r="C2368" s="107">
        <v>5</v>
      </c>
      <c r="D2368" s="107" t="s">
        <v>686</v>
      </c>
      <c r="E2368" s="107" t="s">
        <v>687</v>
      </c>
      <c r="F2368" s="161">
        <v>45353</v>
      </c>
      <c r="G2368" s="107">
        <f t="shared" si="78"/>
        <v>5</v>
      </c>
    </row>
    <row r="2369" spans="1:7">
      <c r="A2369" s="107">
        <v>49</v>
      </c>
      <c r="B2369" s="107">
        <v>2</v>
      </c>
      <c r="C2369" s="107">
        <v>6</v>
      </c>
      <c r="D2369" s="107" t="s">
        <v>686</v>
      </c>
      <c r="E2369" s="107" t="s">
        <v>687</v>
      </c>
      <c r="F2369" s="161">
        <v>45353</v>
      </c>
      <c r="G2369" s="107">
        <f t="shared" si="78"/>
        <v>5</v>
      </c>
    </row>
    <row r="2370" spans="1:7">
      <c r="A2370" s="107">
        <v>49</v>
      </c>
      <c r="B2370" s="107">
        <v>2</v>
      </c>
      <c r="C2370" s="107">
        <v>7</v>
      </c>
      <c r="D2370" s="107" t="s">
        <v>686</v>
      </c>
      <c r="E2370" s="107" t="s">
        <v>687</v>
      </c>
      <c r="F2370" s="161">
        <v>45352</v>
      </c>
      <c r="G2370" s="107">
        <f t="shared" si="78"/>
        <v>4</v>
      </c>
    </row>
    <row r="2371" spans="1:7">
      <c r="A2371" s="107">
        <v>49</v>
      </c>
      <c r="B2371" s="107">
        <v>2</v>
      </c>
      <c r="C2371" s="107">
        <v>8</v>
      </c>
      <c r="D2371" s="107" t="s">
        <v>686</v>
      </c>
      <c r="E2371" s="107" t="s">
        <v>687</v>
      </c>
      <c r="F2371" s="107"/>
      <c r="G2371" s="107"/>
    </row>
    <row r="2372" spans="1:7">
      <c r="A2372" s="107">
        <v>49</v>
      </c>
      <c r="B2372" s="107">
        <v>3</v>
      </c>
      <c r="C2372" s="107">
        <v>1</v>
      </c>
      <c r="D2372" s="107" t="s">
        <v>688</v>
      </c>
      <c r="E2372" s="107" t="s">
        <v>689</v>
      </c>
      <c r="F2372" s="161">
        <v>45353</v>
      </c>
      <c r="G2372" s="107">
        <f t="shared" ref="G2372:G2378" si="79">DATEDIF(G$2,F2372,"d")</f>
        <v>5</v>
      </c>
    </row>
    <row r="2373" spans="1:7">
      <c r="A2373" s="107">
        <v>49</v>
      </c>
      <c r="B2373" s="107">
        <v>3</v>
      </c>
      <c r="C2373" s="107">
        <v>2</v>
      </c>
      <c r="D2373" s="107" t="s">
        <v>688</v>
      </c>
      <c r="E2373" s="107" t="s">
        <v>689</v>
      </c>
      <c r="F2373" s="161">
        <v>45353</v>
      </c>
      <c r="G2373" s="107">
        <f t="shared" si="79"/>
        <v>5</v>
      </c>
    </row>
    <row r="2374" spans="1:7">
      <c r="A2374" s="107">
        <v>49</v>
      </c>
      <c r="B2374" s="107">
        <v>3</v>
      </c>
      <c r="C2374" s="107">
        <v>3</v>
      </c>
      <c r="D2374" s="107" t="s">
        <v>688</v>
      </c>
      <c r="E2374" s="107" t="s">
        <v>689</v>
      </c>
      <c r="F2374" s="161">
        <v>45353</v>
      </c>
      <c r="G2374" s="107">
        <f t="shared" si="79"/>
        <v>5</v>
      </c>
    </row>
    <row r="2375" spans="1:7">
      <c r="A2375" s="107">
        <v>49</v>
      </c>
      <c r="B2375" s="107">
        <v>3</v>
      </c>
      <c r="C2375" s="107">
        <v>4</v>
      </c>
      <c r="D2375" s="107" t="s">
        <v>688</v>
      </c>
      <c r="E2375" s="107" t="s">
        <v>689</v>
      </c>
      <c r="F2375" s="161">
        <v>45353</v>
      </c>
      <c r="G2375" s="107">
        <f t="shared" si="79"/>
        <v>5</v>
      </c>
    </row>
    <row r="2376" spans="1:7">
      <c r="A2376" s="107">
        <v>49</v>
      </c>
      <c r="B2376" s="107">
        <v>3</v>
      </c>
      <c r="C2376" s="107">
        <v>5</v>
      </c>
      <c r="D2376" s="107" t="s">
        <v>688</v>
      </c>
      <c r="E2376" s="107" t="s">
        <v>689</v>
      </c>
      <c r="F2376" s="161">
        <v>45354</v>
      </c>
      <c r="G2376" s="107">
        <f t="shared" si="79"/>
        <v>6</v>
      </c>
    </row>
    <row r="2377" spans="1:7">
      <c r="A2377" s="107">
        <v>49</v>
      </c>
      <c r="B2377" s="107">
        <v>3</v>
      </c>
      <c r="C2377" s="107">
        <v>6</v>
      </c>
      <c r="D2377" s="107" t="s">
        <v>688</v>
      </c>
      <c r="E2377" s="107" t="s">
        <v>689</v>
      </c>
      <c r="F2377" s="161">
        <v>45353</v>
      </c>
      <c r="G2377" s="107">
        <f t="shared" si="79"/>
        <v>5</v>
      </c>
    </row>
    <row r="2378" spans="1:7">
      <c r="A2378" s="107">
        <v>49</v>
      </c>
      <c r="B2378" s="107">
        <v>3</v>
      </c>
      <c r="C2378" s="107">
        <v>7</v>
      </c>
      <c r="D2378" s="107" t="s">
        <v>688</v>
      </c>
      <c r="E2378" s="107" t="s">
        <v>689</v>
      </c>
      <c r="F2378" s="161">
        <v>45358</v>
      </c>
      <c r="G2378" s="107">
        <f t="shared" si="79"/>
        <v>10</v>
      </c>
    </row>
    <row r="2379" spans="1:7">
      <c r="A2379" s="107">
        <v>49</v>
      </c>
      <c r="B2379" s="107">
        <v>3</v>
      </c>
      <c r="C2379" s="107">
        <v>8</v>
      </c>
      <c r="D2379" s="107" t="s">
        <v>688</v>
      </c>
      <c r="E2379" s="107" t="s">
        <v>689</v>
      </c>
      <c r="F2379" s="107"/>
      <c r="G2379" s="107"/>
    </row>
    <row r="2380" spans="1:7">
      <c r="A2380" s="107">
        <v>49</v>
      </c>
      <c r="B2380" s="107">
        <v>4</v>
      </c>
      <c r="C2380" s="107">
        <v>1</v>
      </c>
      <c r="D2380" s="107" t="s">
        <v>690</v>
      </c>
      <c r="E2380" s="107" t="s">
        <v>691</v>
      </c>
      <c r="F2380" s="161">
        <v>45359</v>
      </c>
      <c r="G2380" s="107">
        <f t="shared" ref="G2380:G2394" si="80">DATEDIF(G$2,F2380,"d")</f>
        <v>11</v>
      </c>
    </row>
    <row r="2381" spans="1:7">
      <c r="A2381" s="107">
        <v>49</v>
      </c>
      <c r="B2381" s="107">
        <v>4</v>
      </c>
      <c r="C2381" s="107">
        <v>2</v>
      </c>
      <c r="D2381" s="107" t="s">
        <v>690</v>
      </c>
      <c r="E2381" s="107" t="s">
        <v>691</v>
      </c>
      <c r="F2381" s="161">
        <v>45352</v>
      </c>
      <c r="G2381" s="107">
        <f t="shared" si="80"/>
        <v>4</v>
      </c>
    </row>
    <row r="2382" spans="1:7">
      <c r="A2382" s="107">
        <v>49</v>
      </c>
      <c r="B2382" s="107">
        <v>4</v>
      </c>
      <c r="C2382" s="107">
        <v>3</v>
      </c>
      <c r="D2382" s="107" t="s">
        <v>690</v>
      </c>
      <c r="E2382" s="107" t="s">
        <v>691</v>
      </c>
      <c r="F2382" s="161">
        <v>45352</v>
      </c>
      <c r="G2382" s="107">
        <f t="shared" si="80"/>
        <v>4</v>
      </c>
    </row>
    <row r="2383" spans="1:7">
      <c r="A2383" s="107">
        <v>49</v>
      </c>
      <c r="B2383" s="107">
        <v>4</v>
      </c>
      <c r="C2383" s="107">
        <v>4</v>
      </c>
      <c r="D2383" s="107" t="s">
        <v>690</v>
      </c>
      <c r="E2383" s="107" t="s">
        <v>691</v>
      </c>
      <c r="F2383" s="161">
        <v>45352</v>
      </c>
      <c r="G2383" s="107">
        <f t="shared" si="80"/>
        <v>4</v>
      </c>
    </row>
    <row r="2384" spans="1:7">
      <c r="A2384" s="107">
        <v>49</v>
      </c>
      <c r="B2384" s="107">
        <v>4</v>
      </c>
      <c r="C2384" s="107">
        <v>5</v>
      </c>
      <c r="D2384" s="107" t="s">
        <v>690</v>
      </c>
      <c r="E2384" s="107" t="s">
        <v>691</v>
      </c>
      <c r="F2384" s="161">
        <v>45352</v>
      </c>
      <c r="G2384" s="107">
        <f t="shared" si="80"/>
        <v>4</v>
      </c>
    </row>
    <row r="2385" spans="1:7">
      <c r="A2385" s="107">
        <v>49</v>
      </c>
      <c r="B2385" s="107">
        <v>4</v>
      </c>
      <c r="C2385" s="107">
        <v>6</v>
      </c>
      <c r="D2385" s="107" t="s">
        <v>690</v>
      </c>
      <c r="E2385" s="107" t="s">
        <v>691</v>
      </c>
      <c r="F2385" s="161">
        <v>45353</v>
      </c>
      <c r="G2385" s="107">
        <f t="shared" si="80"/>
        <v>5</v>
      </c>
    </row>
    <row r="2386" spans="1:7">
      <c r="A2386" s="107">
        <v>49</v>
      </c>
      <c r="B2386" s="107">
        <v>4</v>
      </c>
      <c r="C2386" s="107">
        <v>7</v>
      </c>
      <c r="D2386" s="107" t="s">
        <v>690</v>
      </c>
      <c r="E2386" s="107" t="s">
        <v>691</v>
      </c>
      <c r="F2386" s="161">
        <v>45352</v>
      </c>
      <c r="G2386" s="107">
        <f t="shared" si="80"/>
        <v>4</v>
      </c>
    </row>
    <row r="2387" spans="1:7">
      <c r="A2387" s="107">
        <v>49</v>
      </c>
      <c r="B2387" s="107">
        <v>4</v>
      </c>
      <c r="C2387" s="107">
        <v>8</v>
      </c>
      <c r="D2387" s="107" t="s">
        <v>690</v>
      </c>
      <c r="E2387" s="107" t="s">
        <v>691</v>
      </c>
      <c r="F2387" s="161">
        <v>45352</v>
      </c>
      <c r="G2387" s="107">
        <f t="shared" si="80"/>
        <v>4</v>
      </c>
    </row>
    <row r="2388" spans="1:7">
      <c r="A2388" s="107">
        <v>49</v>
      </c>
      <c r="B2388" s="107">
        <v>5</v>
      </c>
      <c r="C2388" s="107">
        <v>1</v>
      </c>
      <c r="D2388" s="107" t="s">
        <v>692</v>
      </c>
      <c r="E2388" s="107" t="s">
        <v>693</v>
      </c>
      <c r="F2388" s="161">
        <v>45353</v>
      </c>
      <c r="G2388" s="107">
        <f t="shared" si="80"/>
        <v>5</v>
      </c>
    </row>
    <row r="2389" spans="1:7">
      <c r="A2389" s="107">
        <v>49</v>
      </c>
      <c r="B2389" s="107">
        <v>5</v>
      </c>
      <c r="C2389" s="107">
        <v>2</v>
      </c>
      <c r="D2389" s="107" t="s">
        <v>692</v>
      </c>
      <c r="E2389" s="107" t="s">
        <v>693</v>
      </c>
      <c r="F2389" s="161">
        <v>45352</v>
      </c>
      <c r="G2389" s="107">
        <f t="shared" si="80"/>
        <v>4</v>
      </c>
    </row>
    <row r="2390" spans="1:7">
      <c r="A2390" s="107">
        <v>49</v>
      </c>
      <c r="B2390" s="107">
        <v>5</v>
      </c>
      <c r="C2390" s="107">
        <v>3</v>
      </c>
      <c r="D2390" s="107" t="s">
        <v>692</v>
      </c>
      <c r="E2390" s="107" t="s">
        <v>693</v>
      </c>
      <c r="F2390" s="161">
        <v>45353</v>
      </c>
      <c r="G2390" s="107">
        <f t="shared" si="80"/>
        <v>5</v>
      </c>
    </row>
    <row r="2391" spans="1:7">
      <c r="A2391" s="107">
        <v>49</v>
      </c>
      <c r="B2391" s="107">
        <v>5</v>
      </c>
      <c r="C2391" s="107">
        <v>4</v>
      </c>
      <c r="D2391" s="107" t="s">
        <v>692</v>
      </c>
      <c r="E2391" s="107" t="s">
        <v>693</v>
      </c>
      <c r="F2391" s="161">
        <v>45352</v>
      </c>
      <c r="G2391" s="107">
        <f t="shared" si="80"/>
        <v>4</v>
      </c>
    </row>
    <row r="2392" spans="1:7">
      <c r="A2392" s="107">
        <v>49</v>
      </c>
      <c r="B2392" s="107">
        <v>5</v>
      </c>
      <c r="C2392" s="107">
        <v>5</v>
      </c>
      <c r="D2392" s="107" t="s">
        <v>692</v>
      </c>
      <c r="E2392" s="107" t="s">
        <v>693</v>
      </c>
      <c r="F2392" s="161">
        <v>45352</v>
      </c>
      <c r="G2392" s="107">
        <f t="shared" si="80"/>
        <v>4</v>
      </c>
    </row>
    <row r="2393" spans="1:7">
      <c r="A2393" s="107">
        <v>49</v>
      </c>
      <c r="B2393" s="107">
        <v>5</v>
      </c>
      <c r="C2393" s="107">
        <v>6</v>
      </c>
      <c r="D2393" s="107" t="s">
        <v>692</v>
      </c>
      <c r="E2393" s="107" t="s">
        <v>693</v>
      </c>
      <c r="F2393" s="161">
        <v>45352</v>
      </c>
      <c r="G2393" s="107">
        <f t="shared" si="80"/>
        <v>4</v>
      </c>
    </row>
    <row r="2394" spans="1:7">
      <c r="A2394" s="107">
        <v>49</v>
      </c>
      <c r="B2394" s="107">
        <v>5</v>
      </c>
      <c r="C2394" s="107">
        <v>7</v>
      </c>
      <c r="D2394" s="107" t="s">
        <v>692</v>
      </c>
      <c r="E2394" s="107" t="s">
        <v>693</v>
      </c>
      <c r="F2394" s="161">
        <v>45352</v>
      </c>
      <c r="G2394" s="107">
        <f t="shared" si="80"/>
        <v>4</v>
      </c>
    </row>
    <row r="2395" spans="1:7">
      <c r="A2395" s="107">
        <v>49</v>
      </c>
      <c r="B2395" s="107">
        <v>5</v>
      </c>
      <c r="C2395" s="107">
        <v>8</v>
      </c>
      <c r="D2395" s="107" t="s">
        <v>692</v>
      </c>
      <c r="E2395" s="107" t="s">
        <v>693</v>
      </c>
      <c r="F2395" s="107"/>
      <c r="G2395" s="107"/>
    </row>
    <row r="2396" spans="1:7">
      <c r="A2396" s="107">
        <v>49</v>
      </c>
      <c r="B2396" s="107">
        <v>6</v>
      </c>
      <c r="C2396" s="107">
        <v>1</v>
      </c>
      <c r="D2396" s="107" t="s">
        <v>694</v>
      </c>
      <c r="E2396" s="107" t="s">
        <v>695</v>
      </c>
      <c r="F2396" s="161">
        <v>45353</v>
      </c>
      <c r="G2396" s="107">
        <f>DATEDIF(G$2,F2396,"d")</f>
        <v>5</v>
      </c>
    </row>
    <row r="2397" spans="1:7">
      <c r="A2397" s="107">
        <v>49</v>
      </c>
      <c r="B2397" s="107">
        <v>6</v>
      </c>
      <c r="C2397" s="107">
        <v>2</v>
      </c>
      <c r="D2397" s="107" t="s">
        <v>694</v>
      </c>
      <c r="E2397" s="107" t="s">
        <v>695</v>
      </c>
      <c r="F2397" s="161">
        <v>45352</v>
      </c>
      <c r="G2397" s="107">
        <f>DATEDIF(G$2,F2397,"d")</f>
        <v>4</v>
      </c>
    </row>
    <row r="2398" spans="1:7">
      <c r="A2398" s="107">
        <v>49</v>
      </c>
      <c r="B2398" s="107">
        <v>6</v>
      </c>
      <c r="C2398" s="107">
        <v>3</v>
      </c>
      <c r="D2398" s="107" t="s">
        <v>694</v>
      </c>
      <c r="E2398" s="107" t="s">
        <v>695</v>
      </c>
      <c r="F2398" s="161">
        <v>45354</v>
      </c>
      <c r="G2398" s="107">
        <f>DATEDIF(G$2,F2398,"d")</f>
        <v>6</v>
      </c>
    </row>
    <row r="2399" spans="1:7">
      <c r="A2399" s="107">
        <v>49</v>
      </c>
      <c r="B2399" s="107">
        <v>6</v>
      </c>
      <c r="C2399" s="107">
        <v>4</v>
      </c>
      <c r="D2399" s="107" t="s">
        <v>694</v>
      </c>
      <c r="E2399" s="107" t="s">
        <v>695</v>
      </c>
      <c r="F2399" s="107"/>
      <c r="G2399" s="107"/>
    </row>
    <row r="2400" spans="1:7">
      <c r="A2400" s="107">
        <v>49</v>
      </c>
      <c r="B2400" s="107">
        <v>6</v>
      </c>
      <c r="C2400" s="107">
        <v>5</v>
      </c>
      <c r="D2400" s="107" t="s">
        <v>694</v>
      </c>
      <c r="E2400" s="107" t="s">
        <v>695</v>
      </c>
      <c r="F2400" s="161">
        <v>45352</v>
      </c>
      <c r="G2400" s="107">
        <f>DATEDIF(G$2,F2400,"d")</f>
        <v>4</v>
      </c>
    </row>
    <row r="2401" spans="1:7">
      <c r="A2401" s="107">
        <v>49</v>
      </c>
      <c r="B2401" s="107">
        <v>6</v>
      </c>
      <c r="C2401" s="107">
        <v>6</v>
      </c>
      <c r="D2401" s="107" t="s">
        <v>694</v>
      </c>
      <c r="E2401" s="107" t="s">
        <v>695</v>
      </c>
      <c r="F2401" s="161">
        <v>45352</v>
      </c>
      <c r="G2401" s="107">
        <f>DATEDIF(G$2,F2401,"d")</f>
        <v>4</v>
      </c>
    </row>
    <row r="2402" spans="1:7">
      <c r="A2402" s="107">
        <v>49</v>
      </c>
      <c r="B2402" s="107">
        <v>6</v>
      </c>
      <c r="C2402" s="107">
        <v>7</v>
      </c>
      <c r="D2402" s="107" t="s">
        <v>694</v>
      </c>
      <c r="E2402" s="107" t="s">
        <v>695</v>
      </c>
      <c r="F2402" s="161">
        <v>45352</v>
      </c>
      <c r="G2402" s="107">
        <f>DATEDIF(G$2,F2402,"d")</f>
        <v>4</v>
      </c>
    </row>
    <row r="2403" spans="1:7">
      <c r="A2403" s="107">
        <v>49</v>
      </c>
      <c r="B2403" s="107">
        <v>6</v>
      </c>
      <c r="C2403" s="107">
        <v>8</v>
      </c>
      <c r="D2403" s="107" t="s">
        <v>694</v>
      </c>
      <c r="E2403" s="107" t="s">
        <v>695</v>
      </c>
      <c r="F2403" s="107"/>
      <c r="G2403" s="107"/>
    </row>
    <row r="2405" spans="1:7">
      <c r="A2405" s="107">
        <v>50</v>
      </c>
      <c r="B2405" s="107">
        <v>1</v>
      </c>
      <c r="C2405" s="107">
        <v>1</v>
      </c>
      <c r="D2405" s="107" t="s">
        <v>696</v>
      </c>
      <c r="E2405" s="107" t="s">
        <v>697</v>
      </c>
      <c r="F2405" s="161">
        <v>45353</v>
      </c>
      <c r="G2405" s="107">
        <f t="shared" ref="G2405:G2437" si="81">DATEDIF(G$2,F2405,"d")</f>
        <v>5</v>
      </c>
    </row>
    <row r="2406" spans="1:7">
      <c r="A2406" s="107">
        <v>50</v>
      </c>
      <c r="B2406" s="107">
        <v>1</v>
      </c>
      <c r="C2406" s="107">
        <v>2</v>
      </c>
      <c r="D2406" s="107" t="s">
        <v>696</v>
      </c>
      <c r="E2406" s="107" t="s">
        <v>697</v>
      </c>
      <c r="F2406" s="161">
        <v>45353</v>
      </c>
      <c r="G2406" s="107">
        <f t="shared" si="81"/>
        <v>5</v>
      </c>
    </row>
    <row r="2407" spans="1:7">
      <c r="A2407" s="107">
        <v>50</v>
      </c>
      <c r="B2407" s="107">
        <v>1</v>
      </c>
      <c r="C2407" s="107">
        <v>3</v>
      </c>
      <c r="D2407" s="107" t="s">
        <v>696</v>
      </c>
      <c r="E2407" s="107" t="s">
        <v>697</v>
      </c>
      <c r="F2407" s="161">
        <v>45352</v>
      </c>
      <c r="G2407" s="107">
        <f t="shared" si="81"/>
        <v>4</v>
      </c>
    </row>
    <row r="2408" spans="1:7">
      <c r="A2408" s="107">
        <v>50</v>
      </c>
      <c r="B2408" s="107">
        <v>1</v>
      </c>
      <c r="C2408" s="107">
        <v>4</v>
      </c>
      <c r="D2408" s="107" t="s">
        <v>696</v>
      </c>
      <c r="E2408" s="107" t="s">
        <v>697</v>
      </c>
      <c r="F2408" s="161">
        <v>45353</v>
      </c>
      <c r="G2408" s="107">
        <f t="shared" si="81"/>
        <v>5</v>
      </c>
    </row>
    <row r="2409" spans="1:7">
      <c r="A2409" s="107">
        <v>50</v>
      </c>
      <c r="B2409" s="107">
        <v>1</v>
      </c>
      <c r="C2409" s="107">
        <v>5</v>
      </c>
      <c r="D2409" s="107" t="s">
        <v>696</v>
      </c>
      <c r="E2409" s="107" t="s">
        <v>697</v>
      </c>
      <c r="F2409" s="161">
        <v>45353</v>
      </c>
      <c r="G2409" s="107">
        <f t="shared" si="81"/>
        <v>5</v>
      </c>
    </row>
    <row r="2410" spans="1:7">
      <c r="A2410" s="107">
        <v>50</v>
      </c>
      <c r="B2410" s="107">
        <v>1</v>
      </c>
      <c r="C2410" s="107">
        <v>6</v>
      </c>
      <c r="D2410" s="107" t="s">
        <v>696</v>
      </c>
      <c r="E2410" s="107" t="s">
        <v>697</v>
      </c>
      <c r="F2410" s="161">
        <v>45353</v>
      </c>
      <c r="G2410" s="107">
        <f t="shared" si="81"/>
        <v>5</v>
      </c>
    </row>
    <row r="2411" spans="1:7">
      <c r="A2411" s="107">
        <v>50</v>
      </c>
      <c r="B2411" s="107">
        <v>1</v>
      </c>
      <c r="C2411" s="107">
        <v>7</v>
      </c>
      <c r="D2411" s="107" t="s">
        <v>696</v>
      </c>
      <c r="E2411" s="107" t="s">
        <v>697</v>
      </c>
      <c r="F2411" s="161">
        <v>45353</v>
      </c>
      <c r="G2411" s="107">
        <f t="shared" si="81"/>
        <v>5</v>
      </c>
    </row>
    <row r="2412" spans="1:7">
      <c r="A2412" s="107">
        <v>50</v>
      </c>
      <c r="B2412" s="107">
        <v>1</v>
      </c>
      <c r="C2412" s="107">
        <v>8</v>
      </c>
      <c r="D2412" s="107" t="s">
        <v>696</v>
      </c>
      <c r="E2412" s="107" t="s">
        <v>697</v>
      </c>
      <c r="F2412" s="161">
        <v>45352</v>
      </c>
      <c r="G2412" s="107">
        <f t="shared" si="81"/>
        <v>4</v>
      </c>
    </row>
    <row r="2413" spans="1:7">
      <c r="A2413" s="107">
        <v>50</v>
      </c>
      <c r="B2413" s="107">
        <v>2</v>
      </c>
      <c r="C2413" s="107">
        <v>1</v>
      </c>
      <c r="D2413" s="107" t="s">
        <v>698</v>
      </c>
      <c r="E2413" s="107" t="s">
        <v>699</v>
      </c>
      <c r="F2413" s="161">
        <v>45352</v>
      </c>
      <c r="G2413" s="107">
        <f t="shared" si="81"/>
        <v>4</v>
      </c>
    </row>
    <row r="2414" spans="1:7">
      <c r="A2414" s="107">
        <v>50</v>
      </c>
      <c r="B2414" s="107">
        <v>2</v>
      </c>
      <c r="C2414" s="107">
        <v>2</v>
      </c>
      <c r="D2414" s="107" t="s">
        <v>698</v>
      </c>
      <c r="E2414" s="107" t="s">
        <v>699</v>
      </c>
      <c r="F2414" s="161">
        <v>45352</v>
      </c>
      <c r="G2414" s="107">
        <f t="shared" si="81"/>
        <v>4</v>
      </c>
    </row>
    <row r="2415" spans="1:7">
      <c r="A2415" s="107">
        <v>50</v>
      </c>
      <c r="B2415" s="107">
        <v>2</v>
      </c>
      <c r="C2415" s="107">
        <v>3</v>
      </c>
      <c r="D2415" s="107" t="s">
        <v>698</v>
      </c>
      <c r="E2415" s="107" t="s">
        <v>699</v>
      </c>
      <c r="F2415" s="161">
        <v>45353</v>
      </c>
      <c r="G2415" s="107">
        <f t="shared" si="81"/>
        <v>5</v>
      </c>
    </row>
    <row r="2416" spans="1:7">
      <c r="A2416" s="107">
        <v>50</v>
      </c>
      <c r="B2416" s="107">
        <v>2</v>
      </c>
      <c r="C2416" s="107">
        <v>4</v>
      </c>
      <c r="D2416" s="107" t="s">
        <v>698</v>
      </c>
      <c r="E2416" s="107" t="s">
        <v>699</v>
      </c>
      <c r="F2416" s="161">
        <v>45352</v>
      </c>
      <c r="G2416" s="107">
        <f t="shared" si="81"/>
        <v>4</v>
      </c>
    </row>
    <row r="2417" spans="1:7">
      <c r="A2417" s="107">
        <v>50</v>
      </c>
      <c r="B2417" s="107">
        <v>2</v>
      </c>
      <c r="C2417" s="107">
        <v>5</v>
      </c>
      <c r="D2417" s="107" t="s">
        <v>698</v>
      </c>
      <c r="E2417" s="107" t="s">
        <v>699</v>
      </c>
      <c r="F2417" s="161">
        <v>45353</v>
      </c>
      <c r="G2417" s="107">
        <f t="shared" si="81"/>
        <v>5</v>
      </c>
    </row>
    <row r="2418" spans="1:7">
      <c r="A2418" s="107">
        <v>50</v>
      </c>
      <c r="B2418" s="107">
        <v>2</v>
      </c>
      <c r="C2418" s="107">
        <v>6</v>
      </c>
      <c r="D2418" s="107" t="s">
        <v>698</v>
      </c>
      <c r="E2418" s="107" t="s">
        <v>699</v>
      </c>
      <c r="F2418" s="161">
        <v>45353</v>
      </c>
      <c r="G2418" s="107">
        <f t="shared" si="81"/>
        <v>5</v>
      </c>
    </row>
    <row r="2419" spans="1:7">
      <c r="A2419" s="107">
        <v>50</v>
      </c>
      <c r="B2419" s="107">
        <v>2</v>
      </c>
      <c r="C2419" s="107">
        <v>7</v>
      </c>
      <c r="D2419" s="107" t="s">
        <v>698</v>
      </c>
      <c r="E2419" s="107" t="s">
        <v>699</v>
      </c>
      <c r="F2419" s="161">
        <v>45353</v>
      </c>
      <c r="G2419" s="107">
        <f t="shared" si="81"/>
        <v>5</v>
      </c>
    </row>
    <row r="2420" spans="1:7">
      <c r="A2420" s="107">
        <v>50</v>
      </c>
      <c r="B2420" s="107">
        <v>2</v>
      </c>
      <c r="C2420" s="107">
        <v>8</v>
      </c>
      <c r="D2420" s="107" t="s">
        <v>698</v>
      </c>
      <c r="E2420" s="107" t="s">
        <v>699</v>
      </c>
      <c r="F2420" s="161">
        <v>45352</v>
      </c>
      <c r="G2420" s="107">
        <f t="shared" si="81"/>
        <v>4</v>
      </c>
    </row>
    <row r="2421" spans="1:7">
      <c r="A2421" s="107">
        <v>50</v>
      </c>
      <c r="B2421" s="107">
        <v>3</v>
      </c>
      <c r="C2421" s="107">
        <v>1</v>
      </c>
      <c r="D2421" s="107" t="s">
        <v>700</v>
      </c>
      <c r="E2421" s="107" t="s">
        <v>701</v>
      </c>
      <c r="F2421" s="161">
        <v>45353</v>
      </c>
      <c r="G2421" s="107">
        <f t="shared" si="81"/>
        <v>5</v>
      </c>
    </row>
    <row r="2422" spans="1:7">
      <c r="A2422" s="107">
        <v>50</v>
      </c>
      <c r="B2422" s="107">
        <v>3</v>
      </c>
      <c r="C2422" s="107">
        <v>2</v>
      </c>
      <c r="D2422" s="107" t="s">
        <v>700</v>
      </c>
      <c r="E2422" s="107" t="s">
        <v>701</v>
      </c>
      <c r="F2422" s="161">
        <v>45352</v>
      </c>
      <c r="G2422" s="107">
        <f t="shared" si="81"/>
        <v>4</v>
      </c>
    </row>
    <row r="2423" spans="1:7">
      <c r="A2423" s="107">
        <v>50</v>
      </c>
      <c r="B2423" s="107">
        <v>3</v>
      </c>
      <c r="C2423" s="107">
        <v>3</v>
      </c>
      <c r="D2423" s="107" t="s">
        <v>700</v>
      </c>
      <c r="E2423" s="107" t="s">
        <v>701</v>
      </c>
      <c r="F2423" s="161">
        <v>45353</v>
      </c>
      <c r="G2423" s="107">
        <f t="shared" si="81"/>
        <v>5</v>
      </c>
    </row>
    <row r="2424" spans="1:7">
      <c r="A2424" s="107">
        <v>50</v>
      </c>
      <c r="B2424" s="107">
        <v>3</v>
      </c>
      <c r="C2424" s="107">
        <v>4</v>
      </c>
      <c r="D2424" s="107" t="s">
        <v>700</v>
      </c>
      <c r="E2424" s="107" t="s">
        <v>701</v>
      </c>
      <c r="F2424" s="161">
        <v>45352</v>
      </c>
      <c r="G2424" s="107">
        <f t="shared" si="81"/>
        <v>4</v>
      </c>
    </row>
    <row r="2425" spans="1:7">
      <c r="A2425" s="107">
        <v>50</v>
      </c>
      <c r="B2425" s="107">
        <v>3</v>
      </c>
      <c r="C2425" s="107">
        <v>5</v>
      </c>
      <c r="D2425" s="107" t="s">
        <v>700</v>
      </c>
      <c r="E2425" s="107" t="s">
        <v>701</v>
      </c>
      <c r="F2425" s="161">
        <v>45353</v>
      </c>
      <c r="G2425" s="107">
        <f t="shared" si="81"/>
        <v>5</v>
      </c>
    </row>
    <row r="2426" spans="1:7">
      <c r="A2426" s="107">
        <v>50</v>
      </c>
      <c r="B2426" s="107">
        <v>3</v>
      </c>
      <c r="C2426" s="107">
        <v>6</v>
      </c>
      <c r="D2426" s="107" t="s">
        <v>700</v>
      </c>
      <c r="E2426" s="107" t="s">
        <v>701</v>
      </c>
      <c r="F2426" s="161">
        <v>45354</v>
      </c>
      <c r="G2426" s="107">
        <f t="shared" si="81"/>
        <v>6</v>
      </c>
    </row>
    <row r="2427" spans="1:7">
      <c r="A2427" s="107">
        <v>50</v>
      </c>
      <c r="B2427" s="107">
        <v>3</v>
      </c>
      <c r="C2427" s="107">
        <v>7</v>
      </c>
      <c r="D2427" s="107" t="s">
        <v>700</v>
      </c>
      <c r="E2427" s="107" t="s">
        <v>701</v>
      </c>
      <c r="F2427" s="161">
        <v>45352</v>
      </c>
      <c r="G2427" s="107">
        <f t="shared" si="81"/>
        <v>4</v>
      </c>
    </row>
    <row r="2428" spans="1:7">
      <c r="A2428" s="107">
        <v>50</v>
      </c>
      <c r="B2428" s="107">
        <v>3</v>
      </c>
      <c r="C2428" s="107">
        <v>8</v>
      </c>
      <c r="D2428" s="107" t="s">
        <v>700</v>
      </c>
      <c r="E2428" s="107" t="s">
        <v>701</v>
      </c>
      <c r="F2428" s="161">
        <v>45352</v>
      </c>
      <c r="G2428" s="107">
        <f t="shared" si="81"/>
        <v>4</v>
      </c>
    </row>
    <row r="2429" spans="1:7">
      <c r="A2429" s="107">
        <v>50</v>
      </c>
      <c r="B2429" s="107">
        <v>4</v>
      </c>
      <c r="C2429" s="107">
        <v>1</v>
      </c>
      <c r="D2429" s="107" t="s">
        <v>702</v>
      </c>
      <c r="E2429" s="107" t="s">
        <v>703</v>
      </c>
      <c r="F2429" s="161">
        <v>45352</v>
      </c>
      <c r="G2429" s="107">
        <f t="shared" si="81"/>
        <v>4</v>
      </c>
    </row>
    <row r="2430" spans="1:7">
      <c r="A2430" s="107">
        <v>50</v>
      </c>
      <c r="B2430" s="107">
        <v>4</v>
      </c>
      <c r="C2430" s="107">
        <v>2</v>
      </c>
      <c r="D2430" s="107" t="s">
        <v>702</v>
      </c>
      <c r="E2430" s="107" t="s">
        <v>703</v>
      </c>
      <c r="F2430" s="161">
        <v>45352</v>
      </c>
      <c r="G2430" s="107">
        <f t="shared" si="81"/>
        <v>4</v>
      </c>
    </row>
    <row r="2431" spans="1:7">
      <c r="A2431" s="107">
        <v>50</v>
      </c>
      <c r="B2431" s="107">
        <v>4</v>
      </c>
      <c r="C2431" s="107">
        <v>3</v>
      </c>
      <c r="D2431" s="107" t="s">
        <v>702</v>
      </c>
      <c r="E2431" s="107" t="s">
        <v>703</v>
      </c>
      <c r="F2431" s="161">
        <v>45353</v>
      </c>
      <c r="G2431" s="107">
        <f t="shared" si="81"/>
        <v>5</v>
      </c>
    </row>
    <row r="2432" spans="1:7">
      <c r="A2432" s="107">
        <v>50</v>
      </c>
      <c r="B2432" s="107">
        <v>4</v>
      </c>
      <c r="C2432" s="107">
        <v>4</v>
      </c>
      <c r="D2432" s="107" t="s">
        <v>702</v>
      </c>
      <c r="E2432" s="107" t="s">
        <v>703</v>
      </c>
      <c r="F2432" s="161">
        <v>45353</v>
      </c>
      <c r="G2432" s="107">
        <f t="shared" si="81"/>
        <v>5</v>
      </c>
    </row>
    <row r="2433" spans="1:7">
      <c r="A2433" s="107">
        <v>50</v>
      </c>
      <c r="B2433" s="107">
        <v>4</v>
      </c>
      <c r="C2433" s="107">
        <v>5</v>
      </c>
      <c r="D2433" s="107" t="s">
        <v>702</v>
      </c>
      <c r="E2433" s="107" t="s">
        <v>703</v>
      </c>
      <c r="F2433" s="161">
        <v>45353</v>
      </c>
      <c r="G2433" s="107">
        <f t="shared" si="81"/>
        <v>5</v>
      </c>
    </row>
    <row r="2434" spans="1:7">
      <c r="A2434" s="107">
        <v>50</v>
      </c>
      <c r="B2434" s="107">
        <v>4</v>
      </c>
      <c r="C2434" s="107">
        <v>6</v>
      </c>
      <c r="D2434" s="107" t="s">
        <v>702</v>
      </c>
      <c r="E2434" s="107" t="s">
        <v>703</v>
      </c>
      <c r="F2434" s="161">
        <v>45353</v>
      </c>
      <c r="G2434" s="107">
        <f t="shared" si="81"/>
        <v>5</v>
      </c>
    </row>
    <row r="2435" spans="1:7">
      <c r="A2435" s="107">
        <v>50</v>
      </c>
      <c r="B2435" s="107">
        <v>4</v>
      </c>
      <c r="C2435" s="107">
        <v>7</v>
      </c>
      <c r="D2435" s="107" t="s">
        <v>702</v>
      </c>
      <c r="E2435" s="107" t="s">
        <v>703</v>
      </c>
      <c r="F2435" s="161">
        <v>45352</v>
      </c>
      <c r="G2435" s="107">
        <f t="shared" si="81"/>
        <v>4</v>
      </c>
    </row>
    <row r="2436" spans="1:7">
      <c r="A2436" s="107">
        <v>50</v>
      </c>
      <c r="B2436" s="107">
        <v>4</v>
      </c>
      <c r="C2436" s="107">
        <v>8</v>
      </c>
      <c r="D2436" s="107" t="s">
        <v>702</v>
      </c>
      <c r="E2436" s="107" t="s">
        <v>703</v>
      </c>
      <c r="F2436" s="161">
        <v>45352</v>
      </c>
      <c r="G2436" s="107">
        <f t="shared" si="81"/>
        <v>4</v>
      </c>
    </row>
    <row r="2437" spans="1:7">
      <c r="A2437" s="107">
        <v>50</v>
      </c>
      <c r="B2437" s="107">
        <v>5</v>
      </c>
      <c r="C2437" s="107">
        <v>1</v>
      </c>
      <c r="D2437" s="107" t="s">
        <v>704</v>
      </c>
      <c r="E2437" s="107" t="s">
        <v>705</v>
      </c>
      <c r="F2437" s="161">
        <v>45353</v>
      </c>
      <c r="G2437" s="107">
        <f t="shared" si="81"/>
        <v>5</v>
      </c>
    </row>
    <row r="2438" spans="1:7">
      <c r="A2438" s="107">
        <v>50</v>
      </c>
      <c r="B2438" s="107">
        <v>5</v>
      </c>
      <c r="C2438" s="107">
        <v>2</v>
      </c>
      <c r="D2438" s="107" t="s">
        <v>704</v>
      </c>
      <c r="E2438" s="107" t="s">
        <v>705</v>
      </c>
      <c r="F2438" s="107"/>
      <c r="G2438" s="107"/>
    </row>
    <row r="2439" spans="1:7">
      <c r="A2439" s="107">
        <v>50</v>
      </c>
      <c r="B2439" s="107">
        <v>5</v>
      </c>
      <c r="C2439" s="107">
        <v>3</v>
      </c>
      <c r="D2439" s="107" t="s">
        <v>704</v>
      </c>
      <c r="E2439" s="107" t="s">
        <v>705</v>
      </c>
      <c r="F2439" s="161">
        <v>45352</v>
      </c>
      <c r="G2439" s="107">
        <f t="shared" ref="G2439:G2445" si="82">DATEDIF(G$2,F2439,"d")</f>
        <v>4</v>
      </c>
    </row>
    <row r="2440" spans="1:7">
      <c r="A2440" s="107">
        <v>50</v>
      </c>
      <c r="B2440" s="107">
        <v>5</v>
      </c>
      <c r="C2440" s="107">
        <v>4</v>
      </c>
      <c r="D2440" s="107" t="s">
        <v>704</v>
      </c>
      <c r="E2440" s="107" t="s">
        <v>705</v>
      </c>
      <c r="F2440" s="161">
        <v>45352</v>
      </c>
      <c r="G2440" s="107">
        <f t="shared" si="82"/>
        <v>4</v>
      </c>
    </row>
    <row r="2441" spans="1:7">
      <c r="A2441" s="107">
        <v>50</v>
      </c>
      <c r="B2441" s="107">
        <v>5</v>
      </c>
      <c r="C2441" s="107">
        <v>5</v>
      </c>
      <c r="D2441" s="107" t="s">
        <v>704</v>
      </c>
      <c r="E2441" s="107" t="s">
        <v>705</v>
      </c>
      <c r="F2441" s="161">
        <v>45353</v>
      </c>
      <c r="G2441" s="107">
        <f t="shared" si="82"/>
        <v>5</v>
      </c>
    </row>
    <row r="2442" spans="1:7">
      <c r="A2442" s="107">
        <v>50</v>
      </c>
      <c r="B2442" s="107">
        <v>5</v>
      </c>
      <c r="C2442" s="107">
        <v>6</v>
      </c>
      <c r="D2442" s="107" t="s">
        <v>704</v>
      </c>
      <c r="E2442" s="107" t="s">
        <v>705</v>
      </c>
      <c r="F2442" s="161">
        <v>45353</v>
      </c>
      <c r="G2442" s="107">
        <f t="shared" si="82"/>
        <v>5</v>
      </c>
    </row>
    <row r="2443" spans="1:7">
      <c r="A2443" s="107">
        <v>50</v>
      </c>
      <c r="B2443" s="107">
        <v>5</v>
      </c>
      <c r="C2443" s="107">
        <v>7</v>
      </c>
      <c r="D2443" s="107" t="s">
        <v>704</v>
      </c>
      <c r="E2443" s="107" t="s">
        <v>705</v>
      </c>
      <c r="F2443" s="161">
        <v>45353</v>
      </c>
      <c r="G2443" s="107">
        <f t="shared" si="82"/>
        <v>5</v>
      </c>
    </row>
    <row r="2444" spans="1:7">
      <c r="A2444" s="107">
        <v>50</v>
      </c>
      <c r="B2444" s="107">
        <v>5</v>
      </c>
      <c r="C2444" s="107">
        <v>8</v>
      </c>
      <c r="D2444" s="107" t="s">
        <v>704</v>
      </c>
      <c r="E2444" s="107" t="s">
        <v>705</v>
      </c>
      <c r="F2444" s="161">
        <v>45353</v>
      </c>
      <c r="G2444" s="107">
        <f t="shared" si="82"/>
        <v>5</v>
      </c>
    </row>
    <row r="2445" spans="1:7">
      <c r="A2445" s="107">
        <v>50</v>
      </c>
      <c r="B2445" s="107">
        <v>6</v>
      </c>
      <c r="C2445" s="107">
        <v>1</v>
      </c>
      <c r="D2445" s="107" t="s">
        <v>706</v>
      </c>
      <c r="E2445" s="107" t="s">
        <v>137</v>
      </c>
      <c r="F2445" s="161">
        <v>45353</v>
      </c>
      <c r="G2445" s="107">
        <f t="shared" si="82"/>
        <v>5</v>
      </c>
    </row>
    <row r="2446" spans="1:7">
      <c r="A2446" s="107">
        <v>50</v>
      </c>
      <c r="B2446" s="107">
        <v>6</v>
      </c>
      <c r="C2446" s="107">
        <v>2</v>
      </c>
      <c r="D2446" s="107" t="s">
        <v>706</v>
      </c>
      <c r="E2446" s="107" t="s">
        <v>137</v>
      </c>
      <c r="F2446" s="107"/>
      <c r="G2446" s="107"/>
    </row>
    <row r="2447" spans="1:7">
      <c r="A2447" s="107">
        <v>50</v>
      </c>
      <c r="B2447" s="107">
        <v>6</v>
      </c>
      <c r="C2447" s="107">
        <v>3</v>
      </c>
      <c r="D2447" s="107" t="s">
        <v>706</v>
      </c>
      <c r="E2447" s="107" t="s">
        <v>137</v>
      </c>
      <c r="F2447" s="161">
        <v>45353</v>
      </c>
      <c r="G2447" s="107">
        <f t="shared" ref="G2447:G2452" si="83">DATEDIF(G$2,F2447,"d")</f>
        <v>5</v>
      </c>
    </row>
    <row r="2448" spans="1:7">
      <c r="A2448" s="107">
        <v>50</v>
      </c>
      <c r="B2448" s="107">
        <v>6</v>
      </c>
      <c r="C2448" s="107">
        <v>4</v>
      </c>
      <c r="D2448" s="107" t="s">
        <v>706</v>
      </c>
      <c r="E2448" s="107" t="s">
        <v>137</v>
      </c>
      <c r="F2448" s="161">
        <v>45354</v>
      </c>
      <c r="G2448" s="107">
        <f t="shared" si="83"/>
        <v>6</v>
      </c>
    </row>
    <row r="2449" spans="1:7">
      <c r="A2449" s="107">
        <v>50</v>
      </c>
      <c r="B2449" s="107">
        <v>6</v>
      </c>
      <c r="C2449" s="107">
        <v>5</v>
      </c>
      <c r="D2449" s="107" t="s">
        <v>706</v>
      </c>
      <c r="E2449" s="107" t="s">
        <v>137</v>
      </c>
      <c r="F2449" s="161">
        <v>45352</v>
      </c>
      <c r="G2449" s="107">
        <f t="shared" si="83"/>
        <v>4</v>
      </c>
    </row>
    <row r="2450" spans="1:7">
      <c r="A2450" s="107">
        <v>50</v>
      </c>
      <c r="B2450" s="107">
        <v>6</v>
      </c>
      <c r="C2450" s="107">
        <v>6</v>
      </c>
      <c r="D2450" s="107" t="s">
        <v>706</v>
      </c>
      <c r="E2450" s="107" t="s">
        <v>137</v>
      </c>
      <c r="F2450" s="161">
        <v>45353</v>
      </c>
      <c r="G2450" s="107">
        <f t="shared" si="83"/>
        <v>5</v>
      </c>
    </row>
    <row r="2451" spans="1:7">
      <c r="A2451" s="107">
        <v>50</v>
      </c>
      <c r="B2451" s="107">
        <v>6</v>
      </c>
      <c r="C2451" s="107">
        <v>7</v>
      </c>
      <c r="D2451" s="107" t="s">
        <v>706</v>
      </c>
      <c r="E2451" s="107" t="s">
        <v>137</v>
      </c>
      <c r="F2451" s="161">
        <v>45353</v>
      </c>
      <c r="G2451" s="107">
        <f t="shared" si="83"/>
        <v>5</v>
      </c>
    </row>
    <row r="2452" spans="1:7">
      <c r="A2452" s="107">
        <v>50</v>
      </c>
      <c r="B2452" s="107">
        <v>6</v>
      </c>
      <c r="C2452" s="107">
        <v>8</v>
      </c>
      <c r="D2452" s="107" t="s">
        <v>706</v>
      </c>
      <c r="E2452" s="107" t="s">
        <v>137</v>
      </c>
      <c r="F2452" s="161">
        <v>45353</v>
      </c>
      <c r="G2452" s="107">
        <f t="shared" si="83"/>
        <v>5</v>
      </c>
    </row>
    <row r="2454" spans="1:7">
      <c r="A2454" s="107">
        <v>52</v>
      </c>
      <c r="B2454" s="107">
        <v>1</v>
      </c>
      <c r="C2454" s="107">
        <v>1</v>
      </c>
      <c r="D2454" s="107" t="s">
        <v>707</v>
      </c>
      <c r="E2454" s="107" t="s">
        <v>708</v>
      </c>
      <c r="F2454" s="161">
        <v>45353</v>
      </c>
      <c r="G2454" s="107">
        <f t="shared" ref="G2454:G2498" si="84">DATEDIF(G$2,F2454,"d")</f>
        <v>5</v>
      </c>
    </row>
    <row r="2455" spans="1:7">
      <c r="A2455" s="107">
        <v>52</v>
      </c>
      <c r="B2455" s="107">
        <v>1</v>
      </c>
      <c r="C2455" s="107">
        <v>2</v>
      </c>
      <c r="D2455" s="107" t="s">
        <v>707</v>
      </c>
      <c r="E2455" s="107" t="s">
        <v>708</v>
      </c>
      <c r="F2455" s="161">
        <v>45353</v>
      </c>
      <c r="G2455" s="107">
        <f t="shared" si="84"/>
        <v>5</v>
      </c>
    </row>
    <row r="2456" spans="1:7">
      <c r="A2456" s="107">
        <v>52</v>
      </c>
      <c r="B2456" s="107">
        <v>1</v>
      </c>
      <c r="C2456" s="107">
        <v>3</v>
      </c>
      <c r="D2456" s="107" t="s">
        <v>707</v>
      </c>
      <c r="E2456" s="107" t="s">
        <v>708</v>
      </c>
      <c r="F2456" s="161">
        <v>45353</v>
      </c>
      <c r="G2456" s="107">
        <f t="shared" si="84"/>
        <v>5</v>
      </c>
    </row>
    <row r="2457" spans="1:7">
      <c r="A2457" s="107">
        <v>52</v>
      </c>
      <c r="B2457" s="107">
        <v>1</v>
      </c>
      <c r="C2457" s="107">
        <v>4</v>
      </c>
      <c r="D2457" s="107" t="s">
        <v>707</v>
      </c>
      <c r="E2457" s="107" t="s">
        <v>708</v>
      </c>
      <c r="F2457" s="161">
        <v>45353</v>
      </c>
      <c r="G2457" s="107">
        <f t="shared" si="84"/>
        <v>5</v>
      </c>
    </row>
    <row r="2458" spans="1:7">
      <c r="A2458" s="107">
        <v>52</v>
      </c>
      <c r="B2458" s="107">
        <v>1</v>
      </c>
      <c r="C2458" s="107">
        <v>5</v>
      </c>
      <c r="D2458" s="107" t="s">
        <v>707</v>
      </c>
      <c r="E2458" s="107" t="s">
        <v>708</v>
      </c>
      <c r="F2458" s="161">
        <v>45353</v>
      </c>
      <c r="G2458" s="107">
        <f t="shared" si="84"/>
        <v>5</v>
      </c>
    </row>
    <row r="2459" spans="1:7">
      <c r="A2459" s="107">
        <v>52</v>
      </c>
      <c r="B2459" s="107">
        <v>1</v>
      </c>
      <c r="C2459" s="107">
        <v>6</v>
      </c>
      <c r="D2459" s="107" t="s">
        <v>707</v>
      </c>
      <c r="E2459" s="107" t="s">
        <v>708</v>
      </c>
      <c r="F2459" s="161">
        <v>45353</v>
      </c>
      <c r="G2459" s="107">
        <f t="shared" si="84"/>
        <v>5</v>
      </c>
    </row>
    <row r="2460" spans="1:7">
      <c r="A2460" s="107">
        <v>52</v>
      </c>
      <c r="B2460" s="107">
        <v>1</v>
      </c>
      <c r="C2460" s="107">
        <v>7</v>
      </c>
      <c r="D2460" s="107" t="s">
        <v>707</v>
      </c>
      <c r="E2460" s="107" t="s">
        <v>708</v>
      </c>
      <c r="F2460" s="161">
        <v>45353</v>
      </c>
      <c r="G2460" s="107">
        <f t="shared" si="84"/>
        <v>5</v>
      </c>
    </row>
    <row r="2461" spans="1:7">
      <c r="A2461" s="107">
        <v>52</v>
      </c>
      <c r="B2461" s="107">
        <v>1</v>
      </c>
      <c r="C2461" s="107">
        <v>8</v>
      </c>
      <c r="D2461" s="107" t="s">
        <v>707</v>
      </c>
      <c r="E2461" s="107" t="s">
        <v>708</v>
      </c>
      <c r="F2461" s="161">
        <v>45353</v>
      </c>
      <c r="G2461" s="107">
        <f t="shared" si="84"/>
        <v>5</v>
      </c>
    </row>
    <row r="2462" spans="1:7">
      <c r="A2462" s="107">
        <v>52</v>
      </c>
      <c r="B2462" s="107">
        <v>2</v>
      </c>
      <c r="C2462" s="107">
        <v>1</v>
      </c>
      <c r="D2462" s="107" t="s">
        <v>709</v>
      </c>
      <c r="E2462" s="107" t="s">
        <v>710</v>
      </c>
      <c r="F2462" s="161">
        <v>45353</v>
      </c>
      <c r="G2462" s="107">
        <f t="shared" si="84"/>
        <v>5</v>
      </c>
    </row>
    <row r="2463" spans="1:7">
      <c r="A2463" s="107">
        <v>52</v>
      </c>
      <c r="B2463" s="107">
        <v>2</v>
      </c>
      <c r="C2463" s="107">
        <v>2</v>
      </c>
      <c r="D2463" s="107" t="s">
        <v>709</v>
      </c>
      <c r="E2463" s="107" t="s">
        <v>710</v>
      </c>
      <c r="F2463" s="161">
        <v>45353</v>
      </c>
      <c r="G2463" s="107">
        <f t="shared" si="84"/>
        <v>5</v>
      </c>
    </row>
    <row r="2464" spans="1:7">
      <c r="A2464" s="107">
        <v>52</v>
      </c>
      <c r="B2464" s="107">
        <v>2</v>
      </c>
      <c r="C2464" s="107">
        <v>3</v>
      </c>
      <c r="D2464" s="107" t="s">
        <v>709</v>
      </c>
      <c r="E2464" s="107" t="s">
        <v>710</v>
      </c>
      <c r="F2464" s="161">
        <v>45353</v>
      </c>
      <c r="G2464" s="107">
        <f t="shared" si="84"/>
        <v>5</v>
      </c>
    </row>
    <row r="2465" spans="1:7">
      <c r="A2465" s="107">
        <v>52</v>
      </c>
      <c r="B2465" s="107">
        <v>2</v>
      </c>
      <c r="C2465" s="107">
        <v>4</v>
      </c>
      <c r="D2465" s="107" t="s">
        <v>709</v>
      </c>
      <c r="E2465" s="107" t="s">
        <v>710</v>
      </c>
      <c r="F2465" s="161">
        <v>45354</v>
      </c>
      <c r="G2465" s="107">
        <f t="shared" si="84"/>
        <v>6</v>
      </c>
    </row>
    <row r="2466" spans="1:7">
      <c r="A2466" s="107">
        <v>52</v>
      </c>
      <c r="B2466" s="107">
        <v>2</v>
      </c>
      <c r="C2466" s="107">
        <v>5</v>
      </c>
      <c r="D2466" s="107" t="s">
        <v>709</v>
      </c>
      <c r="E2466" s="107" t="s">
        <v>710</v>
      </c>
      <c r="F2466" s="161">
        <v>45353</v>
      </c>
      <c r="G2466" s="107">
        <f t="shared" si="84"/>
        <v>5</v>
      </c>
    </row>
    <row r="2467" spans="1:7">
      <c r="A2467" s="107">
        <v>52</v>
      </c>
      <c r="B2467" s="107">
        <v>2</v>
      </c>
      <c r="C2467" s="107">
        <v>6</v>
      </c>
      <c r="D2467" s="107" t="s">
        <v>709</v>
      </c>
      <c r="E2467" s="107" t="s">
        <v>710</v>
      </c>
      <c r="F2467" s="161">
        <v>45354</v>
      </c>
      <c r="G2467" s="107">
        <f t="shared" si="84"/>
        <v>6</v>
      </c>
    </row>
    <row r="2468" spans="1:7">
      <c r="A2468" s="107">
        <v>52</v>
      </c>
      <c r="B2468" s="107">
        <v>2</v>
      </c>
      <c r="C2468" s="107">
        <v>7</v>
      </c>
      <c r="D2468" s="107" t="s">
        <v>709</v>
      </c>
      <c r="E2468" s="107" t="s">
        <v>710</v>
      </c>
      <c r="F2468" s="161">
        <v>45353</v>
      </c>
      <c r="G2468" s="107">
        <f t="shared" si="84"/>
        <v>5</v>
      </c>
    </row>
    <row r="2469" spans="1:7">
      <c r="A2469" s="107">
        <v>52</v>
      </c>
      <c r="B2469" s="107">
        <v>2</v>
      </c>
      <c r="C2469" s="107">
        <v>8</v>
      </c>
      <c r="D2469" s="107" t="s">
        <v>709</v>
      </c>
      <c r="E2469" s="107" t="s">
        <v>710</v>
      </c>
      <c r="F2469" s="161">
        <v>45353</v>
      </c>
      <c r="G2469" s="107">
        <f t="shared" si="84"/>
        <v>5</v>
      </c>
    </row>
    <row r="2470" spans="1:7">
      <c r="A2470" s="107">
        <v>52</v>
      </c>
      <c r="B2470" s="107">
        <v>3</v>
      </c>
      <c r="C2470" s="107">
        <v>1</v>
      </c>
      <c r="D2470" s="107" t="s">
        <v>711</v>
      </c>
      <c r="E2470" s="107" t="s">
        <v>712</v>
      </c>
      <c r="F2470" s="161">
        <v>45353</v>
      </c>
      <c r="G2470" s="107">
        <f t="shared" si="84"/>
        <v>5</v>
      </c>
    </row>
    <row r="2471" spans="1:7">
      <c r="A2471" s="107">
        <v>52</v>
      </c>
      <c r="B2471" s="107">
        <v>3</v>
      </c>
      <c r="C2471" s="107">
        <v>2</v>
      </c>
      <c r="D2471" s="107" t="s">
        <v>711</v>
      </c>
      <c r="E2471" s="107" t="s">
        <v>712</v>
      </c>
      <c r="F2471" s="161">
        <v>45353</v>
      </c>
      <c r="G2471" s="107">
        <f t="shared" si="84"/>
        <v>5</v>
      </c>
    </row>
    <row r="2472" spans="1:7">
      <c r="A2472" s="107">
        <v>52</v>
      </c>
      <c r="B2472" s="107">
        <v>3</v>
      </c>
      <c r="C2472" s="107">
        <v>3</v>
      </c>
      <c r="D2472" s="107" t="s">
        <v>711</v>
      </c>
      <c r="E2472" s="107" t="s">
        <v>712</v>
      </c>
      <c r="F2472" s="161">
        <v>45355</v>
      </c>
      <c r="G2472" s="107">
        <f t="shared" si="84"/>
        <v>7</v>
      </c>
    </row>
    <row r="2473" spans="1:7">
      <c r="A2473" s="107">
        <v>52</v>
      </c>
      <c r="B2473" s="107">
        <v>3</v>
      </c>
      <c r="C2473" s="107">
        <v>4</v>
      </c>
      <c r="D2473" s="107" t="s">
        <v>711</v>
      </c>
      <c r="E2473" s="107" t="s">
        <v>712</v>
      </c>
      <c r="F2473" s="161">
        <v>45352</v>
      </c>
      <c r="G2473" s="107">
        <f t="shared" si="84"/>
        <v>4</v>
      </c>
    </row>
    <row r="2474" spans="1:7">
      <c r="A2474" s="107">
        <v>52</v>
      </c>
      <c r="B2474" s="107">
        <v>3</v>
      </c>
      <c r="C2474" s="107">
        <v>5</v>
      </c>
      <c r="D2474" s="107" t="s">
        <v>711</v>
      </c>
      <c r="E2474" s="107" t="s">
        <v>712</v>
      </c>
      <c r="F2474" s="161">
        <v>45353</v>
      </c>
      <c r="G2474" s="107">
        <f t="shared" si="84"/>
        <v>5</v>
      </c>
    </row>
    <row r="2475" spans="1:7">
      <c r="A2475" s="107">
        <v>52</v>
      </c>
      <c r="B2475" s="107">
        <v>3</v>
      </c>
      <c r="C2475" s="107">
        <v>6</v>
      </c>
      <c r="D2475" s="107" t="s">
        <v>711</v>
      </c>
      <c r="E2475" s="107" t="s">
        <v>712</v>
      </c>
      <c r="F2475" s="161">
        <v>45353</v>
      </c>
      <c r="G2475" s="107">
        <f t="shared" si="84"/>
        <v>5</v>
      </c>
    </row>
    <row r="2476" spans="1:7">
      <c r="A2476" s="107">
        <v>52</v>
      </c>
      <c r="B2476" s="107">
        <v>3</v>
      </c>
      <c r="C2476" s="107">
        <v>7</v>
      </c>
      <c r="D2476" s="107" t="s">
        <v>711</v>
      </c>
      <c r="E2476" s="107" t="s">
        <v>712</v>
      </c>
      <c r="F2476" s="161">
        <v>45353</v>
      </c>
      <c r="G2476" s="107">
        <f t="shared" si="84"/>
        <v>5</v>
      </c>
    </row>
    <row r="2477" spans="1:7">
      <c r="A2477" s="107">
        <v>52</v>
      </c>
      <c r="B2477" s="107">
        <v>3</v>
      </c>
      <c r="C2477" s="107">
        <v>8</v>
      </c>
      <c r="D2477" s="107" t="s">
        <v>711</v>
      </c>
      <c r="E2477" s="107" t="s">
        <v>712</v>
      </c>
      <c r="F2477" s="161">
        <v>45352</v>
      </c>
      <c r="G2477" s="107">
        <f t="shared" si="84"/>
        <v>4</v>
      </c>
    </row>
    <row r="2478" spans="1:7">
      <c r="A2478" s="107">
        <v>52</v>
      </c>
      <c r="B2478" s="107">
        <v>4</v>
      </c>
      <c r="C2478" s="107">
        <v>1</v>
      </c>
      <c r="D2478" s="107" t="s">
        <v>713</v>
      </c>
      <c r="E2478" s="107" t="s">
        <v>714</v>
      </c>
      <c r="F2478" s="161">
        <v>45353</v>
      </c>
      <c r="G2478" s="107">
        <f t="shared" si="84"/>
        <v>5</v>
      </c>
    </row>
    <row r="2479" spans="1:7">
      <c r="A2479" s="107">
        <v>52</v>
      </c>
      <c r="B2479" s="107">
        <v>4</v>
      </c>
      <c r="C2479" s="107">
        <v>2</v>
      </c>
      <c r="D2479" s="107" t="s">
        <v>713</v>
      </c>
      <c r="E2479" s="107" t="s">
        <v>714</v>
      </c>
      <c r="F2479" s="161">
        <v>45353</v>
      </c>
      <c r="G2479" s="107">
        <f t="shared" si="84"/>
        <v>5</v>
      </c>
    </row>
    <row r="2480" spans="1:7">
      <c r="A2480" s="107">
        <v>52</v>
      </c>
      <c r="B2480" s="107">
        <v>4</v>
      </c>
      <c r="C2480" s="107">
        <v>3</v>
      </c>
      <c r="D2480" s="107" t="s">
        <v>713</v>
      </c>
      <c r="E2480" s="107" t="s">
        <v>714</v>
      </c>
      <c r="F2480" s="161">
        <v>45353</v>
      </c>
      <c r="G2480" s="107">
        <f t="shared" si="84"/>
        <v>5</v>
      </c>
    </row>
    <row r="2481" spans="1:7">
      <c r="A2481" s="107">
        <v>52</v>
      </c>
      <c r="B2481" s="107">
        <v>4</v>
      </c>
      <c r="C2481" s="107">
        <v>4</v>
      </c>
      <c r="D2481" s="107" t="s">
        <v>713</v>
      </c>
      <c r="E2481" s="107" t="s">
        <v>714</v>
      </c>
      <c r="F2481" s="161">
        <v>45353</v>
      </c>
      <c r="G2481" s="107">
        <f t="shared" si="84"/>
        <v>5</v>
      </c>
    </row>
    <row r="2482" spans="1:7">
      <c r="A2482" s="107">
        <v>52</v>
      </c>
      <c r="B2482" s="107">
        <v>4</v>
      </c>
      <c r="C2482" s="107">
        <v>5</v>
      </c>
      <c r="D2482" s="107" t="s">
        <v>713</v>
      </c>
      <c r="E2482" s="107" t="s">
        <v>714</v>
      </c>
      <c r="F2482" s="161">
        <v>45353</v>
      </c>
      <c r="G2482" s="107">
        <f t="shared" si="84"/>
        <v>5</v>
      </c>
    </row>
    <row r="2483" spans="1:7">
      <c r="A2483" s="107">
        <v>52</v>
      </c>
      <c r="B2483" s="107">
        <v>4</v>
      </c>
      <c r="C2483" s="107">
        <v>6</v>
      </c>
      <c r="D2483" s="107" t="s">
        <v>713</v>
      </c>
      <c r="E2483" s="107" t="s">
        <v>714</v>
      </c>
      <c r="F2483" s="161">
        <v>45356</v>
      </c>
      <c r="G2483" s="107">
        <f t="shared" si="84"/>
        <v>8</v>
      </c>
    </row>
    <row r="2484" spans="1:7">
      <c r="A2484" s="107">
        <v>52</v>
      </c>
      <c r="B2484" s="107">
        <v>4</v>
      </c>
      <c r="C2484" s="107">
        <v>7</v>
      </c>
      <c r="D2484" s="107" t="s">
        <v>713</v>
      </c>
      <c r="E2484" s="107" t="s">
        <v>714</v>
      </c>
      <c r="F2484" s="161">
        <v>45353</v>
      </c>
      <c r="G2484" s="107">
        <f t="shared" si="84"/>
        <v>5</v>
      </c>
    </row>
    <row r="2485" spans="1:7">
      <c r="A2485" s="107">
        <v>52</v>
      </c>
      <c r="B2485" s="107">
        <v>4</v>
      </c>
      <c r="C2485" s="107">
        <v>8</v>
      </c>
      <c r="D2485" s="107" t="s">
        <v>713</v>
      </c>
      <c r="E2485" s="107" t="s">
        <v>714</v>
      </c>
      <c r="F2485" s="161">
        <v>45355</v>
      </c>
      <c r="G2485" s="107">
        <f t="shared" si="84"/>
        <v>7</v>
      </c>
    </row>
    <row r="2486" spans="1:7">
      <c r="A2486" s="107">
        <v>52</v>
      </c>
      <c r="B2486" s="107">
        <v>5</v>
      </c>
      <c r="C2486" s="107">
        <v>1</v>
      </c>
      <c r="D2486" s="107" t="s">
        <v>715</v>
      </c>
      <c r="E2486" s="107" t="s">
        <v>716</v>
      </c>
      <c r="F2486" s="161">
        <v>45352</v>
      </c>
      <c r="G2486" s="107">
        <f t="shared" si="84"/>
        <v>4</v>
      </c>
    </row>
    <row r="2487" spans="1:7">
      <c r="A2487" s="107">
        <v>52</v>
      </c>
      <c r="B2487" s="107">
        <v>5</v>
      </c>
      <c r="C2487" s="107">
        <v>2</v>
      </c>
      <c r="D2487" s="107" t="s">
        <v>715</v>
      </c>
      <c r="E2487" s="107" t="s">
        <v>716</v>
      </c>
      <c r="F2487" s="161">
        <v>45352</v>
      </c>
      <c r="G2487" s="107">
        <f t="shared" si="84"/>
        <v>4</v>
      </c>
    </row>
    <row r="2488" spans="1:7">
      <c r="A2488" s="107">
        <v>52</v>
      </c>
      <c r="B2488" s="107">
        <v>5</v>
      </c>
      <c r="C2488" s="107">
        <v>3</v>
      </c>
      <c r="D2488" s="107" t="s">
        <v>715</v>
      </c>
      <c r="E2488" s="107" t="s">
        <v>716</v>
      </c>
      <c r="F2488" s="161">
        <v>45353</v>
      </c>
      <c r="G2488" s="107">
        <f t="shared" si="84"/>
        <v>5</v>
      </c>
    </row>
    <row r="2489" spans="1:7">
      <c r="A2489" s="107">
        <v>52</v>
      </c>
      <c r="B2489" s="107">
        <v>5</v>
      </c>
      <c r="C2489" s="107">
        <v>4</v>
      </c>
      <c r="D2489" s="107" t="s">
        <v>715</v>
      </c>
      <c r="E2489" s="107" t="s">
        <v>716</v>
      </c>
      <c r="F2489" s="161">
        <v>45353</v>
      </c>
      <c r="G2489" s="107">
        <f t="shared" si="84"/>
        <v>5</v>
      </c>
    </row>
    <row r="2490" spans="1:7">
      <c r="A2490" s="107">
        <v>52</v>
      </c>
      <c r="B2490" s="107">
        <v>5</v>
      </c>
      <c r="C2490" s="107">
        <v>5</v>
      </c>
      <c r="D2490" s="107" t="s">
        <v>715</v>
      </c>
      <c r="E2490" s="107" t="s">
        <v>716</v>
      </c>
      <c r="F2490" s="161">
        <v>45353</v>
      </c>
      <c r="G2490" s="107">
        <f t="shared" si="84"/>
        <v>5</v>
      </c>
    </row>
    <row r="2491" spans="1:7">
      <c r="A2491" s="107">
        <v>52</v>
      </c>
      <c r="B2491" s="107">
        <v>5</v>
      </c>
      <c r="C2491" s="107">
        <v>6</v>
      </c>
      <c r="D2491" s="107" t="s">
        <v>715</v>
      </c>
      <c r="E2491" s="107" t="s">
        <v>716</v>
      </c>
      <c r="F2491" s="161">
        <v>45353</v>
      </c>
      <c r="G2491" s="107">
        <f t="shared" si="84"/>
        <v>5</v>
      </c>
    </row>
    <row r="2492" spans="1:7">
      <c r="A2492" s="107">
        <v>52</v>
      </c>
      <c r="B2492" s="107">
        <v>5</v>
      </c>
      <c r="C2492" s="107">
        <v>7</v>
      </c>
      <c r="D2492" s="107" t="s">
        <v>715</v>
      </c>
      <c r="E2492" s="107" t="s">
        <v>716</v>
      </c>
      <c r="F2492" s="161">
        <v>45358</v>
      </c>
      <c r="G2492" s="107">
        <f t="shared" si="84"/>
        <v>10</v>
      </c>
    </row>
    <row r="2493" spans="1:7">
      <c r="A2493" s="107">
        <v>52</v>
      </c>
      <c r="B2493" s="107">
        <v>5</v>
      </c>
      <c r="C2493" s="107">
        <v>8</v>
      </c>
      <c r="D2493" s="107" t="s">
        <v>715</v>
      </c>
      <c r="E2493" s="107" t="s">
        <v>716</v>
      </c>
      <c r="F2493" s="161">
        <v>45353</v>
      </c>
      <c r="G2493" s="107">
        <f t="shared" si="84"/>
        <v>5</v>
      </c>
    </row>
    <row r="2494" spans="1:7">
      <c r="A2494" s="107">
        <v>52</v>
      </c>
      <c r="B2494" s="107">
        <v>6</v>
      </c>
      <c r="C2494" s="107">
        <v>1</v>
      </c>
      <c r="D2494" s="107" t="s">
        <v>717</v>
      </c>
      <c r="E2494" s="107" t="s">
        <v>718</v>
      </c>
      <c r="F2494" s="161">
        <v>45352</v>
      </c>
      <c r="G2494" s="107">
        <f t="shared" si="84"/>
        <v>4</v>
      </c>
    </row>
    <row r="2495" spans="1:7">
      <c r="A2495" s="107">
        <v>52</v>
      </c>
      <c r="B2495" s="107">
        <v>6</v>
      </c>
      <c r="C2495" s="107">
        <v>2</v>
      </c>
      <c r="D2495" s="107" t="s">
        <v>717</v>
      </c>
      <c r="E2495" s="107" t="s">
        <v>718</v>
      </c>
      <c r="F2495" s="161">
        <v>45353</v>
      </c>
      <c r="G2495" s="107">
        <f t="shared" si="84"/>
        <v>5</v>
      </c>
    </row>
    <row r="2496" spans="1:7">
      <c r="A2496" s="107">
        <v>52</v>
      </c>
      <c r="B2496" s="107">
        <v>6</v>
      </c>
      <c r="C2496" s="107">
        <v>3</v>
      </c>
      <c r="D2496" s="107" t="s">
        <v>717</v>
      </c>
      <c r="E2496" s="107" t="s">
        <v>718</v>
      </c>
      <c r="F2496" s="161">
        <v>45353</v>
      </c>
      <c r="G2496" s="107">
        <f t="shared" si="84"/>
        <v>5</v>
      </c>
    </row>
    <row r="2497" spans="1:7">
      <c r="A2497" s="107">
        <v>52</v>
      </c>
      <c r="B2497" s="107">
        <v>6</v>
      </c>
      <c r="C2497" s="107">
        <v>4</v>
      </c>
      <c r="D2497" s="107" t="s">
        <v>717</v>
      </c>
      <c r="E2497" s="107" t="s">
        <v>718</v>
      </c>
      <c r="F2497" s="161">
        <v>45353</v>
      </c>
      <c r="G2497" s="107">
        <f t="shared" si="84"/>
        <v>5</v>
      </c>
    </row>
    <row r="2498" spans="1:7">
      <c r="A2498" s="107">
        <v>52</v>
      </c>
      <c r="B2498" s="107">
        <v>6</v>
      </c>
      <c r="C2498" s="107">
        <v>5</v>
      </c>
      <c r="D2498" s="107" t="s">
        <v>717</v>
      </c>
      <c r="E2498" s="107" t="s">
        <v>718</v>
      </c>
      <c r="F2498" s="161">
        <v>45353</v>
      </c>
      <c r="G2498" s="107">
        <f t="shared" si="84"/>
        <v>5</v>
      </c>
    </row>
    <row r="2499" spans="1:7">
      <c r="A2499" s="107">
        <v>52</v>
      </c>
      <c r="B2499" s="107">
        <v>6</v>
      </c>
      <c r="C2499" s="107">
        <v>6</v>
      </c>
      <c r="D2499" s="107" t="s">
        <v>717</v>
      </c>
      <c r="E2499" s="107" t="s">
        <v>718</v>
      </c>
      <c r="F2499" s="107"/>
      <c r="G2499" s="107"/>
    </row>
    <row r="2500" spans="1:7">
      <c r="A2500" s="107">
        <v>52</v>
      </c>
      <c r="B2500" s="107">
        <v>6</v>
      </c>
      <c r="C2500" s="107">
        <v>7</v>
      </c>
      <c r="D2500" s="107" t="s">
        <v>717</v>
      </c>
      <c r="E2500" s="107" t="s">
        <v>718</v>
      </c>
      <c r="F2500" s="161">
        <v>45353</v>
      </c>
      <c r="G2500" s="107">
        <f>DATEDIF(G$2,F2500,"d")</f>
        <v>5</v>
      </c>
    </row>
    <row r="2501" spans="1:7">
      <c r="A2501" s="107">
        <v>52</v>
      </c>
      <c r="B2501" s="107">
        <v>6</v>
      </c>
      <c r="C2501" s="107">
        <v>8</v>
      </c>
      <c r="D2501" s="107" t="s">
        <v>717</v>
      </c>
      <c r="E2501" s="107" t="s">
        <v>718</v>
      </c>
      <c r="F2501" s="161">
        <v>45353</v>
      </c>
      <c r="G2501" s="107">
        <f>DATEDIF(G$2,F2501,"d")</f>
        <v>5</v>
      </c>
    </row>
    <row r="2503" spans="1:7">
      <c r="A2503" s="107">
        <v>53</v>
      </c>
      <c r="B2503" s="107">
        <v>1</v>
      </c>
      <c r="C2503" s="107">
        <v>1</v>
      </c>
      <c r="D2503" s="107" t="s">
        <v>719</v>
      </c>
      <c r="E2503" s="107" t="s">
        <v>720</v>
      </c>
      <c r="F2503" s="161">
        <v>45353</v>
      </c>
      <c r="G2503" s="107">
        <f t="shared" ref="G2503:G2549" si="85">DATEDIF(G$2,F2503,"d")</f>
        <v>5</v>
      </c>
    </row>
    <row r="2504" spans="1:7">
      <c r="A2504" s="107">
        <v>53</v>
      </c>
      <c r="B2504" s="107">
        <v>1</v>
      </c>
      <c r="C2504" s="107">
        <v>2</v>
      </c>
      <c r="D2504" s="107" t="s">
        <v>719</v>
      </c>
      <c r="E2504" s="107" t="s">
        <v>720</v>
      </c>
      <c r="F2504" s="161">
        <v>45353</v>
      </c>
      <c r="G2504" s="107">
        <f t="shared" si="85"/>
        <v>5</v>
      </c>
    </row>
    <row r="2505" spans="1:7">
      <c r="A2505" s="107">
        <v>53</v>
      </c>
      <c r="B2505" s="107">
        <v>1</v>
      </c>
      <c r="C2505" s="107">
        <v>3</v>
      </c>
      <c r="D2505" s="107" t="s">
        <v>719</v>
      </c>
      <c r="E2505" s="107" t="s">
        <v>720</v>
      </c>
      <c r="F2505" s="161">
        <v>45353</v>
      </c>
      <c r="G2505" s="107">
        <f t="shared" si="85"/>
        <v>5</v>
      </c>
    </row>
    <row r="2506" spans="1:7">
      <c r="A2506" s="107">
        <v>53</v>
      </c>
      <c r="B2506" s="107">
        <v>1</v>
      </c>
      <c r="C2506" s="107">
        <v>4</v>
      </c>
      <c r="D2506" s="107" t="s">
        <v>719</v>
      </c>
      <c r="E2506" s="107" t="s">
        <v>720</v>
      </c>
      <c r="F2506" s="161">
        <v>45353</v>
      </c>
      <c r="G2506" s="107">
        <f t="shared" si="85"/>
        <v>5</v>
      </c>
    </row>
    <row r="2507" spans="1:7">
      <c r="A2507" s="107">
        <v>53</v>
      </c>
      <c r="B2507" s="107">
        <v>1</v>
      </c>
      <c r="C2507" s="107">
        <v>5</v>
      </c>
      <c r="D2507" s="107" t="s">
        <v>719</v>
      </c>
      <c r="E2507" s="107" t="s">
        <v>720</v>
      </c>
      <c r="F2507" s="161">
        <v>45353</v>
      </c>
      <c r="G2507" s="107">
        <f t="shared" si="85"/>
        <v>5</v>
      </c>
    </row>
    <row r="2508" spans="1:7">
      <c r="A2508" s="107">
        <v>53</v>
      </c>
      <c r="B2508" s="107">
        <v>1</v>
      </c>
      <c r="C2508" s="107">
        <v>6</v>
      </c>
      <c r="D2508" s="107" t="s">
        <v>719</v>
      </c>
      <c r="E2508" s="107" t="s">
        <v>720</v>
      </c>
      <c r="F2508" s="161">
        <v>45356</v>
      </c>
      <c r="G2508" s="107">
        <f t="shared" si="85"/>
        <v>8</v>
      </c>
    </row>
    <row r="2509" spans="1:7">
      <c r="A2509" s="107">
        <v>53</v>
      </c>
      <c r="B2509" s="107">
        <v>1</v>
      </c>
      <c r="C2509" s="107">
        <v>7</v>
      </c>
      <c r="D2509" s="107" t="s">
        <v>719</v>
      </c>
      <c r="E2509" s="107" t="s">
        <v>720</v>
      </c>
      <c r="F2509" s="161">
        <v>45352</v>
      </c>
      <c r="G2509" s="107">
        <f t="shared" si="85"/>
        <v>4</v>
      </c>
    </row>
    <row r="2510" spans="1:7">
      <c r="A2510" s="107">
        <v>53</v>
      </c>
      <c r="B2510" s="107">
        <v>1</v>
      </c>
      <c r="C2510" s="107">
        <v>8</v>
      </c>
      <c r="D2510" s="107" t="s">
        <v>719</v>
      </c>
      <c r="E2510" s="107" t="s">
        <v>720</v>
      </c>
      <c r="F2510" s="161">
        <v>45353</v>
      </c>
      <c r="G2510" s="107">
        <f t="shared" si="85"/>
        <v>5</v>
      </c>
    </row>
    <row r="2511" spans="1:7">
      <c r="A2511" s="107">
        <v>53</v>
      </c>
      <c r="B2511" s="107">
        <v>2</v>
      </c>
      <c r="C2511" s="107">
        <v>1</v>
      </c>
      <c r="D2511" s="107" t="s">
        <v>721</v>
      </c>
      <c r="E2511" s="107" t="s">
        <v>722</v>
      </c>
      <c r="F2511" s="161">
        <v>45353</v>
      </c>
      <c r="G2511" s="107">
        <f t="shared" si="85"/>
        <v>5</v>
      </c>
    </row>
    <row r="2512" spans="1:7">
      <c r="A2512" s="107">
        <v>53</v>
      </c>
      <c r="B2512" s="107">
        <v>2</v>
      </c>
      <c r="C2512" s="107">
        <v>2</v>
      </c>
      <c r="D2512" s="107" t="s">
        <v>721</v>
      </c>
      <c r="E2512" s="107" t="s">
        <v>722</v>
      </c>
      <c r="F2512" s="161">
        <v>45353</v>
      </c>
      <c r="G2512" s="107">
        <f t="shared" si="85"/>
        <v>5</v>
      </c>
    </row>
    <row r="2513" spans="1:7">
      <c r="A2513" s="107">
        <v>53</v>
      </c>
      <c r="B2513" s="107">
        <v>2</v>
      </c>
      <c r="C2513" s="107">
        <v>3</v>
      </c>
      <c r="D2513" s="107" t="s">
        <v>721</v>
      </c>
      <c r="E2513" s="107" t="s">
        <v>722</v>
      </c>
      <c r="F2513" s="161">
        <v>45353</v>
      </c>
      <c r="G2513" s="107">
        <f t="shared" si="85"/>
        <v>5</v>
      </c>
    </row>
    <row r="2514" spans="1:7">
      <c r="A2514" s="107">
        <v>53</v>
      </c>
      <c r="B2514" s="107">
        <v>2</v>
      </c>
      <c r="C2514" s="107">
        <v>4</v>
      </c>
      <c r="D2514" s="107" t="s">
        <v>721</v>
      </c>
      <c r="E2514" s="107" t="s">
        <v>722</v>
      </c>
      <c r="F2514" s="161">
        <v>45355</v>
      </c>
      <c r="G2514" s="107">
        <f t="shared" si="85"/>
        <v>7</v>
      </c>
    </row>
    <row r="2515" spans="1:7">
      <c r="A2515" s="107">
        <v>53</v>
      </c>
      <c r="B2515" s="107">
        <v>2</v>
      </c>
      <c r="C2515" s="107">
        <v>5</v>
      </c>
      <c r="D2515" s="107" t="s">
        <v>721</v>
      </c>
      <c r="E2515" s="107" t="s">
        <v>722</v>
      </c>
      <c r="F2515" s="161">
        <v>45353</v>
      </c>
      <c r="G2515" s="107">
        <f t="shared" si="85"/>
        <v>5</v>
      </c>
    </row>
    <row r="2516" spans="1:7">
      <c r="A2516" s="107">
        <v>53</v>
      </c>
      <c r="B2516" s="107">
        <v>2</v>
      </c>
      <c r="C2516" s="107">
        <v>6</v>
      </c>
      <c r="D2516" s="107" t="s">
        <v>721</v>
      </c>
      <c r="E2516" s="107" t="s">
        <v>722</v>
      </c>
      <c r="F2516" s="161">
        <v>45353</v>
      </c>
      <c r="G2516" s="107">
        <f t="shared" si="85"/>
        <v>5</v>
      </c>
    </row>
    <row r="2517" spans="1:7">
      <c r="A2517" s="107">
        <v>53</v>
      </c>
      <c r="B2517" s="107">
        <v>2</v>
      </c>
      <c r="C2517" s="107">
        <v>7</v>
      </c>
      <c r="D2517" s="107" t="s">
        <v>721</v>
      </c>
      <c r="E2517" s="107" t="s">
        <v>722</v>
      </c>
      <c r="F2517" s="161">
        <v>45353</v>
      </c>
      <c r="G2517" s="107">
        <f t="shared" si="85"/>
        <v>5</v>
      </c>
    </row>
    <row r="2518" spans="1:7">
      <c r="A2518" s="107">
        <v>53</v>
      </c>
      <c r="B2518" s="107">
        <v>2</v>
      </c>
      <c r="C2518" s="107">
        <v>8</v>
      </c>
      <c r="D2518" s="107" t="s">
        <v>721</v>
      </c>
      <c r="E2518" s="107" t="s">
        <v>722</v>
      </c>
      <c r="F2518" s="161">
        <v>45352</v>
      </c>
      <c r="G2518" s="107">
        <f t="shared" si="85"/>
        <v>4</v>
      </c>
    </row>
    <row r="2519" spans="1:7">
      <c r="A2519" s="107">
        <v>53</v>
      </c>
      <c r="B2519" s="107">
        <v>3</v>
      </c>
      <c r="C2519" s="107">
        <v>1</v>
      </c>
      <c r="D2519" s="107" t="s">
        <v>723</v>
      </c>
      <c r="E2519" s="107" t="s">
        <v>724</v>
      </c>
      <c r="F2519" s="161">
        <v>45353</v>
      </c>
      <c r="G2519" s="107">
        <f t="shared" si="85"/>
        <v>5</v>
      </c>
    </row>
    <row r="2520" spans="1:7">
      <c r="A2520" s="107">
        <v>53</v>
      </c>
      <c r="B2520" s="107">
        <v>3</v>
      </c>
      <c r="C2520" s="107">
        <v>2</v>
      </c>
      <c r="D2520" s="107" t="s">
        <v>723</v>
      </c>
      <c r="E2520" s="107" t="s">
        <v>724</v>
      </c>
      <c r="F2520" s="161">
        <v>45353</v>
      </c>
      <c r="G2520" s="107">
        <f t="shared" si="85"/>
        <v>5</v>
      </c>
    </row>
    <row r="2521" spans="1:7">
      <c r="A2521" s="107">
        <v>53</v>
      </c>
      <c r="B2521" s="107">
        <v>3</v>
      </c>
      <c r="C2521" s="107">
        <v>3</v>
      </c>
      <c r="D2521" s="107" t="s">
        <v>723</v>
      </c>
      <c r="E2521" s="107" t="s">
        <v>724</v>
      </c>
      <c r="F2521" s="161">
        <v>45353</v>
      </c>
      <c r="G2521" s="107">
        <f t="shared" si="85"/>
        <v>5</v>
      </c>
    </row>
    <row r="2522" spans="1:7">
      <c r="A2522" s="107">
        <v>53</v>
      </c>
      <c r="B2522" s="107">
        <v>3</v>
      </c>
      <c r="C2522" s="107">
        <v>4</v>
      </c>
      <c r="D2522" s="107" t="s">
        <v>723</v>
      </c>
      <c r="E2522" s="107" t="s">
        <v>724</v>
      </c>
      <c r="F2522" s="161">
        <v>45353</v>
      </c>
      <c r="G2522" s="107">
        <f t="shared" si="85"/>
        <v>5</v>
      </c>
    </row>
    <row r="2523" spans="1:7">
      <c r="A2523" s="107">
        <v>53</v>
      </c>
      <c r="B2523" s="107">
        <v>3</v>
      </c>
      <c r="C2523" s="107">
        <v>5</v>
      </c>
      <c r="D2523" s="107" t="s">
        <v>723</v>
      </c>
      <c r="E2523" s="107" t="s">
        <v>724</v>
      </c>
      <c r="F2523" s="161">
        <v>45354</v>
      </c>
      <c r="G2523" s="107">
        <f t="shared" si="85"/>
        <v>6</v>
      </c>
    </row>
    <row r="2524" spans="1:7">
      <c r="A2524" s="107">
        <v>53</v>
      </c>
      <c r="B2524" s="107">
        <v>3</v>
      </c>
      <c r="C2524" s="107">
        <v>6</v>
      </c>
      <c r="D2524" s="107" t="s">
        <v>723</v>
      </c>
      <c r="E2524" s="107" t="s">
        <v>724</v>
      </c>
      <c r="F2524" s="161">
        <v>45353</v>
      </c>
      <c r="G2524" s="107">
        <f t="shared" si="85"/>
        <v>5</v>
      </c>
    </row>
    <row r="2525" spans="1:7">
      <c r="A2525" s="107">
        <v>53</v>
      </c>
      <c r="B2525" s="107">
        <v>3</v>
      </c>
      <c r="C2525" s="107">
        <v>7</v>
      </c>
      <c r="D2525" s="107" t="s">
        <v>723</v>
      </c>
      <c r="E2525" s="107" t="s">
        <v>724</v>
      </c>
      <c r="F2525" s="161">
        <v>45353</v>
      </c>
      <c r="G2525" s="107">
        <f t="shared" si="85"/>
        <v>5</v>
      </c>
    </row>
    <row r="2526" spans="1:7">
      <c r="A2526" s="107">
        <v>53</v>
      </c>
      <c r="B2526" s="107">
        <v>3</v>
      </c>
      <c r="C2526" s="107">
        <v>8</v>
      </c>
      <c r="D2526" s="107" t="s">
        <v>723</v>
      </c>
      <c r="E2526" s="107" t="s">
        <v>724</v>
      </c>
      <c r="F2526" s="161">
        <v>45353</v>
      </c>
      <c r="G2526" s="107">
        <f t="shared" si="85"/>
        <v>5</v>
      </c>
    </row>
    <row r="2527" spans="1:7">
      <c r="A2527" s="107">
        <v>53</v>
      </c>
      <c r="B2527" s="107">
        <v>4</v>
      </c>
      <c r="C2527" s="107">
        <v>1</v>
      </c>
      <c r="D2527" s="107" t="s">
        <v>725</v>
      </c>
      <c r="E2527" s="107" t="s">
        <v>726</v>
      </c>
      <c r="F2527" s="161">
        <v>45353</v>
      </c>
      <c r="G2527" s="107">
        <f t="shared" si="85"/>
        <v>5</v>
      </c>
    </row>
    <row r="2528" spans="1:7">
      <c r="A2528" s="107">
        <v>53</v>
      </c>
      <c r="B2528" s="107">
        <v>4</v>
      </c>
      <c r="C2528" s="107">
        <v>2</v>
      </c>
      <c r="D2528" s="107" t="s">
        <v>725</v>
      </c>
      <c r="E2528" s="107" t="s">
        <v>726</v>
      </c>
      <c r="F2528" s="161">
        <v>45353</v>
      </c>
      <c r="G2528" s="107">
        <f t="shared" si="85"/>
        <v>5</v>
      </c>
    </row>
    <row r="2529" spans="1:7">
      <c r="A2529" s="107">
        <v>53</v>
      </c>
      <c r="B2529" s="107">
        <v>4</v>
      </c>
      <c r="C2529" s="107">
        <v>3</v>
      </c>
      <c r="D2529" s="107" t="s">
        <v>725</v>
      </c>
      <c r="E2529" s="107" t="s">
        <v>726</v>
      </c>
      <c r="F2529" s="161">
        <v>45353</v>
      </c>
      <c r="G2529" s="107">
        <f t="shared" si="85"/>
        <v>5</v>
      </c>
    </row>
    <row r="2530" spans="1:7">
      <c r="A2530" s="107">
        <v>53</v>
      </c>
      <c r="B2530" s="107">
        <v>4</v>
      </c>
      <c r="C2530" s="107">
        <v>4</v>
      </c>
      <c r="D2530" s="107" t="s">
        <v>725</v>
      </c>
      <c r="E2530" s="107" t="s">
        <v>726</v>
      </c>
      <c r="F2530" s="161">
        <v>45353</v>
      </c>
      <c r="G2530" s="107">
        <f t="shared" si="85"/>
        <v>5</v>
      </c>
    </row>
    <row r="2531" spans="1:7">
      <c r="A2531" s="107">
        <v>53</v>
      </c>
      <c r="B2531" s="107">
        <v>4</v>
      </c>
      <c r="C2531" s="107">
        <v>5</v>
      </c>
      <c r="D2531" s="107" t="s">
        <v>725</v>
      </c>
      <c r="E2531" s="107" t="s">
        <v>726</v>
      </c>
      <c r="F2531" s="161">
        <v>45361</v>
      </c>
      <c r="G2531" s="107">
        <f t="shared" si="85"/>
        <v>13</v>
      </c>
    </row>
    <row r="2532" spans="1:7">
      <c r="A2532" s="107">
        <v>53</v>
      </c>
      <c r="B2532" s="107">
        <v>4</v>
      </c>
      <c r="C2532" s="107">
        <v>6</v>
      </c>
      <c r="D2532" s="107" t="s">
        <v>725</v>
      </c>
      <c r="E2532" s="107" t="s">
        <v>726</v>
      </c>
      <c r="F2532" s="161">
        <v>45353</v>
      </c>
      <c r="G2532" s="107">
        <f t="shared" si="85"/>
        <v>5</v>
      </c>
    </row>
    <row r="2533" spans="1:7">
      <c r="A2533" s="107">
        <v>53</v>
      </c>
      <c r="B2533" s="107">
        <v>4</v>
      </c>
      <c r="C2533" s="107">
        <v>7</v>
      </c>
      <c r="D2533" s="107" t="s">
        <v>725</v>
      </c>
      <c r="E2533" s="107" t="s">
        <v>726</v>
      </c>
      <c r="F2533" s="161">
        <v>45353</v>
      </c>
      <c r="G2533" s="107">
        <f t="shared" si="85"/>
        <v>5</v>
      </c>
    </row>
    <row r="2534" spans="1:7">
      <c r="A2534" s="107">
        <v>53</v>
      </c>
      <c r="B2534" s="107">
        <v>4</v>
      </c>
      <c r="C2534" s="107">
        <v>8</v>
      </c>
      <c r="D2534" s="107" t="s">
        <v>725</v>
      </c>
      <c r="E2534" s="107" t="s">
        <v>726</v>
      </c>
      <c r="F2534" s="161">
        <v>45354</v>
      </c>
      <c r="G2534" s="107">
        <f t="shared" si="85"/>
        <v>6</v>
      </c>
    </row>
    <row r="2535" spans="1:7">
      <c r="A2535" s="107">
        <v>53</v>
      </c>
      <c r="B2535" s="107">
        <v>5</v>
      </c>
      <c r="C2535" s="107">
        <v>1</v>
      </c>
      <c r="D2535" s="107" t="s">
        <v>727</v>
      </c>
      <c r="E2535" s="107" t="s">
        <v>728</v>
      </c>
      <c r="F2535" s="161">
        <v>45353</v>
      </c>
      <c r="G2535" s="107">
        <f t="shared" si="85"/>
        <v>5</v>
      </c>
    </row>
    <row r="2536" spans="1:7">
      <c r="A2536" s="107">
        <v>53</v>
      </c>
      <c r="B2536" s="107">
        <v>5</v>
      </c>
      <c r="C2536" s="107">
        <v>2</v>
      </c>
      <c r="D2536" s="107" t="s">
        <v>727</v>
      </c>
      <c r="E2536" s="107" t="s">
        <v>728</v>
      </c>
      <c r="F2536" s="161">
        <v>45353</v>
      </c>
      <c r="G2536" s="107">
        <f t="shared" si="85"/>
        <v>5</v>
      </c>
    </row>
    <row r="2537" spans="1:7">
      <c r="A2537" s="107">
        <v>53</v>
      </c>
      <c r="B2537" s="107">
        <v>5</v>
      </c>
      <c r="C2537" s="107">
        <v>3</v>
      </c>
      <c r="D2537" s="107" t="s">
        <v>727</v>
      </c>
      <c r="E2537" s="107" t="s">
        <v>728</v>
      </c>
      <c r="F2537" s="161">
        <v>45352</v>
      </c>
      <c r="G2537" s="107">
        <f t="shared" si="85"/>
        <v>4</v>
      </c>
    </row>
    <row r="2538" spans="1:7">
      <c r="A2538" s="107">
        <v>53</v>
      </c>
      <c r="B2538" s="107">
        <v>5</v>
      </c>
      <c r="C2538" s="107">
        <v>4</v>
      </c>
      <c r="D2538" s="107" t="s">
        <v>727</v>
      </c>
      <c r="E2538" s="107" t="s">
        <v>728</v>
      </c>
      <c r="F2538" s="161">
        <v>45353</v>
      </c>
      <c r="G2538" s="107">
        <f t="shared" si="85"/>
        <v>5</v>
      </c>
    </row>
    <row r="2539" spans="1:7">
      <c r="A2539" s="107">
        <v>53</v>
      </c>
      <c r="B2539" s="107">
        <v>5</v>
      </c>
      <c r="C2539" s="107">
        <v>5</v>
      </c>
      <c r="D2539" s="107" t="s">
        <v>727</v>
      </c>
      <c r="E2539" s="107" t="s">
        <v>728</v>
      </c>
      <c r="F2539" s="161">
        <v>45353</v>
      </c>
      <c r="G2539" s="107">
        <f t="shared" si="85"/>
        <v>5</v>
      </c>
    </row>
    <row r="2540" spans="1:7">
      <c r="A2540" s="107">
        <v>53</v>
      </c>
      <c r="B2540" s="107">
        <v>5</v>
      </c>
      <c r="C2540" s="107">
        <v>6</v>
      </c>
      <c r="D2540" s="107" t="s">
        <v>727</v>
      </c>
      <c r="E2540" s="107" t="s">
        <v>728</v>
      </c>
      <c r="F2540" s="161">
        <v>45353</v>
      </c>
      <c r="G2540" s="107">
        <f t="shared" si="85"/>
        <v>5</v>
      </c>
    </row>
    <row r="2541" spans="1:7">
      <c r="A2541" s="107">
        <v>53</v>
      </c>
      <c r="B2541" s="107">
        <v>5</v>
      </c>
      <c r="C2541" s="107">
        <v>7</v>
      </c>
      <c r="D2541" s="107" t="s">
        <v>727</v>
      </c>
      <c r="E2541" s="107" t="s">
        <v>728</v>
      </c>
      <c r="F2541" s="161">
        <v>45352</v>
      </c>
      <c r="G2541" s="107">
        <f t="shared" si="85"/>
        <v>4</v>
      </c>
    </row>
    <row r="2542" spans="1:7">
      <c r="A2542" s="107">
        <v>53</v>
      </c>
      <c r="B2542" s="107">
        <v>5</v>
      </c>
      <c r="C2542" s="107">
        <v>8</v>
      </c>
      <c r="D2542" s="107" t="s">
        <v>727</v>
      </c>
      <c r="E2542" s="107" t="s">
        <v>728</v>
      </c>
      <c r="F2542" s="161">
        <v>45353</v>
      </c>
      <c r="G2542" s="107">
        <f t="shared" si="85"/>
        <v>5</v>
      </c>
    </row>
    <row r="2543" spans="1:7">
      <c r="A2543" s="107">
        <v>53</v>
      </c>
      <c r="B2543" s="107">
        <v>6</v>
      </c>
      <c r="C2543" s="107">
        <v>1</v>
      </c>
      <c r="D2543" s="107" t="s">
        <v>729</v>
      </c>
      <c r="E2543" s="107" t="s">
        <v>730</v>
      </c>
      <c r="F2543" s="161">
        <v>45353</v>
      </c>
      <c r="G2543" s="107">
        <f t="shared" si="85"/>
        <v>5</v>
      </c>
    </row>
    <row r="2544" spans="1:7">
      <c r="A2544" s="107">
        <v>53</v>
      </c>
      <c r="B2544" s="107">
        <v>6</v>
      </c>
      <c r="C2544" s="107">
        <v>2</v>
      </c>
      <c r="D2544" s="107" t="s">
        <v>729</v>
      </c>
      <c r="E2544" s="107" t="s">
        <v>730</v>
      </c>
      <c r="F2544" s="161">
        <v>45353</v>
      </c>
      <c r="G2544" s="107">
        <f t="shared" si="85"/>
        <v>5</v>
      </c>
    </row>
    <row r="2545" spans="1:7">
      <c r="A2545" s="107">
        <v>53</v>
      </c>
      <c r="B2545" s="107">
        <v>6</v>
      </c>
      <c r="C2545" s="107">
        <v>3</v>
      </c>
      <c r="D2545" s="107" t="s">
        <v>729</v>
      </c>
      <c r="E2545" s="107" t="s">
        <v>730</v>
      </c>
      <c r="F2545" s="161">
        <v>45353</v>
      </c>
      <c r="G2545" s="107">
        <f t="shared" si="85"/>
        <v>5</v>
      </c>
    </row>
    <row r="2546" spans="1:7">
      <c r="A2546" s="107">
        <v>53</v>
      </c>
      <c r="B2546" s="107">
        <v>6</v>
      </c>
      <c r="C2546" s="107">
        <v>4</v>
      </c>
      <c r="D2546" s="107" t="s">
        <v>729</v>
      </c>
      <c r="E2546" s="107" t="s">
        <v>730</v>
      </c>
      <c r="F2546" s="161">
        <v>45353</v>
      </c>
      <c r="G2546" s="107">
        <f t="shared" si="85"/>
        <v>5</v>
      </c>
    </row>
    <row r="2547" spans="1:7">
      <c r="A2547" s="107">
        <v>53</v>
      </c>
      <c r="B2547" s="107">
        <v>6</v>
      </c>
      <c r="C2547" s="107">
        <v>5</v>
      </c>
      <c r="D2547" s="107" t="s">
        <v>729</v>
      </c>
      <c r="E2547" s="107" t="s">
        <v>730</v>
      </c>
      <c r="F2547" s="161">
        <v>45353</v>
      </c>
      <c r="G2547" s="107">
        <f t="shared" si="85"/>
        <v>5</v>
      </c>
    </row>
    <row r="2548" spans="1:7">
      <c r="A2548" s="107">
        <v>53</v>
      </c>
      <c r="B2548" s="107">
        <v>6</v>
      </c>
      <c r="C2548" s="107">
        <v>6</v>
      </c>
      <c r="D2548" s="107" t="s">
        <v>729</v>
      </c>
      <c r="E2548" s="107" t="s">
        <v>730</v>
      </c>
      <c r="F2548" s="161">
        <v>45353</v>
      </c>
      <c r="G2548" s="107">
        <f t="shared" si="85"/>
        <v>5</v>
      </c>
    </row>
    <row r="2549" spans="1:7">
      <c r="A2549" s="107">
        <v>53</v>
      </c>
      <c r="B2549" s="107">
        <v>6</v>
      </c>
      <c r="C2549" s="107">
        <v>7</v>
      </c>
      <c r="D2549" s="107" t="s">
        <v>729</v>
      </c>
      <c r="E2549" s="107" t="s">
        <v>730</v>
      </c>
      <c r="F2549" s="161">
        <v>45353</v>
      </c>
      <c r="G2549" s="107">
        <f t="shared" si="85"/>
        <v>5</v>
      </c>
    </row>
    <row r="2550" spans="1:7">
      <c r="A2550" s="107">
        <v>53</v>
      </c>
      <c r="B2550" s="107">
        <v>6</v>
      </c>
      <c r="C2550" s="107">
        <v>8</v>
      </c>
      <c r="D2550" s="107" t="s">
        <v>729</v>
      </c>
      <c r="E2550" s="107" t="s">
        <v>730</v>
      </c>
      <c r="F2550" s="159"/>
      <c r="G2550" s="107"/>
    </row>
    <row r="2551" spans="1:7">
      <c r="F2551" s="139"/>
      <c r="G2551" s="174"/>
    </row>
    <row r="2552" spans="1:7">
      <c r="A2552" s="107">
        <v>54</v>
      </c>
      <c r="B2552" s="107">
        <v>1</v>
      </c>
      <c r="C2552" s="107">
        <v>1</v>
      </c>
      <c r="D2552" s="107" t="s">
        <v>731</v>
      </c>
      <c r="E2552" s="107" t="s">
        <v>732</v>
      </c>
      <c r="F2552" s="100">
        <v>45352</v>
      </c>
      <c r="G2552" s="107">
        <f t="shared" ref="G2552:G2560" si="86">DATEDIF(G$2,F2552,"d")</f>
        <v>4</v>
      </c>
    </row>
    <row r="2553" spans="1:7">
      <c r="A2553" s="107">
        <v>54</v>
      </c>
      <c r="B2553" s="107">
        <v>1</v>
      </c>
      <c r="C2553" s="107">
        <v>2</v>
      </c>
      <c r="D2553" s="107" t="s">
        <v>731</v>
      </c>
      <c r="E2553" s="107" t="s">
        <v>732</v>
      </c>
      <c r="F2553" s="161">
        <v>45353</v>
      </c>
      <c r="G2553" s="107">
        <f t="shared" si="86"/>
        <v>5</v>
      </c>
    </row>
    <row r="2554" spans="1:7">
      <c r="A2554" s="107">
        <v>54</v>
      </c>
      <c r="B2554" s="107">
        <v>1</v>
      </c>
      <c r="C2554" s="107">
        <v>3</v>
      </c>
      <c r="D2554" s="107" t="s">
        <v>731</v>
      </c>
      <c r="E2554" s="107" t="s">
        <v>732</v>
      </c>
      <c r="F2554" s="161">
        <v>45352</v>
      </c>
      <c r="G2554" s="107">
        <f t="shared" si="86"/>
        <v>4</v>
      </c>
    </row>
    <row r="2555" spans="1:7">
      <c r="A2555" s="107">
        <v>54</v>
      </c>
      <c r="B2555" s="107">
        <v>1</v>
      </c>
      <c r="C2555" s="107">
        <v>4</v>
      </c>
      <c r="D2555" s="107" t="s">
        <v>731</v>
      </c>
      <c r="E2555" s="107" t="s">
        <v>732</v>
      </c>
      <c r="F2555" s="161">
        <v>45352</v>
      </c>
      <c r="G2555" s="107">
        <f t="shared" si="86"/>
        <v>4</v>
      </c>
    </row>
    <row r="2556" spans="1:7">
      <c r="A2556" s="107">
        <v>54</v>
      </c>
      <c r="B2556" s="107">
        <v>1</v>
      </c>
      <c r="C2556" s="107">
        <v>5</v>
      </c>
      <c r="D2556" s="107" t="s">
        <v>731</v>
      </c>
      <c r="E2556" s="107" t="s">
        <v>732</v>
      </c>
      <c r="F2556" s="161">
        <v>45352</v>
      </c>
      <c r="G2556" s="107">
        <f t="shared" si="86"/>
        <v>4</v>
      </c>
    </row>
    <row r="2557" spans="1:7">
      <c r="A2557" s="107">
        <v>54</v>
      </c>
      <c r="B2557" s="107">
        <v>1</v>
      </c>
      <c r="C2557" s="107">
        <v>6</v>
      </c>
      <c r="D2557" s="107" t="s">
        <v>731</v>
      </c>
      <c r="E2557" s="107" t="s">
        <v>732</v>
      </c>
      <c r="F2557" s="161">
        <v>45352</v>
      </c>
      <c r="G2557" s="107">
        <f t="shared" si="86"/>
        <v>4</v>
      </c>
    </row>
    <row r="2558" spans="1:7">
      <c r="A2558" s="107">
        <v>54</v>
      </c>
      <c r="B2558" s="107">
        <v>1</v>
      </c>
      <c r="C2558" s="107">
        <v>7</v>
      </c>
      <c r="D2558" s="107" t="s">
        <v>731</v>
      </c>
      <c r="E2558" s="107" t="s">
        <v>732</v>
      </c>
      <c r="F2558" s="161">
        <v>45352</v>
      </c>
      <c r="G2558" s="107">
        <f t="shared" si="86"/>
        <v>4</v>
      </c>
    </row>
    <row r="2559" spans="1:7">
      <c r="A2559" s="107">
        <v>54</v>
      </c>
      <c r="B2559" s="107">
        <v>1</v>
      </c>
      <c r="C2559" s="107">
        <v>8</v>
      </c>
      <c r="D2559" s="107" t="s">
        <v>731</v>
      </c>
      <c r="E2559" s="107" t="s">
        <v>732</v>
      </c>
      <c r="F2559" s="161">
        <v>45352</v>
      </c>
      <c r="G2559" s="107">
        <f t="shared" si="86"/>
        <v>4</v>
      </c>
    </row>
    <row r="2560" spans="1:7">
      <c r="A2560" s="107">
        <v>54</v>
      </c>
      <c r="B2560" s="107">
        <v>2</v>
      </c>
      <c r="C2560" s="107">
        <v>1</v>
      </c>
      <c r="D2560" s="107" t="s">
        <v>733</v>
      </c>
      <c r="E2560" s="107" t="s">
        <v>734</v>
      </c>
      <c r="F2560" s="161">
        <v>45353</v>
      </c>
      <c r="G2560" s="107">
        <f t="shared" si="86"/>
        <v>5</v>
      </c>
    </row>
    <row r="2561" spans="1:7">
      <c r="A2561" s="107">
        <v>54</v>
      </c>
      <c r="B2561" s="107">
        <v>2</v>
      </c>
      <c r="C2561" s="107">
        <v>2</v>
      </c>
      <c r="D2561" s="107" t="s">
        <v>733</v>
      </c>
      <c r="E2561" s="107" t="s">
        <v>734</v>
      </c>
      <c r="F2561" s="107"/>
      <c r="G2561" s="107"/>
    </row>
    <row r="2562" spans="1:7">
      <c r="A2562" s="107">
        <v>54</v>
      </c>
      <c r="B2562" s="107">
        <v>2</v>
      </c>
      <c r="C2562" s="107">
        <v>3</v>
      </c>
      <c r="D2562" s="107" t="s">
        <v>733</v>
      </c>
      <c r="E2562" s="107" t="s">
        <v>734</v>
      </c>
      <c r="F2562" s="107"/>
      <c r="G2562" s="107"/>
    </row>
    <row r="2563" spans="1:7">
      <c r="A2563" s="107">
        <v>54</v>
      </c>
      <c r="B2563" s="107">
        <v>2</v>
      </c>
      <c r="C2563" s="107">
        <v>4</v>
      </c>
      <c r="D2563" s="107" t="s">
        <v>733</v>
      </c>
      <c r="E2563" s="107" t="s">
        <v>734</v>
      </c>
      <c r="F2563" s="161">
        <v>45352</v>
      </c>
      <c r="G2563" s="107">
        <f t="shared" ref="G2563:G2572" si="87">DATEDIF(G$2,F2563,"d")</f>
        <v>4</v>
      </c>
    </row>
    <row r="2564" spans="1:7">
      <c r="A2564" s="107">
        <v>54</v>
      </c>
      <c r="B2564" s="107">
        <v>2</v>
      </c>
      <c r="C2564" s="107">
        <v>5</v>
      </c>
      <c r="D2564" s="107" t="s">
        <v>733</v>
      </c>
      <c r="E2564" s="107" t="s">
        <v>734</v>
      </c>
      <c r="F2564" s="161">
        <v>45352</v>
      </c>
      <c r="G2564" s="107">
        <f t="shared" si="87"/>
        <v>4</v>
      </c>
    </row>
    <row r="2565" spans="1:7">
      <c r="A2565" s="107">
        <v>54</v>
      </c>
      <c r="B2565" s="107">
        <v>2</v>
      </c>
      <c r="C2565" s="107">
        <v>6</v>
      </c>
      <c r="D2565" s="107" t="s">
        <v>733</v>
      </c>
      <c r="E2565" s="107" t="s">
        <v>734</v>
      </c>
      <c r="F2565" s="161">
        <v>45353</v>
      </c>
      <c r="G2565" s="107">
        <f t="shared" si="87"/>
        <v>5</v>
      </c>
    </row>
    <row r="2566" spans="1:7">
      <c r="A2566" s="107">
        <v>54</v>
      </c>
      <c r="B2566" s="107">
        <v>2</v>
      </c>
      <c r="C2566" s="107">
        <v>7</v>
      </c>
      <c r="D2566" s="107" t="s">
        <v>733</v>
      </c>
      <c r="E2566" s="107" t="s">
        <v>734</v>
      </c>
      <c r="F2566" s="161">
        <v>45352</v>
      </c>
      <c r="G2566" s="107">
        <f t="shared" si="87"/>
        <v>4</v>
      </c>
    </row>
    <row r="2567" spans="1:7">
      <c r="A2567" s="107">
        <v>54</v>
      </c>
      <c r="B2567" s="107">
        <v>2</v>
      </c>
      <c r="C2567" s="107">
        <v>8</v>
      </c>
      <c r="D2567" s="107" t="s">
        <v>733</v>
      </c>
      <c r="E2567" s="107" t="s">
        <v>734</v>
      </c>
      <c r="F2567" s="161">
        <v>45354</v>
      </c>
      <c r="G2567" s="107">
        <f t="shared" si="87"/>
        <v>6</v>
      </c>
    </row>
    <row r="2568" spans="1:7">
      <c r="A2568" s="107">
        <v>54</v>
      </c>
      <c r="B2568" s="107">
        <v>3</v>
      </c>
      <c r="C2568" s="107">
        <v>1</v>
      </c>
      <c r="D2568" s="107" t="s">
        <v>735</v>
      </c>
      <c r="E2568" s="107" t="s">
        <v>736</v>
      </c>
      <c r="F2568" s="161">
        <v>45353</v>
      </c>
      <c r="G2568" s="107">
        <f t="shared" si="87"/>
        <v>5</v>
      </c>
    </row>
    <row r="2569" spans="1:7">
      <c r="A2569" s="107">
        <v>54</v>
      </c>
      <c r="B2569" s="107">
        <v>3</v>
      </c>
      <c r="C2569" s="107">
        <v>2</v>
      </c>
      <c r="D2569" s="107" t="s">
        <v>735</v>
      </c>
      <c r="E2569" s="107" t="s">
        <v>736</v>
      </c>
      <c r="F2569" s="161">
        <v>45353</v>
      </c>
      <c r="G2569" s="107">
        <f t="shared" si="87"/>
        <v>5</v>
      </c>
    </row>
    <row r="2570" spans="1:7">
      <c r="A2570" s="107">
        <v>54</v>
      </c>
      <c r="B2570" s="107">
        <v>3</v>
      </c>
      <c r="C2570" s="107">
        <v>3</v>
      </c>
      <c r="D2570" s="107" t="s">
        <v>735</v>
      </c>
      <c r="E2570" s="107" t="s">
        <v>736</v>
      </c>
      <c r="F2570" s="161">
        <v>45353</v>
      </c>
      <c r="G2570" s="107">
        <f t="shared" si="87"/>
        <v>5</v>
      </c>
    </row>
    <row r="2571" spans="1:7">
      <c r="A2571" s="107">
        <v>54</v>
      </c>
      <c r="B2571" s="107">
        <v>3</v>
      </c>
      <c r="C2571" s="107">
        <v>4</v>
      </c>
      <c r="D2571" s="107" t="s">
        <v>735</v>
      </c>
      <c r="E2571" s="107" t="s">
        <v>736</v>
      </c>
      <c r="F2571" s="161">
        <v>45353</v>
      </c>
      <c r="G2571" s="107">
        <f t="shared" si="87"/>
        <v>5</v>
      </c>
    </row>
    <row r="2572" spans="1:7">
      <c r="A2572" s="107">
        <v>54</v>
      </c>
      <c r="B2572" s="107">
        <v>3</v>
      </c>
      <c r="C2572" s="107">
        <v>5</v>
      </c>
      <c r="D2572" s="107" t="s">
        <v>735</v>
      </c>
      <c r="E2572" s="107" t="s">
        <v>736</v>
      </c>
      <c r="F2572" s="161">
        <v>45353</v>
      </c>
      <c r="G2572" s="107">
        <f t="shared" si="87"/>
        <v>5</v>
      </c>
    </row>
    <row r="2573" spans="1:7">
      <c r="A2573" s="107">
        <v>54</v>
      </c>
      <c r="B2573" s="107">
        <v>3</v>
      </c>
      <c r="C2573" s="107">
        <v>6</v>
      </c>
      <c r="D2573" s="107" t="s">
        <v>735</v>
      </c>
      <c r="E2573" s="107" t="s">
        <v>736</v>
      </c>
      <c r="F2573" s="107"/>
      <c r="G2573" s="107"/>
    </row>
    <row r="2574" spans="1:7">
      <c r="A2574" s="107">
        <v>54</v>
      </c>
      <c r="B2574" s="107">
        <v>3</v>
      </c>
      <c r="C2574" s="107">
        <v>7</v>
      </c>
      <c r="D2574" s="107" t="s">
        <v>735</v>
      </c>
      <c r="E2574" s="107" t="s">
        <v>736</v>
      </c>
      <c r="F2574" s="161">
        <v>45353</v>
      </c>
      <c r="G2574" s="107">
        <f t="shared" ref="G2574:G2599" si="88">DATEDIF(G$2,F2574,"d")</f>
        <v>5</v>
      </c>
    </row>
    <row r="2575" spans="1:7">
      <c r="A2575" s="107">
        <v>54</v>
      </c>
      <c r="B2575" s="107">
        <v>3</v>
      </c>
      <c r="C2575" s="107">
        <v>8</v>
      </c>
      <c r="D2575" s="107" t="s">
        <v>735</v>
      </c>
      <c r="E2575" s="107" t="s">
        <v>736</v>
      </c>
      <c r="F2575" s="161">
        <v>45353</v>
      </c>
      <c r="G2575" s="107">
        <f t="shared" si="88"/>
        <v>5</v>
      </c>
    </row>
    <row r="2576" spans="1:7">
      <c r="A2576" s="107">
        <v>54</v>
      </c>
      <c r="B2576" s="107">
        <v>4</v>
      </c>
      <c r="C2576" s="107">
        <v>1</v>
      </c>
      <c r="D2576" s="107" t="s">
        <v>737</v>
      </c>
      <c r="E2576" s="107" t="s">
        <v>738</v>
      </c>
      <c r="F2576" s="161">
        <v>45353</v>
      </c>
      <c r="G2576" s="107">
        <f t="shared" si="88"/>
        <v>5</v>
      </c>
    </row>
    <row r="2577" spans="1:7">
      <c r="A2577" s="107">
        <v>54</v>
      </c>
      <c r="B2577" s="107">
        <v>4</v>
      </c>
      <c r="C2577" s="107">
        <v>2</v>
      </c>
      <c r="D2577" s="107" t="s">
        <v>737</v>
      </c>
      <c r="E2577" s="107" t="s">
        <v>738</v>
      </c>
      <c r="F2577" s="161">
        <v>45353</v>
      </c>
      <c r="G2577" s="107">
        <f t="shared" si="88"/>
        <v>5</v>
      </c>
    </row>
    <row r="2578" spans="1:7">
      <c r="A2578" s="107">
        <v>54</v>
      </c>
      <c r="B2578" s="107">
        <v>4</v>
      </c>
      <c r="C2578" s="107">
        <v>3</v>
      </c>
      <c r="D2578" s="107" t="s">
        <v>737</v>
      </c>
      <c r="E2578" s="107" t="s">
        <v>738</v>
      </c>
      <c r="F2578" s="161">
        <v>45352</v>
      </c>
      <c r="G2578" s="107">
        <f t="shared" si="88"/>
        <v>4</v>
      </c>
    </row>
    <row r="2579" spans="1:7">
      <c r="A2579" s="107">
        <v>54</v>
      </c>
      <c r="B2579" s="107">
        <v>4</v>
      </c>
      <c r="C2579" s="107">
        <v>4</v>
      </c>
      <c r="D2579" s="107" t="s">
        <v>737</v>
      </c>
      <c r="E2579" s="107" t="s">
        <v>738</v>
      </c>
      <c r="F2579" s="161">
        <v>45352</v>
      </c>
      <c r="G2579" s="107">
        <f t="shared" si="88"/>
        <v>4</v>
      </c>
    </row>
    <row r="2580" spans="1:7">
      <c r="A2580" s="107">
        <v>54</v>
      </c>
      <c r="B2580" s="107">
        <v>4</v>
      </c>
      <c r="C2580" s="107">
        <v>5</v>
      </c>
      <c r="D2580" s="107" t="s">
        <v>737</v>
      </c>
      <c r="E2580" s="107" t="s">
        <v>738</v>
      </c>
      <c r="F2580" s="161">
        <v>45353</v>
      </c>
      <c r="G2580" s="107">
        <f t="shared" si="88"/>
        <v>5</v>
      </c>
    </row>
    <row r="2581" spans="1:7">
      <c r="A2581" s="107">
        <v>54</v>
      </c>
      <c r="B2581" s="107">
        <v>4</v>
      </c>
      <c r="C2581" s="107">
        <v>6</v>
      </c>
      <c r="D2581" s="107" t="s">
        <v>737</v>
      </c>
      <c r="E2581" s="107" t="s">
        <v>738</v>
      </c>
      <c r="F2581" s="161">
        <v>45352</v>
      </c>
      <c r="G2581" s="107">
        <f t="shared" si="88"/>
        <v>4</v>
      </c>
    </row>
    <row r="2582" spans="1:7">
      <c r="A2582" s="107">
        <v>54</v>
      </c>
      <c r="B2582" s="107">
        <v>4</v>
      </c>
      <c r="C2582" s="107">
        <v>7</v>
      </c>
      <c r="D2582" s="107" t="s">
        <v>737</v>
      </c>
      <c r="E2582" s="107" t="s">
        <v>738</v>
      </c>
      <c r="F2582" s="161">
        <v>45352</v>
      </c>
      <c r="G2582" s="107">
        <f t="shared" si="88"/>
        <v>4</v>
      </c>
    </row>
    <row r="2583" spans="1:7">
      <c r="A2583" s="107">
        <v>54</v>
      </c>
      <c r="B2583" s="107">
        <v>4</v>
      </c>
      <c r="C2583" s="107">
        <v>8</v>
      </c>
      <c r="D2583" s="107" t="s">
        <v>737</v>
      </c>
      <c r="E2583" s="107" t="s">
        <v>738</v>
      </c>
      <c r="F2583" s="161">
        <v>45352</v>
      </c>
      <c r="G2583" s="107">
        <f t="shared" si="88"/>
        <v>4</v>
      </c>
    </row>
    <row r="2584" spans="1:7">
      <c r="A2584" s="107">
        <v>54</v>
      </c>
      <c r="B2584" s="107">
        <v>5</v>
      </c>
      <c r="C2584" s="107">
        <v>1</v>
      </c>
      <c r="D2584" s="107" t="s">
        <v>739</v>
      </c>
      <c r="E2584" s="107" t="s">
        <v>740</v>
      </c>
      <c r="F2584" s="161">
        <v>45353</v>
      </c>
      <c r="G2584" s="107">
        <f t="shared" si="88"/>
        <v>5</v>
      </c>
    </row>
    <row r="2585" spans="1:7">
      <c r="A2585" s="107">
        <v>54</v>
      </c>
      <c r="B2585" s="107">
        <v>5</v>
      </c>
      <c r="C2585" s="107">
        <v>2</v>
      </c>
      <c r="D2585" s="107" t="s">
        <v>739</v>
      </c>
      <c r="E2585" s="107" t="s">
        <v>740</v>
      </c>
      <c r="F2585" s="161">
        <v>45353</v>
      </c>
      <c r="G2585" s="107">
        <f t="shared" si="88"/>
        <v>5</v>
      </c>
    </row>
    <row r="2586" spans="1:7">
      <c r="A2586" s="107">
        <v>54</v>
      </c>
      <c r="B2586" s="107">
        <v>5</v>
      </c>
      <c r="C2586" s="107">
        <v>3</v>
      </c>
      <c r="D2586" s="107" t="s">
        <v>739</v>
      </c>
      <c r="E2586" s="107" t="s">
        <v>740</v>
      </c>
      <c r="F2586" s="161">
        <v>45352</v>
      </c>
      <c r="G2586" s="107">
        <f t="shared" si="88"/>
        <v>4</v>
      </c>
    </row>
    <row r="2587" spans="1:7">
      <c r="A2587" s="107">
        <v>54</v>
      </c>
      <c r="B2587" s="107">
        <v>5</v>
      </c>
      <c r="C2587" s="107">
        <v>4</v>
      </c>
      <c r="D2587" s="107" t="s">
        <v>739</v>
      </c>
      <c r="E2587" s="107" t="s">
        <v>740</v>
      </c>
      <c r="F2587" s="161">
        <v>45353</v>
      </c>
      <c r="G2587" s="107">
        <f t="shared" si="88"/>
        <v>5</v>
      </c>
    </row>
    <row r="2588" spans="1:7">
      <c r="A2588" s="107">
        <v>54</v>
      </c>
      <c r="B2588" s="107">
        <v>5</v>
      </c>
      <c r="C2588" s="107">
        <v>5</v>
      </c>
      <c r="D2588" s="107" t="s">
        <v>739</v>
      </c>
      <c r="E2588" s="107" t="s">
        <v>740</v>
      </c>
      <c r="F2588" s="161">
        <v>45353</v>
      </c>
      <c r="G2588" s="107">
        <f t="shared" si="88"/>
        <v>5</v>
      </c>
    </row>
    <row r="2589" spans="1:7">
      <c r="A2589" s="107">
        <v>54</v>
      </c>
      <c r="B2589" s="107">
        <v>5</v>
      </c>
      <c r="C2589" s="107">
        <v>6</v>
      </c>
      <c r="D2589" s="107" t="s">
        <v>739</v>
      </c>
      <c r="E2589" s="107" t="s">
        <v>740</v>
      </c>
      <c r="F2589" s="161">
        <v>45353</v>
      </c>
      <c r="G2589" s="107">
        <f t="shared" si="88"/>
        <v>5</v>
      </c>
    </row>
    <row r="2590" spans="1:7">
      <c r="A2590" s="107">
        <v>54</v>
      </c>
      <c r="B2590" s="107">
        <v>5</v>
      </c>
      <c r="C2590" s="107">
        <v>7</v>
      </c>
      <c r="D2590" s="107" t="s">
        <v>739</v>
      </c>
      <c r="E2590" s="107" t="s">
        <v>740</v>
      </c>
      <c r="F2590" s="161">
        <v>45353</v>
      </c>
      <c r="G2590" s="107">
        <f t="shared" si="88"/>
        <v>5</v>
      </c>
    </row>
    <row r="2591" spans="1:7">
      <c r="A2591" s="107">
        <v>54</v>
      </c>
      <c r="B2591" s="107">
        <v>5</v>
      </c>
      <c r="C2591" s="107">
        <v>8</v>
      </c>
      <c r="D2591" s="107" t="s">
        <v>739</v>
      </c>
      <c r="E2591" s="107" t="s">
        <v>740</v>
      </c>
      <c r="F2591" s="161">
        <v>45352</v>
      </c>
      <c r="G2591" s="107">
        <f t="shared" si="88"/>
        <v>4</v>
      </c>
    </row>
    <row r="2592" spans="1:7">
      <c r="A2592" s="107">
        <v>54</v>
      </c>
      <c r="B2592" s="107">
        <v>6</v>
      </c>
      <c r="C2592" s="107">
        <v>1</v>
      </c>
      <c r="D2592" s="107" t="s">
        <v>741</v>
      </c>
      <c r="E2592" s="107" t="s">
        <v>742</v>
      </c>
      <c r="F2592" s="161">
        <v>45353</v>
      </c>
      <c r="G2592" s="107">
        <f t="shared" si="88"/>
        <v>5</v>
      </c>
    </row>
    <row r="2593" spans="1:7">
      <c r="A2593" s="107">
        <v>54</v>
      </c>
      <c r="B2593" s="107">
        <v>6</v>
      </c>
      <c r="C2593" s="107">
        <v>2</v>
      </c>
      <c r="D2593" s="107" t="s">
        <v>741</v>
      </c>
      <c r="E2593" s="107" t="s">
        <v>742</v>
      </c>
      <c r="F2593" s="161">
        <v>45353</v>
      </c>
      <c r="G2593" s="107">
        <f t="shared" si="88"/>
        <v>5</v>
      </c>
    </row>
    <row r="2594" spans="1:7">
      <c r="A2594" s="107">
        <v>54</v>
      </c>
      <c r="B2594" s="107">
        <v>6</v>
      </c>
      <c r="C2594" s="107">
        <v>3</v>
      </c>
      <c r="D2594" s="107" t="s">
        <v>741</v>
      </c>
      <c r="E2594" s="107" t="s">
        <v>742</v>
      </c>
      <c r="F2594" s="161">
        <v>45353</v>
      </c>
      <c r="G2594" s="107">
        <f t="shared" si="88"/>
        <v>5</v>
      </c>
    </row>
    <row r="2595" spans="1:7">
      <c r="A2595" s="107">
        <v>54</v>
      </c>
      <c r="B2595" s="107">
        <v>6</v>
      </c>
      <c r="C2595" s="107">
        <v>4</v>
      </c>
      <c r="D2595" s="107" t="s">
        <v>741</v>
      </c>
      <c r="E2595" s="107" t="s">
        <v>742</v>
      </c>
      <c r="F2595" s="161">
        <v>45353</v>
      </c>
      <c r="G2595" s="107">
        <f t="shared" si="88"/>
        <v>5</v>
      </c>
    </row>
    <row r="2596" spans="1:7">
      <c r="A2596" s="107">
        <v>54</v>
      </c>
      <c r="B2596" s="107">
        <v>6</v>
      </c>
      <c r="C2596" s="107">
        <v>5</v>
      </c>
      <c r="D2596" s="107" t="s">
        <v>741</v>
      </c>
      <c r="E2596" s="107" t="s">
        <v>742</v>
      </c>
      <c r="F2596" s="161">
        <v>45353</v>
      </c>
      <c r="G2596" s="107">
        <f t="shared" si="88"/>
        <v>5</v>
      </c>
    </row>
    <row r="2597" spans="1:7">
      <c r="A2597" s="107">
        <v>54</v>
      </c>
      <c r="B2597" s="107">
        <v>6</v>
      </c>
      <c r="C2597" s="107">
        <v>6</v>
      </c>
      <c r="D2597" s="107" t="s">
        <v>741</v>
      </c>
      <c r="E2597" s="107" t="s">
        <v>742</v>
      </c>
      <c r="F2597" s="161">
        <v>45353</v>
      </c>
      <c r="G2597" s="107">
        <f t="shared" si="88"/>
        <v>5</v>
      </c>
    </row>
    <row r="2598" spans="1:7">
      <c r="A2598" s="107">
        <v>54</v>
      </c>
      <c r="B2598" s="107">
        <v>6</v>
      </c>
      <c r="C2598" s="107">
        <v>7</v>
      </c>
      <c r="D2598" s="107" t="s">
        <v>741</v>
      </c>
      <c r="E2598" s="107" t="s">
        <v>742</v>
      </c>
      <c r="F2598" s="161">
        <v>45352</v>
      </c>
      <c r="G2598" s="107">
        <f t="shared" si="88"/>
        <v>4</v>
      </c>
    </row>
    <row r="2599" spans="1:7">
      <c r="A2599" s="107">
        <v>54</v>
      </c>
      <c r="B2599" s="107">
        <v>6</v>
      </c>
      <c r="C2599" s="107">
        <v>8</v>
      </c>
      <c r="D2599" s="107" t="s">
        <v>741</v>
      </c>
      <c r="E2599" s="107" t="s">
        <v>742</v>
      </c>
      <c r="F2599" s="171">
        <v>45352</v>
      </c>
      <c r="G2599" s="159">
        <f t="shared" si="88"/>
        <v>4</v>
      </c>
    </row>
    <row r="2600" spans="1:7">
      <c r="A2600" s="139"/>
      <c r="B2600" s="139"/>
      <c r="C2600" s="139"/>
      <c r="D2600" s="139"/>
      <c r="E2600" s="139"/>
      <c r="F2600" s="139"/>
      <c r="G2600" s="139"/>
    </row>
    <row r="2601" spans="1:7">
      <c r="A2601" s="107">
        <v>55</v>
      </c>
      <c r="B2601" s="107">
        <v>1</v>
      </c>
      <c r="C2601" s="107">
        <v>1</v>
      </c>
      <c r="D2601" s="107" t="s">
        <v>743</v>
      </c>
      <c r="E2601" s="173" t="s">
        <v>744</v>
      </c>
      <c r="F2601" s="172">
        <v>45353</v>
      </c>
      <c r="G2601" s="170"/>
    </row>
    <row r="2602" spans="1:7">
      <c r="A2602" s="107">
        <v>55</v>
      </c>
      <c r="B2602" s="107">
        <v>1</v>
      </c>
      <c r="C2602" s="107">
        <v>2</v>
      </c>
      <c r="D2602" s="107" t="s">
        <v>743</v>
      </c>
      <c r="E2602" s="173" t="s">
        <v>744</v>
      </c>
      <c r="F2602" s="107"/>
      <c r="G2602" s="107"/>
    </row>
    <row r="2603" spans="1:7">
      <c r="A2603" s="107">
        <v>55</v>
      </c>
      <c r="B2603" s="107">
        <v>1</v>
      </c>
      <c r="C2603" s="107">
        <v>3</v>
      </c>
      <c r="D2603" s="107" t="s">
        <v>743</v>
      </c>
      <c r="E2603" s="173" t="s">
        <v>744</v>
      </c>
      <c r="F2603" s="161">
        <v>45352</v>
      </c>
      <c r="G2603" s="107">
        <f t="shared" ref="G2603:G2608" si="89">DATEDIF(G$2,F2603,"d")</f>
        <v>4</v>
      </c>
    </row>
    <row r="2604" spans="1:7">
      <c r="A2604" s="107">
        <v>55</v>
      </c>
      <c r="B2604" s="107">
        <v>1</v>
      </c>
      <c r="C2604" s="107">
        <v>4</v>
      </c>
      <c r="D2604" s="107" t="s">
        <v>743</v>
      </c>
      <c r="E2604" s="173" t="s">
        <v>744</v>
      </c>
      <c r="F2604" s="161">
        <v>45352</v>
      </c>
      <c r="G2604" s="107">
        <f t="shared" si="89"/>
        <v>4</v>
      </c>
    </row>
    <row r="2605" spans="1:7">
      <c r="A2605" s="107">
        <v>55</v>
      </c>
      <c r="B2605" s="107">
        <v>1</v>
      </c>
      <c r="C2605" s="107">
        <v>5</v>
      </c>
      <c r="D2605" s="107" t="s">
        <v>743</v>
      </c>
      <c r="E2605" s="173" t="s">
        <v>744</v>
      </c>
      <c r="F2605" s="161">
        <v>45352</v>
      </c>
      <c r="G2605" s="107">
        <f t="shared" si="89"/>
        <v>4</v>
      </c>
    </row>
    <row r="2606" spans="1:7">
      <c r="A2606" s="107">
        <v>55</v>
      </c>
      <c r="B2606" s="107">
        <v>1</v>
      </c>
      <c r="C2606" s="107">
        <v>6</v>
      </c>
      <c r="D2606" s="107" t="s">
        <v>743</v>
      </c>
      <c r="E2606" s="173" t="s">
        <v>744</v>
      </c>
      <c r="F2606" s="161">
        <v>45353</v>
      </c>
      <c r="G2606" s="107">
        <f t="shared" si="89"/>
        <v>5</v>
      </c>
    </row>
    <row r="2607" spans="1:7">
      <c r="A2607" s="107">
        <v>55</v>
      </c>
      <c r="B2607" s="107">
        <v>1</v>
      </c>
      <c r="C2607" s="107">
        <v>7</v>
      </c>
      <c r="D2607" s="107" t="s">
        <v>743</v>
      </c>
      <c r="E2607" s="173" t="s">
        <v>744</v>
      </c>
      <c r="F2607" s="161">
        <v>45352</v>
      </c>
      <c r="G2607" s="107">
        <f t="shared" si="89"/>
        <v>4</v>
      </c>
    </row>
    <row r="2608" spans="1:7">
      <c r="A2608" s="107">
        <v>55</v>
      </c>
      <c r="B2608" s="107">
        <v>1</v>
      </c>
      <c r="C2608" s="107">
        <v>8</v>
      </c>
      <c r="D2608" s="107" t="s">
        <v>743</v>
      </c>
      <c r="E2608" s="173" t="s">
        <v>744</v>
      </c>
      <c r="F2608" s="161">
        <v>45354</v>
      </c>
      <c r="G2608" s="107">
        <f t="shared" si="89"/>
        <v>6</v>
      </c>
    </row>
    <row r="2609" spans="1:7">
      <c r="A2609" s="107">
        <v>55</v>
      </c>
      <c r="B2609" s="107">
        <v>2</v>
      </c>
      <c r="C2609" s="107">
        <v>1</v>
      </c>
      <c r="D2609" s="107" t="s">
        <v>745</v>
      </c>
      <c r="E2609" s="107" t="s">
        <v>746</v>
      </c>
      <c r="F2609" s="161">
        <v>45353</v>
      </c>
      <c r="G2609" s="107">
        <f t="shared" ref="G2609:G2625" si="90">DATEDIF(G$2,F2609,"d")</f>
        <v>5</v>
      </c>
    </row>
    <row r="2610" spans="1:7">
      <c r="A2610" s="107">
        <v>55</v>
      </c>
      <c r="B2610" s="107">
        <v>2</v>
      </c>
      <c r="C2610" s="107">
        <v>2</v>
      </c>
      <c r="D2610" s="107" t="s">
        <v>745</v>
      </c>
      <c r="E2610" s="107" t="s">
        <v>746</v>
      </c>
      <c r="F2610" s="161">
        <v>45353</v>
      </c>
      <c r="G2610" s="107">
        <f t="shared" si="90"/>
        <v>5</v>
      </c>
    </row>
    <row r="2611" spans="1:7">
      <c r="A2611" s="107">
        <v>55</v>
      </c>
      <c r="B2611" s="107">
        <v>2</v>
      </c>
      <c r="C2611" s="107">
        <v>3</v>
      </c>
      <c r="D2611" s="107" t="s">
        <v>745</v>
      </c>
      <c r="E2611" s="107" t="s">
        <v>746</v>
      </c>
      <c r="F2611" s="161">
        <v>45353</v>
      </c>
      <c r="G2611" s="107">
        <f t="shared" si="90"/>
        <v>5</v>
      </c>
    </row>
    <row r="2612" spans="1:7">
      <c r="A2612" s="107">
        <v>55</v>
      </c>
      <c r="B2612" s="107">
        <v>2</v>
      </c>
      <c r="C2612" s="107">
        <v>4</v>
      </c>
      <c r="D2612" s="107" t="s">
        <v>745</v>
      </c>
      <c r="E2612" s="107" t="s">
        <v>746</v>
      </c>
      <c r="F2612" s="161">
        <v>45353</v>
      </c>
      <c r="G2612" s="107">
        <f t="shared" si="90"/>
        <v>5</v>
      </c>
    </row>
    <row r="2613" spans="1:7">
      <c r="A2613" s="107">
        <v>55</v>
      </c>
      <c r="B2613" s="107">
        <v>2</v>
      </c>
      <c r="C2613" s="107">
        <v>5</v>
      </c>
      <c r="D2613" s="107" t="s">
        <v>745</v>
      </c>
      <c r="E2613" s="107" t="s">
        <v>746</v>
      </c>
      <c r="F2613" s="161">
        <v>45353</v>
      </c>
      <c r="G2613" s="107">
        <f t="shared" si="90"/>
        <v>5</v>
      </c>
    </row>
    <row r="2614" spans="1:7">
      <c r="A2614" s="107">
        <v>55</v>
      </c>
      <c r="B2614" s="107">
        <v>2</v>
      </c>
      <c r="C2614" s="107">
        <v>6</v>
      </c>
      <c r="D2614" s="107" t="s">
        <v>745</v>
      </c>
      <c r="E2614" s="107" t="s">
        <v>746</v>
      </c>
      <c r="F2614" s="161">
        <v>45353</v>
      </c>
      <c r="G2614" s="107">
        <f t="shared" si="90"/>
        <v>5</v>
      </c>
    </row>
    <row r="2615" spans="1:7">
      <c r="A2615" s="107">
        <v>55</v>
      </c>
      <c r="B2615" s="107">
        <v>2</v>
      </c>
      <c r="C2615" s="107">
        <v>7</v>
      </c>
      <c r="D2615" s="107" t="s">
        <v>745</v>
      </c>
      <c r="E2615" s="107" t="s">
        <v>746</v>
      </c>
      <c r="F2615" s="161">
        <v>45353</v>
      </c>
      <c r="G2615" s="107">
        <f t="shared" si="90"/>
        <v>5</v>
      </c>
    </row>
    <row r="2616" spans="1:7">
      <c r="A2616" s="107">
        <v>55</v>
      </c>
      <c r="B2616" s="107">
        <v>2</v>
      </c>
      <c r="C2616" s="107">
        <v>8</v>
      </c>
      <c r="D2616" s="107" t="s">
        <v>745</v>
      </c>
      <c r="E2616" s="107" t="s">
        <v>746</v>
      </c>
      <c r="F2616" s="161">
        <v>45353</v>
      </c>
      <c r="G2616" s="107">
        <f t="shared" si="90"/>
        <v>5</v>
      </c>
    </row>
    <row r="2617" spans="1:7">
      <c r="A2617" s="107">
        <v>55</v>
      </c>
      <c r="B2617" s="107">
        <v>3</v>
      </c>
      <c r="C2617" s="107">
        <v>1</v>
      </c>
      <c r="D2617" s="107" t="s">
        <v>747</v>
      </c>
      <c r="E2617" s="107" t="s">
        <v>748</v>
      </c>
      <c r="F2617" s="161">
        <v>45352</v>
      </c>
      <c r="G2617" s="107">
        <f t="shared" si="90"/>
        <v>4</v>
      </c>
    </row>
    <row r="2618" spans="1:7">
      <c r="A2618" s="107">
        <v>55</v>
      </c>
      <c r="B2618" s="107">
        <v>3</v>
      </c>
      <c r="C2618" s="107">
        <v>2</v>
      </c>
      <c r="D2618" s="107" t="s">
        <v>747</v>
      </c>
      <c r="E2618" s="107" t="s">
        <v>748</v>
      </c>
      <c r="F2618" s="161">
        <v>45352</v>
      </c>
      <c r="G2618" s="107">
        <f t="shared" si="90"/>
        <v>4</v>
      </c>
    </row>
    <row r="2619" spans="1:7">
      <c r="A2619" s="107">
        <v>55</v>
      </c>
      <c r="B2619" s="107">
        <v>3</v>
      </c>
      <c r="C2619" s="107">
        <v>3</v>
      </c>
      <c r="D2619" s="107" t="s">
        <v>747</v>
      </c>
      <c r="E2619" s="107" t="s">
        <v>748</v>
      </c>
      <c r="F2619" s="161">
        <v>45352</v>
      </c>
      <c r="G2619" s="107">
        <f t="shared" si="90"/>
        <v>4</v>
      </c>
    </row>
    <row r="2620" spans="1:7">
      <c r="A2620" s="107">
        <v>55</v>
      </c>
      <c r="B2620" s="107">
        <v>3</v>
      </c>
      <c r="C2620" s="107">
        <v>4</v>
      </c>
      <c r="D2620" s="107" t="s">
        <v>747</v>
      </c>
      <c r="E2620" s="107" t="s">
        <v>748</v>
      </c>
      <c r="F2620" s="161">
        <v>45352</v>
      </c>
      <c r="G2620" s="107">
        <f t="shared" si="90"/>
        <v>4</v>
      </c>
    </row>
    <row r="2621" spans="1:7">
      <c r="A2621" s="107">
        <v>55</v>
      </c>
      <c r="B2621" s="107">
        <v>3</v>
      </c>
      <c r="C2621" s="107">
        <v>5</v>
      </c>
      <c r="D2621" s="107" t="s">
        <v>747</v>
      </c>
      <c r="E2621" s="107" t="s">
        <v>748</v>
      </c>
      <c r="F2621" s="161">
        <v>45352</v>
      </c>
      <c r="G2621" s="107">
        <f t="shared" si="90"/>
        <v>4</v>
      </c>
    </row>
    <row r="2622" spans="1:7">
      <c r="A2622" s="107">
        <v>55</v>
      </c>
      <c r="B2622" s="107">
        <v>3</v>
      </c>
      <c r="C2622" s="107">
        <v>6</v>
      </c>
      <c r="D2622" s="107" t="s">
        <v>747</v>
      </c>
      <c r="E2622" s="107" t="s">
        <v>748</v>
      </c>
      <c r="F2622" s="161">
        <v>45353</v>
      </c>
      <c r="G2622" s="107">
        <f t="shared" si="90"/>
        <v>5</v>
      </c>
    </row>
    <row r="2623" spans="1:7">
      <c r="A2623" s="107">
        <v>55</v>
      </c>
      <c r="B2623" s="107">
        <v>3</v>
      </c>
      <c r="C2623" s="107">
        <v>7</v>
      </c>
      <c r="D2623" s="107" t="s">
        <v>747</v>
      </c>
      <c r="E2623" s="107" t="s">
        <v>748</v>
      </c>
      <c r="F2623" s="161">
        <v>45352</v>
      </c>
      <c r="G2623" s="107">
        <f t="shared" si="90"/>
        <v>4</v>
      </c>
    </row>
    <row r="2624" spans="1:7">
      <c r="A2624" s="107">
        <v>55</v>
      </c>
      <c r="B2624" s="107">
        <v>3</v>
      </c>
      <c r="C2624" s="107">
        <v>8</v>
      </c>
      <c r="D2624" s="107" t="s">
        <v>747</v>
      </c>
      <c r="E2624" s="107" t="s">
        <v>748</v>
      </c>
      <c r="F2624" s="161">
        <v>45352</v>
      </c>
      <c r="G2624" s="107">
        <f t="shared" si="90"/>
        <v>4</v>
      </c>
    </row>
    <row r="2625" spans="1:7">
      <c r="A2625" s="107">
        <v>55</v>
      </c>
      <c r="B2625" s="107">
        <v>4</v>
      </c>
      <c r="C2625" s="107">
        <v>1</v>
      </c>
      <c r="D2625" s="107" t="s">
        <v>749</v>
      </c>
      <c r="E2625" s="107" t="s">
        <v>750</v>
      </c>
      <c r="F2625" s="161">
        <v>45353</v>
      </c>
      <c r="G2625" s="107">
        <f t="shared" si="90"/>
        <v>5</v>
      </c>
    </row>
    <row r="2626" spans="1:7">
      <c r="A2626" s="107">
        <v>55</v>
      </c>
      <c r="B2626" s="107">
        <v>4</v>
      </c>
      <c r="C2626" s="107">
        <v>2</v>
      </c>
      <c r="D2626" s="107" t="s">
        <v>749</v>
      </c>
      <c r="E2626" s="107" t="s">
        <v>750</v>
      </c>
      <c r="F2626" s="107"/>
      <c r="G2626" s="107"/>
    </row>
    <row r="2627" spans="1:7">
      <c r="A2627" s="107">
        <v>55</v>
      </c>
      <c r="B2627" s="107">
        <v>4</v>
      </c>
      <c r="C2627" s="107">
        <v>3</v>
      </c>
      <c r="D2627" s="107" t="s">
        <v>749</v>
      </c>
      <c r="E2627" s="107" t="s">
        <v>750</v>
      </c>
      <c r="F2627" s="161">
        <v>45353</v>
      </c>
      <c r="G2627" s="107">
        <f t="shared" ref="G2627:G2648" si="91">DATEDIF(G$2,F2627,"d")</f>
        <v>5</v>
      </c>
    </row>
    <row r="2628" spans="1:7">
      <c r="A2628" s="107">
        <v>55</v>
      </c>
      <c r="B2628" s="107">
        <v>4</v>
      </c>
      <c r="C2628" s="107">
        <v>4</v>
      </c>
      <c r="D2628" s="107" t="s">
        <v>749</v>
      </c>
      <c r="E2628" s="107" t="s">
        <v>750</v>
      </c>
      <c r="F2628" s="161">
        <v>45353</v>
      </c>
      <c r="G2628" s="107">
        <f t="shared" si="91"/>
        <v>5</v>
      </c>
    </row>
    <row r="2629" spans="1:7">
      <c r="A2629" s="107">
        <v>55</v>
      </c>
      <c r="B2629" s="107">
        <v>4</v>
      </c>
      <c r="C2629" s="107">
        <v>5</v>
      </c>
      <c r="D2629" s="107" t="s">
        <v>749</v>
      </c>
      <c r="E2629" s="107" t="s">
        <v>750</v>
      </c>
      <c r="F2629" s="161">
        <v>45353</v>
      </c>
      <c r="G2629" s="107">
        <f t="shared" si="91"/>
        <v>5</v>
      </c>
    </row>
    <row r="2630" spans="1:7">
      <c r="A2630" s="107">
        <v>55</v>
      </c>
      <c r="B2630" s="107">
        <v>4</v>
      </c>
      <c r="C2630" s="107">
        <v>6</v>
      </c>
      <c r="D2630" s="107" t="s">
        <v>749</v>
      </c>
      <c r="E2630" s="107" t="s">
        <v>750</v>
      </c>
      <c r="F2630" s="161">
        <v>45353</v>
      </c>
      <c r="G2630" s="107">
        <f t="shared" si="91"/>
        <v>5</v>
      </c>
    </row>
    <row r="2631" spans="1:7">
      <c r="A2631" s="107">
        <v>55</v>
      </c>
      <c r="B2631" s="107">
        <v>4</v>
      </c>
      <c r="C2631" s="107">
        <v>7</v>
      </c>
      <c r="D2631" s="107" t="s">
        <v>749</v>
      </c>
      <c r="E2631" s="107" t="s">
        <v>750</v>
      </c>
      <c r="F2631" s="161">
        <v>45353</v>
      </c>
      <c r="G2631" s="107">
        <f t="shared" si="91"/>
        <v>5</v>
      </c>
    </row>
    <row r="2632" spans="1:7">
      <c r="A2632" s="107">
        <v>55</v>
      </c>
      <c r="B2632" s="107">
        <v>4</v>
      </c>
      <c r="C2632" s="107">
        <v>8</v>
      </c>
      <c r="D2632" s="107" t="s">
        <v>749</v>
      </c>
      <c r="E2632" s="107" t="s">
        <v>750</v>
      </c>
      <c r="F2632" s="161">
        <v>45353</v>
      </c>
      <c r="G2632" s="107">
        <f t="shared" si="91"/>
        <v>5</v>
      </c>
    </row>
    <row r="2633" spans="1:7">
      <c r="A2633" s="107">
        <v>55</v>
      </c>
      <c r="B2633" s="107">
        <v>5</v>
      </c>
      <c r="C2633" s="107">
        <v>1</v>
      </c>
      <c r="D2633" s="107" t="s">
        <v>751</v>
      </c>
      <c r="E2633" s="107" t="s">
        <v>752</v>
      </c>
      <c r="F2633" s="161">
        <v>45353</v>
      </c>
      <c r="G2633" s="107">
        <f t="shared" si="91"/>
        <v>5</v>
      </c>
    </row>
    <row r="2634" spans="1:7">
      <c r="A2634" s="107">
        <v>55</v>
      </c>
      <c r="B2634" s="107">
        <v>5</v>
      </c>
      <c r="C2634" s="107">
        <v>2</v>
      </c>
      <c r="D2634" s="107" t="s">
        <v>751</v>
      </c>
      <c r="E2634" s="107" t="s">
        <v>752</v>
      </c>
      <c r="F2634" s="161">
        <v>45353</v>
      </c>
      <c r="G2634" s="107">
        <f t="shared" si="91"/>
        <v>5</v>
      </c>
    </row>
    <row r="2635" spans="1:7">
      <c r="A2635" s="107">
        <v>55</v>
      </c>
      <c r="B2635" s="107">
        <v>5</v>
      </c>
      <c r="C2635" s="107">
        <v>3</v>
      </c>
      <c r="D2635" s="107" t="s">
        <v>751</v>
      </c>
      <c r="E2635" s="107" t="s">
        <v>752</v>
      </c>
      <c r="F2635" s="161">
        <v>45352</v>
      </c>
      <c r="G2635" s="107">
        <f t="shared" si="91"/>
        <v>4</v>
      </c>
    </row>
    <row r="2636" spans="1:7">
      <c r="A2636" s="107">
        <v>55</v>
      </c>
      <c r="B2636" s="107">
        <v>5</v>
      </c>
      <c r="C2636" s="107">
        <v>4</v>
      </c>
      <c r="D2636" s="107" t="s">
        <v>751</v>
      </c>
      <c r="E2636" s="107" t="s">
        <v>752</v>
      </c>
      <c r="F2636" s="161">
        <v>45353</v>
      </c>
      <c r="G2636" s="107">
        <f t="shared" si="91"/>
        <v>5</v>
      </c>
    </row>
    <row r="2637" spans="1:7">
      <c r="A2637" s="107">
        <v>55</v>
      </c>
      <c r="B2637" s="107">
        <v>5</v>
      </c>
      <c r="C2637" s="107">
        <v>5</v>
      </c>
      <c r="D2637" s="107" t="s">
        <v>751</v>
      </c>
      <c r="E2637" s="107" t="s">
        <v>752</v>
      </c>
      <c r="F2637" s="161">
        <v>45353</v>
      </c>
      <c r="G2637" s="107">
        <f t="shared" si="91"/>
        <v>5</v>
      </c>
    </row>
    <row r="2638" spans="1:7">
      <c r="A2638" s="107">
        <v>55</v>
      </c>
      <c r="B2638" s="107">
        <v>5</v>
      </c>
      <c r="C2638" s="107">
        <v>6</v>
      </c>
      <c r="D2638" s="107" t="s">
        <v>751</v>
      </c>
      <c r="E2638" s="107" t="s">
        <v>752</v>
      </c>
      <c r="F2638" s="161">
        <v>45353</v>
      </c>
      <c r="G2638" s="107">
        <f t="shared" si="91"/>
        <v>5</v>
      </c>
    </row>
    <row r="2639" spans="1:7">
      <c r="A2639" s="107">
        <v>55</v>
      </c>
      <c r="B2639" s="107">
        <v>5</v>
      </c>
      <c r="C2639" s="107">
        <v>7</v>
      </c>
      <c r="D2639" s="107" t="s">
        <v>751</v>
      </c>
      <c r="E2639" s="107" t="s">
        <v>752</v>
      </c>
      <c r="F2639" s="161">
        <v>45352</v>
      </c>
      <c r="G2639" s="107">
        <f t="shared" si="91"/>
        <v>4</v>
      </c>
    </row>
    <row r="2640" spans="1:7">
      <c r="A2640" s="107">
        <v>55</v>
      </c>
      <c r="B2640" s="107">
        <v>5</v>
      </c>
      <c r="C2640" s="107">
        <v>8</v>
      </c>
      <c r="D2640" s="107" t="s">
        <v>751</v>
      </c>
      <c r="E2640" s="107" t="s">
        <v>752</v>
      </c>
      <c r="F2640" s="161">
        <v>45352</v>
      </c>
      <c r="G2640" s="107">
        <f t="shared" si="91"/>
        <v>4</v>
      </c>
    </row>
    <row r="2641" spans="1:7">
      <c r="A2641" s="107">
        <v>55</v>
      </c>
      <c r="B2641" s="107">
        <v>6</v>
      </c>
      <c r="C2641" s="107">
        <v>1</v>
      </c>
      <c r="D2641" s="107" t="s">
        <v>753</v>
      </c>
      <c r="E2641" s="107" t="s">
        <v>754</v>
      </c>
      <c r="F2641" s="161">
        <v>45353</v>
      </c>
      <c r="G2641" s="107">
        <f t="shared" si="91"/>
        <v>5</v>
      </c>
    </row>
    <row r="2642" spans="1:7">
      <c r="A2642" s="107">
        <v>55</v>
      </c>
      <c r="B2642" s="107">
        <v>6</v>
      </c>
      <c r="C2642" s="107">
        <v>2</v>
      </c>
      <c r="D2642" s="107" t="s">
        <v>753</v>
      </c>
      <c r="E2642" s="107" t="s">
        <v>754</v>
      </c>
      <c r="F2642" s="161">
        <v>45353</v>
      </c>
      <c r="G2642" s="107">
        <f t="shared" si="91"/>
        <v>5</v>
      </c>
    </row>
    <row r="2643" spans="1:7">
      <c r="A2643" s="107">
        <v>55</v>
      </c>
      <c r="B2643" s="107">
        <v>6</v>
      </c>
      <c r="C2643" s="107">
        <v>3</v>
      </c>
      <c r="D2643" s="107" t="s">
        <v>753</v>
      </c>
      <c r="E2643" s="107" t="s">
        <v>754</v>
      </c>
      <c r="F2643" s="161">
        <v>45353</v>
      </c>
      <c r="G2643" s="107">
        <f t="shared" si="91"/>
        <v>5</v>
      </c>
    </row>
    <row r="2644" spans="1:7">
      <c r="A2644" s="107">
        <v>55</v>
      </c>
      <c r="B2644" s="107">
        <v>6</v>
      </c>
      <c r="C2644" s="107">
        <v>4</v>
      </c>
      <c r="D2644" s="107" t="s">
        <v>753</v>
      </c>
      <c r="E2644" s="107" t="s">
        <v>754</v>
      </c>
      <c r="F2644" s="161">
        <v>45353</v>
      </c>
      <c r="G2644" s="107">
        <f t="shared" si="91"/>
        <v>5</v>
      </c>
    </row>
    <row r="2645" spans="1:7">
      <c r="A2645" s="107">
        <v>55</v>
      </c>
      <c r="B2645" s="107">
        <v>6</v>
      </c>
      <c r="C2645" s="107">
        <v>5</v>
      </c>
      <c r="D2645" s="107" t="s">
        <v>753</v>
      </c>
      <c r="E2645" s="107" t="s">
        <v>754</v>
      </c>
      <c r="F2645" s="161">
        <v>45353</v>
      </c>
      <c r="G2645" s="107">
        <f t="shared" si="91"/>
        <v>5</v>
      </c>
    </row>
    <row r="2646" spans="1:7">
      <c r="A2646" s="107">
        <v>55</v>
      </c>
      <c r="B2646" s="107">
        <v>6</v>
      </c>
      <c r="C2646" s="107">
        <v>6</v>
      </c>
      <c r="D2646" s="107" t="s">
        <v>753</v>
      </c>
      <c r="E2646" s="107" t="s">
        <v>754</v>
      </c>
      <c r="F2646" s="161">
        <v>45352</v>
      </c>
      <c r="G2646" s="107">
        <f t="shared" si="91"/>
        <v>4</v>
      </c>
    </row>
    <row r="2647" spans="1:7">
      <c r="A2647" s="107">
        <v>55</v>
      </c>
      <c r="B2647" s="107">
        <v>6</v>
      </c>
      <c r="C2647" s="107">
        <v>7</v>
      </c>
      <c r="D2647" s="107" t="s">
        <v>753</v>
      </c>
      <c r="E2647" s="107" t="s">
        <v>754</v>
      </c>
      <c r="F2647" s="161">
        <v>45353</v>
      </c>
      <c r="G2647" s="107">
        <f t="shared" si="91"/>
        <v>5</v>
      </c>
    </row>
    <row r="2648" spans="1:7">
      <c r="A2648" s="107">
        <v>55</v>
      </c>
      <c r="B2648" s="107">
        <v>6</v>
      </c>
      <c r="C2648" s="107">
        <v>8</v>
      </c>
      <c r="D2648" s="107" t="s">
        <v>753</v>
      </c>
      <c r="E2648" s="107" t="s">
        <v>754</v>
      </c>
      <c r="F2648" s="161">
        <v>45353</v>
      </c>
      <c r="G2648" s="107">
        <f t="shared" si="91"/>
        <v>5</v>
      </c>
    </row>
  </sheetData>
  <phoneticPr fontId="47" type="noConversion"/>
  <pageMargins left="0" right="0" top="0" bottom="0" header="0" footer="0"/>
  <pageSetup orientation="portrait" r:id="rId1"/>
  <headerFooter>
    <oddHeader>&amp;RPage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1C0F-8B1A-4A70-9209-05191C629F70}">
  <dimension ref="A1:K2595"/>
  <sheetViews>
    <sheetView zoomScale="85" zoomScaleNormal="85" workbookViewId="0">
      <selection activeCell="A4" sqref="A4"/>
    </sheetView>
  </sheetViews>
  <sheetFormatPr defaultRowHeight="14.5"/>
  <cols>
    <col min="1" max="1" width="6.26953125" customWidth="1"/>
    <col min="2" max="2" width="5.26953125" bestFit="1" customWidth="1"/>
    <col min="3" max="3" width="4" bestFit="1" customWidth="1"/>
    <col min="4" max="4" width="5.54296875" bestFit="1" customWidth="1"/>
    <col min="5" max="5" width="10" bestFit="1" customWidth="1"/>
    <col min="6" max="6" width="23.7265625" customWidth="1"/>
    <col min="7" max="7" width="14" customWidth="1"/>
    <col min="8" max="8" width="17.26953125" customWidth="1"/>
  </cols>
  <sheetData>
    <row r="1" spans="1:11" ht="18.5">
      <c r="A1" s="42" t="s">
        <v>845</v>
      </c>
    </row>
    <row r="2" spans="1:11">
      <c r="A2" t="s">
        <v>949</v>
      </c>
      <c r="G2" t="s">
        <v>950</v>
      </c>
      <c r="H2" s="100">
        <v>45349</v>
      </c>
    </row>
    <row r="3" spans="1:11">
      <c r="A3" s="140" t="s">
        <v>106</v>
      </c>
      <c r="B3" s="140" t="s">
        <v>100</v>
      </c>
      <c r="C3" s="140" t="s">
        <v>104</v>
      </c>
      <c r="D3" s="140" t="s">
        <v>834</v>
      </c>
      <c r="E3" s="140" t="s">
        <v>758</v>
      </c>
      <c r="F3" s="140" t="s">
        <v>756</v>
      </c>
      <c r="G3" s="140" t="s">
        <v>832</v>
      </c>
      <c r="H3" s="140" t="s">
        <v>833</v>
      </c>
      <c r="K3" s="102"/>
    </row>
    <row r="4" spans="1:11">
      <c r="A4" s="107">
        <v>1</v>
      </c>
      <c r="B4" s="107">
        <v>1</v>
      </c>
      <c r="C4" s="107">
        <v>1</v>
      </c>
      <c r="D4" s="107">
        <v>1</v>
      </c>
      <c r="E4" s="107" t="s">
        <v>130</v>
      </c>
      <c r="F4" s="107" t="s">
        <v>132</v>
      </c>
      <c r="G4" s="161">
        <v>45355</v>
      </c>
      <c r="H4" s="107">
        <f>DATEDIF($H$2,G4,"d")</f>
        <v>6</v>
      </c>
    </row>
    <row r="5" spans="1:11">
      <c r="A5" s="107">
        <v>1</v>
      </c>
      <c r="B5" s="107">
        <v>1</v>
      </c>
      <c r="C5" s="107">
        <v>1</v>
      </c>
      <c r="D5" s="107">
        <v>2</v>
      </c>
      <c r="E5" s="107" t="s">
        <v>130</v>
      </c>
      <c r="F5" s="107" t="s">
        <v>132</v>
      </c>
      <c r="G5" s="161">
        <v>45355</v>
      </c>
      <c r="H5" s="107">
        <f t="shared" ref="H5:H68" si="0">DATEDIF($H$2,G5,"d")</f>
        <v>6</v>
      </c>
    </row>
    <row r="6" spans="1:11">
      <c r="A6" s="107">
        <v>1</v>
      </c>
      <c r="B6" s="107">
        <v>1</v>
      </c>
      <c r="C6" s="107">
        <v>1</v>
      </c>
      <c r="D6" s="107">
        <v>3</v>
      </c>
      <c r="E6" s="107" t="s">
        <v>130</v>
      </c>
      <c r="F6" s="107" t="s">
        <v>132</v>
      </c>
      <c r="G6" s="161">
        <v>45354</v>
      </c>
      <c r="H6" s="107">
        <f t="shared" si="0"/>
        <v>5</v>
      </c>
    </row>
    <row r="7" spans="1:11">
      <c r="A7" s="107">
        <v>1</v>
      </c>
      <c r="B7" s="107">
        <v>1</v>
      </c>
      <c r="C7" s="107">
        <v>1</v>
      </c>
      <c r="D7" s="107">
        <v>4</v>
      </c>
      <c r="E7" s="107" t="s">
        <v>130</v>
      </c>
      <c r="F7" s="107" t="s">
        <v>132</v>
      </c>
      <c r="G7" s="161">
        <v>45354</v>
      </c>
      <c r="H7" s="107">
        <f t="shared" si="0"/>
        <v>5</v>
      </c>
    </row>
    <row r="8" spans="1:11">
      <c r="A8" s="107">
        <v>1</v>
      </c>
      <c r="B8" s="107">
        <v>1</v>
      </c>
      <c r="C8" s="107">
        <v>2</v>
      </c>
      <c r="D8" s="107">
        <v>1</v>
      </c>
      <c r="E8" s="107" t="s">
        <v>158</v>
      </c>
      <c r="F8" s="107" t="s">
        <v>159</v>
      </c>
      <c r="G8" s="161">
        <v>45356</v>
      </c>
      <c r="H8" s="107">
        <f t="shared" si="0"/>
        <v>7</v>
      </c>
    </row>
    <row r="9" spans="1:11">
      <c r="A9" s="107">
        <v>1</v>
      </c>
      <c r="B9" s="107">
        <v>1</v>
      </c>
      <c r="C9" s="107">
        <v>2</v>
      </c>
      <c r="D9" s="107">
        <v>2</v>
      </c>
      <c r="E9" s="107" t="s">
        <v>158</v>
      </c>
      <c r="F9" s="107" t="s">
        <v>159</v>
      </c>
      <c r="G9" s="161">
        <v>45354</v>
      </c>
      <c r="H9" s="107">
        <f t="shared" si="0"/>
        <v>5</v>
      </c>
    </row>
    <row r="10" spans="1:11">
      <c r="A10" s="107">
        <v>1</v>
      </c>
      <c r="B10" s="107">
        <v>1</v>
      </c>
      <c r="C10" s="107">
        <v>2</v>
      </c>
      <c r="D10" s="107">
        <v>3</v>
      </c>
      <c r="E10" s="107" t="s">
        <v>158</v>
      </c>
      <c r="F10" s="107" t="s">
        <v>159</v>
      </c>
      <c r="G10" s="161">
        <v>45354</v>
      </c>
      <c r="H10" s="107">
        <f t="shared" si="0"/>
        <v>5</v>
      </c>
    </row>
    <row r="11" spans="1:11">
      <c r="A11" s="107">
        <v>1</v>
      </c>
      <c r="B11" s="107">
        <v>1</v>
      </c>
      <c r="C11" s="107">
        <v>2</v>
      </c>
      <c r="D11" s="107">
        <v>4</v>
      </c>
      <c r="E11" s="107" t="s">
        <v>158</v>
      </c>
      <c r="F11" s="107" t="s">
        <v>159</v>
      </c>
      <c r="G11" s="161">
        <v>45354</v>
      </c>
      <c r="H11" s="107">
        <f t="shared" si="0"/>
        <v>5</v>
      </c>
    </row>
    <row r="12" spans="1:11">
      <c r="A12" s="107">
        <v>1</v>
      </c>
      <c r="B12" s="107">
        <v>1</v>
      </c>
      <c r="C12" s="107">
        <v>3</v>
      </c>
      <c r="D12" s="107">
        <v>1</v>
      </c>
      <c r="E12" s="107" t="s">
        <v>154</v>
      </c>
      <c r="F12" s="107" t="s">
        <v>155</v>
      </c>
      <c r="G12" s="161">
        <v>45355</v>
      </c>
      <c r="H12" s="107">
        <f t="shared" si="0"/>
        <v>6</v>
      </c>
    </row>
    <row r="13" spans="1:11">
      <c r="A13" s="107">
        <v>1</v>
      </c>
      <c r="B13" s="107">
        <v>1</v>
      </c>
      <c r="C13" s="107">
        <v>3</v>
      </c>
      <c r="D13" s="107">
        <v>2</v>
      </c>
      <c r="E13" s="107" t="s">
        <v>154</v>
      </c>
      <c r="F13" s="107" t="s">
        <v>155</v>
      </c>
      <c r="G13" s="161">
        <v>45355</v>
      </c>
      <c r="H13" s="107">
        <f t="shared" si="0"/>
        <v>6</v>
      </c>
    </row>
    <row r="14" spans="1:11">
      <c r="A14" s="107">
        <v>1</v>
      </c>
      <c r="B14" s="107">
        <v>1</v>
      </c>
      <c r="C14" s="107">
        <v>3</v>
      </c>
      <c r="D14" s="107">
        <v>3</v>
      </c>
      <c r="E14" s="107" t="s">
        <v>154</v>
      </c>
      <c r="F14" s="107" t="s">
        <v>155</v>
      </c>
      <c r="G14" s="161">
        <v>45355</v>
      </c>
      <c r="H14" s="107">
        <f t="shared" si="0"/>
        <v>6</v>
      </c>
    </row>
    <row r="15" spans="1:11">
      <c r="A15" s="107">
        <v>1</v>
      </c>
      <c r="B15" s="107">
        <v>1</v>
      </c>
      <c r="C15" s="107">
        <v>3</v>
      </c>
      <c r="D15" s="107">
        <v>4</v>
      </c>
      <c r="E15" s="107" t="s">
        <v>154</v>
      </c>
      <c r="F15" s="107" t="s">
        <v>155</v>
      </c>
      <c r="G15" s="107"/>
      <c r="H15" s="107"/>
    </row>
    <row r="16" spans="1:11">
      <c r="A16" s="107">
        <v>1</v>
      </c>
      <c r="B16" s="107">
        <v>1</v>
      </c>
      <c r="C16" s="107">
        <v>4</v>
      </c>
      <c r="D16" s="107">
        <v>1</v>
      </c>
      <c r="E16" s="107" t="s">
        <v>144</v>
      </c>
      <c r="F16" s="107" t="s">
        <v>145</v>
      </c>
      <c r="G16" s="161">
        <v>45355</v>
      </c>
      <c r="H16" s="107">
        <f t="shared" si="0"/>
        <v>6</v>
      </c>
    </row>
    <row r="17" spans="1:8">
      <c r="A17" s="107">
        <v>1</v>
      </c>
      <c r="B17" s="107">
        <v>1</v>
      </c>
      <c r="C17" s="107">
        <v>4</v>
      </c>
      <c r="D17" s="107">
        <v>2</v>
      </c>
      <c r="E17" s="107" t="s">
        <v>144</v>
      </c>
      <c r="F17" s="107" t="s">
        <v>145</v>
      </c>
      <c r="G17" s="161">
        <v>45353</v>
      </c>
      <c r="H17" s="107">
        <f t="shared" si="0"/>
        <v>4</v>
      </c>
    </row>
    <row r="18" spans="1:8">
      <c r="A18" s="107">
        <v>1</v>
      </c>
      <c r="B18" s="107">
        <v>1</v>
      </c>
      <c r="C18" s="107">
        <v>4</v>
      </c>
      <c r="D18" s="107">
        <v>3</v>
      </c>
      <c r="E18" s="107" t="s">
        <v>144</v>
      </c>
      <c r="F18" s="107" t="s">
        <v>145</v>
      </c>
      <c r="G18" s="161">
        <v>45355</v>
      </c>
      <c r="H18" s="107">
        <f t="shared" si="0"/>
        <v>6</v>
      </c>
    </row>
    <row r="19" spans="1:8">
      <c r="A19" s="107">
        <v>1</v>
      </c>
      <c r="B19" s="107">
        <v>1</v>
      </c>
      <c r="C19" s="107">
        <v>4</v>
      </c>
      <c r="D19" s="107">
        <v>4</v>
      </c>
      <c r="E19" s="107" t="s">
        <v>144</v>
      </c>
      <c r="F19" s="107" t="s">
        <v>145</v>
      </c>
      <c r="G19" s="161">
        <v>45354</v>
      </c>
      <c r="H19" s="107">
        <f t="shared" si="0"/>
        <v>5</v>
      </c>
    </row>
    <row r="20" spans="1:8">
      <c r="A20" s="107">
        <v>1</v>
      </c>
      <c r="B20" s="107">
        <v>1</v>
      </c>
      <c r="C20" s="107">
        <v>5</v>
      </c>
      <c r="D20" s="107">
        <v>1</v>
      </c>
      <c r="E20" s="107" t="s">
        <v>138</v>
      </c>
      <c r="F20" s="107" t="s">
        <v>139</v>
      </c>
      <c r="G20" s="107"/>
      <c r="H20" s="107"/>
    </row>
    <row r="21" spans="1:8">
      <c r="A21" s="107">
        <v>1</v>
      </c>
      <c r="B21" s="107">
        <v>1</v>
      </c>
      <c r="C21" s="107">
        <v>5</v>
      </c>
      <c r="D21" s="107">
        <v>2</v>
      </c>
      <c r="E21" s="107" t="s">
        <v>138</v>
      </c>
      <c r="F21" s="107" t="s">
        <v>139</v>
      </c>
      <c r="G21" s="107"/>
      <c r="H21" s="107"/>
    </row>
    <row r="22" spans="1:8">
      <c r="A22" s="107">
        <v>1</v>
      </c>
      <c r="B22" s="107">
        <v>1</v>
      </c>
      <c r="C22" s="107">
        <v>5</v>
      </c>
      <c r="D22" s="107">
        <v>3</v>
      </c>
      <c r="E22" s="107" t="s">
        <v>138</v>
      </c>
      <c r="F22" s="107" t="s">
        <v>139</v>
      </c>
      <c r="G22" s="161">
        <v>45357</v>
      </c>
      <c r="H22" s="107">
        <f t="shared" ref="H22:H30" si="1">DATEDIF($H$2,G22,"d")</f>
        <v>8</v>
      </c>
    </row>
    <row r="23" spans="1:8">
      <c r="A23" s="107">
        <v>1</v>
      </c>
      <c r="B23" s="107">
        <v>1</v>
      </c>
      <c r="C23" s="107">
        <v>5</v>
      </c>
      <c r="D23" s="107">
        <v>4</v>
      </c>
      <c r="E23" s="107" t="s">
        <v>138</v>
      </c>
      <c r="F23" s="107" t="s">
        <v>139</v>
      </c>
      <c r="G23" s="161">
        <v>45355</v>
      </c>
      <c r="H23" s="107">
        <f t="shared" si="1"/>
        <v>6</v>
      </c>
    </row>
    <row r="24" spans="1:8">
      <c r="A24" s="107">
        <v>1</v>
      </c>
      <c r="B24" s="107">
        <v>1</v>
      </c>
      <c r="C24" s="107">
        <v>6</v>
      </c>
      <c r="D24" s="107">
        <v>1</v>
      </c>
      <c r="E24" s="107" t="s">
        <v>164</v>
      </c>
      <c r="F24" s="107" t="s">
        <v>165</v>
      </c>
      <c r="G24" s="161">
        <v>45353</v>
      </c>
      <c r="H24" s="107">
        <f t="shared" si="1"/>
        <v>4</v>
      </c>
    </row>
    <row r="25" spans="1:8">
      <c r="A25" s="107">
        <v>1</v>
      </c>
      <c r="B25" s="107">
        <v>1</v>
      </c>
      <c r="C25" s="107">
        <v>6</v>
      </c>
      <c r="D25" s="107">
        <v>2</v>
      </c>
      <c r="E25" s="107" t="s">
        <v>164</v>
      </c>
      <c r="F25" s="107" t="s">
        <v>165</v>
      </c>
      <c r="G25" s="161">
        <v>45353</v>
      </c>
      <c r="H25" s="107">
        <f t="shared" si="1"/>
        <v>4</v>
      </c>
    </row>
    <row r="26" spans="1:8">
      <c r="A26" s="107">
        <v>1</v>
      </c>
      <c r="B26" s="107">
        <v>1</v>
      </c>
      <c r="C26" s="107">
        <v>6</v>
      </c>
      <c r="D26" s="107">
        <v>3</v>
      </c>
      <c r="E26" s="107" t="s">
        <v>164</v>
      </c>
      <c r="F26" s="107" t="s">
        <v>165</v>
      </c>
      <c r="G26" s="161">
        <v>45353</v>
      </c>
      <c r="H26" s="107">
        <f t="shared" si="1"/>
        <v>4</v>
      </c>
    </row>
    <row r="27" spans="1:8">
      <c r="A27" s="107">
        <v>1</v>
      </c>
      <c r="B27" s="107">
        <v>1</v>
      </c>
      <c r="C27" s="107">
        <v>6</v>
      </c>
      <c r="D27" s="107">
        <v>4</v>
      </c>
      <c r="E27" s="107" t="s">
        <v>164</v>
      </c>
      <c r="F27" s="107" t="s">
        <v>165</v>
      </c>
      <c r="G27" s="161">
        <v>45353</v>
      </c>
      <c r="H27" s="107">
        <f t="shared" si="1"/>
        <v>4</v>
      </c>
    </row>
    <row r="28" spans="1:8">
      <c r="A28" s="107">
        <v>1</v>
      </c>
      <c r="B28" s="107">
        <v>1</v>
      </c>
      <c r="C28" s="107">
        <v>7</v>
      </c>
      <c r="D28" s="107">
        <v>1</v>
      </c>
      <c r="E28" s="107" t="s">
        <v>136</v>
      </c>
      <c r="F28" s="107" t="s">
        <v>137</v>
      </c>
      <c r="G28" s="161">
        <v>45354</v>
      </c>
      <c r="H28" s="107">
        <f t="shared" si="1"/>
        <v>5</v>
      </c>
    </row>
    <row r="29" spans="1:8">
      <c r="A29" s="107">
        <v>1</v>
      </c>
      <c r="B29" s="107">
        <v>1</v>
      </c>
      <c r="C29" s="107">
        <v>7</v>
      </c>
      <c r="D29" s="107">
        <v>2</v>
      </c>
      <c r="E29" s="107" t="s">
        <v>136</v>
      </c>
      <c r="F29" s="107" t="s">
        <v>137</v>
      </c>
      <c r="G29" s="161">
        <v>45357</v>
      </c>
      <c r="H29" s="107">
        <f t="shared" si="1"/>
        <v>8</v>
      </c>
    </row>
    <row r="30" spans="1:8">
      <c r="A30" s="107">
        <v>1</v>
      </c>
      <c r="B30" s="107">
        <v>1</v>
      </c>
      <c r="C30" s="107">
        <v>7</v>
      </c>
      <c r="D30" s="107">
        <v>3</v>
      </c>
      <c r="E30" s="107" t="s">
        <v>136</v>
      </c>
      <c r="F30" s="107" t="s">
        <v>137</v>
      </c>
      <c r="G30" s="100">
        <v>45354</v>
      </c>
      <c r="H30" s="107">
        <f t="shared" si="1"/>
        <v>5</v>
      </c>
    </row>
    <row r="31" spans="1:8">
      <c r="A31" s="107">
        <v>1</v>
      </c>
      <c r="B31" s="107">
        <v>1</v>
      </c>
      <c r="C31" s="107">
        <v>7</v>
      </c>
      <c r="D31" s="107">
        <v>4</v>
      </c>
      <c r="E31" s="107" t="s">
        <v>136</v>
      </c>
      <c r="F31" s="107" t="s">
        <v>137</v>
      </c>
      <c r="G31" s="161">
        <v>45354</v>
      </c>
      <c r="H31" s="107">
        <f t="shared" si="0"/>
        <v>5</v>
      </c>
    </row>
    <row r="32" spans="1:8">
      <c r="A32" s="107">
        <v>1</v>
      </c>
      <c r="B32" s="107">
        <v>1</v>
      </c>
      <c r="C32" s="107">
        <v>8</v>
      </c>
      <c r="D32" s="107">
        <v>1</v>
      </c>
      <c r="E32" s="107" t="s">
        <v>162</v>
      </c>
      <c r="F32" s="107" t="s">
        <v>163</v>
      </c>
      <c r="G32" s="161">
        <v>45354</v>
      </c>
      <c r="H32" s="107">
        <f t="shared" si="0"/>
        <v>5</v>
      </c>
    </row>
    <row r="33" spans="1:8">
      <c r="A33" s="107">
        <v>1</v>
      </c>
      <c r="B33" s="107">
        <v>1</v>
      </c>
      <c r="C33" s="107">
        <v>8</v>
      </c>
      <c r="D33" s="107">
        <v>2</v>
      </c>
      <c r="E33" s="107" t="s">
        <v>162</v>
      </c>
      <c r="F33" s="107" t="s">
        <v>163</v>
      </c>
      <c r="G33" s="161">
        <v>45354</v>
      </c>
      <c r="H33" s="107">
        <f t="shared" si="0"/>
        <v>5</v>
      </c>
    </row>
    <row r="34" spans="1:8">
      <c r="A34" s="107">
        <v>1</v>
      </c>
      <c r="B34" s="107">
        <v>1</v>
      </c>
      <c r="C34" s="107">
        <v>8</v>
      </c>
      <c r="D34" s="107">
        <v>3</v>
      </c>
      <c r="E34" s="107" t="s">
        <v>162</v>
      </c>
      <c r="F34" s="107" t="s">
        <v>163</v>
      </c>
      <c r="G34" s="161">
        <v>45356</v>
      </c>
      <c r="H34" s="107">
        <f t="shared" si="0"/>
        <v>7</v>
      </c>
    </row>
    <row r="35" spans="1:8">
      <c r="A35" s="107">
        <v>1</v>
      </c>
      <c r="B35" s="107">
        <v>1</v>
      </c>
      <c r="C35" s="107">
        <v>8</v>
      </c>
      <c r="D35" s="107">
        <v>4</v>
      </c>
      <c r="E35" s="107" t="s">
        <v>162</v>
      </c>
      <c r="F35" s="107" t="s">
        <v>163</v>
      </c>
      <c r="G35" s="161">
        <v>45355</v>
      </c>
      <c r="H35" s="107">
        <f t="shared" si="0"/>
        <v>6</v>
      </c>
    </row>
    <row r="36" spans="1:8">
      <c r="A36" s="107">
        <v>1</v>
      </c>
      <c r="B36" s="107">
        <v>1</v>
      </c>
      <c r="C36" s="107">
        <v>9</v>
      </c>
      <c r="D36" s="107">
        <v>1</v>
      </c>
      <c r="E36" s="107" t="s">
        <v>134</v>
      </c>
      <c r="F36" s="107" t="s">
        <v>135</v>
      </c>
      <c r="G36" s="161">
        <v>45354</v>
      </c>
      <c r="H36" s="107">
        <f t="shared" si="0"/>
        <v>5</v>
      </c>
    </row>
    <row r="37" spans="1:8">
      <c r="A37" s="107">
        <v>1</v>
      </c>
      <c r="B37" s="107">
        <v>1</v>
      </c>
      <c r="C37" s="107">
        <v>9</v>
      </c>
      <c r="D37" s="107">
        <v>2</v>
      </c>
      <c r="E37" s="107" t="s">
        <v>134</v>
      </c>
      <c r="F37" s="107" t="s">
        <v>135</v>
      </c>
      <c r="G37" s="161">
        <v>45354</v>
      </c>
      <c r="H37" s="107">
        <f t="shared" si="0"/>
        <v>5</v>
      </c>
    </row>
    <row r="38" spans="1:8">
      <c r="A38" s="107">
        <v>1</v>
      </c>
      <c r="B38" s="107">
        <v>1</v>
      </c>
      <c r="C38" s="107">
        <v>9</v>
      </c>
      <c r="D38" s="107">
        <v>3</v>
      </c>
      <c r="E38" s="107" t="s">
        <v>134</v>
      </c>
      <c r="F38" s="107" t="s">
        <v>135</v>
      </c>
      <c r="G38" s="161">
        <v>45354</v>
      </c>
      <c r="H38" s="107">
        <f t="shared" si="0"/>
        <v>5</v>
      </c>
    </row>
    <row r="39" spans="1:8">
      <c r="A39" s="107">
        <v>1</v>
      </c>
      <c r="B39" s="107">
        <v>1</v>
      </c>
      <c r="C39" s="107">
        <v>9</v>
      </c>
      <c r="D39" s="107">
        <v>4</v>
      </c>
      <c r="E39" s="107" t="s">
        <v>134</v>
      </c>
      <c r="F39" s="107" t="s">
        <v>135</v>
      </c>
      <c r="G39" s="161">
        <v>45353</v>
      </c>
      <c r="H39" s="107">
        <f t="shared" si="0"/>
        <v>4</v>
      </c>
    </row>
    <row r="40" spans="1:8">
      <c r="A40" s="107">
        <v>1</v>
      </c>
      <c r="B40" s="107">
        <v>1</v>
      </c>
      <c r="C40" s="107">
        <v>10</v>
      </c>
      <c r="D40" s="107">
        <v>1</v>
      </c>
      <c r="E40" s="107" t="s">
        <v>166</v>
      </c>
      <c r="F40" s="107" t="s">
        <v>167</v>
      </c>
      <c r="G40" s="161">
        <v>45357</v>
      </c>
      <c r="H40" s="107">
        <f t="shared" si="0"/>
        <v>8</v>
      </c>
    </row>
    <row r="41" spans="1:8">
      <c r="A41" s="107">
        <v>1</v>
      </c>
      <c r="B41" s="107">
        <v>1</v>
      </c>
      <c r="C41" s="107">
        <v>10</v>
      </c>
      <c r="D41" s="107">
        <v>2</v>
      </c>
      <c r="E41" s="107" t="s">
        <v>166</v>
      </c>
      <c r="F41" s="107" t="s">
        <v>167</v>
      </c>
      <c r="G41" s="107"/>
      <c r="H41" s="107"/>
    </row>
    <row r="42" spans="1:8">
      <c r="A42" s="107">
        <v>1</v>
      </c>
      <c r="B42" s="107">
        <v>1</v>
      </c>
      <c r="C42" s="107">
        <v>10</v>
      </c>
      <c r="D42" s="107">
        <v>3</v>
      </c>
      <c r="E42" s="107" t="s">
        <v>166</v>
      </c>
      <c r="F42" s="107" t="s">
        <v>167</v>
      </c>
      <c r="G42" s="161">
        <v>45356</v>
      </c>
      <c r="H42" s="107">
        <f t="shared" si="0"/>
        <v>7</v>
      </c>
    </row>
    <row r="43" spans="1:8">
      <c r="A43" s="107">
        <v>1</v>
      </c>
      <c r="B43" s="107">
        <v>1</v>
      </c>
      <c r="C43" s="107">
        <v>10</v>
      </c>
      <c r="D43" s="107">
        <v>4</v>
      </c>
      <c r="E43" s="107" t="s">
        <v>166</v>
      </c>
      <c r="F43" s="107" t="s">
        <v>167</v>
      </c>
      <c r="G43" s="107"/>
      <c r="H43" s="107"/>
    </row>
    <row r="44" spans="1:8">
      <c r="A44" s="107">
        <v>1</v>
      </c>
      <c r="B44" s="107">
        <v>1</v>
      </c>
      <c r="C44" s="107">
        <v>11</v>
      </c>
      <c r="D44" s="107">
        <v>1</v>
      </c>
      <c r="E44" s="107" t="s">
        <v>148</v>
      </c>
      <c r="F44" s="107" t="s">
        <v>149</v>
      </c>
      <c r="G44" s="161">
        <v>45353</v>
      </c>
      <c r="H44" s="107">
        <f t="shared" si="0"/>
        <v>4</v>
      </c>
    </row>
    <row r="45" spans="1:8">
      <c r="A45" s="107">
        <v>1</v>
      </c>
      <c r="B45" s="107">
        <v>1</v>
      </c>
      <c r="C45" s="107">
        <v>11</v>
      </c>
      <c r="D45" s="107">
        <v>2</v>
      </c>
      <c r="E45" s="107" t="s">
        <v>148</v>
      </c>
      <c r="F45" s="107" t="s">
        <v>149</v>
      </c>
      <c r="G45" s="161">
        <v>45354</v>
      </c>
      <c r="H45" s="107">
        <f t="shared" si="0"/>
        <v>5</v>
      </c>
    </row>
    <row r="46" spans="1:8">
      <c r="A46" s="107">
        <v>1</v>
      </c>
      <c r="B46" s="107">
        <v>1</v>
      </c>
      <c r="C46" s="107">
        <v>11</v>
      </c>
      <c r="D46" s="107">
        <v>3</v>
      </c>
      <c r="E46" s="107" t="s">
        <v>148</v>
      </c>
      <c r="F46" s="107" t="s">
        <v>149</v>
      </c>
      <c r="G46" s="161">
        <v>45353</v>
      </c>
      <c r="H46" s="107">
        <f t="shared" si="0"/>
        <v>4</v>
      </c>
    </row>
    <row r="47" spans="1:8">
      <c r="A47" s="107">
        <v>1</v>
      </c>
      <c r="B47" s="107">
        <v>1</v>
      </c>
      <c r="C47" s="107">
        <v>11</v>
      </c>
      <c r="D47" s="107">
        <v>4</v>
      </c>
      <c r="E47" s="107" t="s">
        <v>148</v>
      </c>
      <c r="F47" s="107" t="s">
        <v>149</v>
      </c>
      <c r="G47" s="161">
        <v>45353</v>
      </c>
      <c r="H47" s="107">
        <f t="shared" si="0"/>
        <v>4</v>
      </c>
    </row>
    <row r="48" spans="1:8">
      <c r="A48" s="107">
        <v>1</v>
      </c>
      <c r="B48" s="107">
        <v>1</v>
      </c>
      <c r="C48" s="107">
        <v>12</v>
      </c>
      <c r="D48" s="107">
        <v>1</v>
      </c>
      <c r="E48" s="107" t="s">
        <v>146</v>
      </c>
      <c r="F48" s="107" t="s">
        <v>147</v>
      </c>
      <c r="G48" s="161">
        <v>45354</v>
      </c>
      <c r="H48" s="107">
        <f t="shared" si="0"/>
        <v>5</v>
      </c>
    </row>
    <row r="49" spans="1:8">
      <c r="A49" s="107">
        <v>1</v>
      </c>
      <c r="B49" s="107">
        <v>1</v>
      </c>
      <c r="C49" s="107">
        <v>12</v>
      </c>
      <c r="D49" s="107">
        <v>2</v>
      </c>
      <c r="E49" s="107" t="s">
        <v>146</v>
      </c>
      <c r="F49" s="107" t="s">
        <v>147</v>
      </c>
      <c r="G49" s="161">
        <v>45354</v>
      </c>
      <c r="H49" s="107">
        <f t="shared" si="0"/>
        <v>5</v>
      </c>
    </row>
    <row r="50" spans="1:8">
      <c r="A50" s="107">
        <v>1</v>
      </c>
      <c r="B50" s="107">
        <v>1</v>
      </c>
      <c r="C50" s="107">
        <v>12</v>
      </c>
      <c r="D50" s="107">
        <v>3</v>
      </c>
      <c r="E50" s="107" t="s">
        <v>146</v>
      </c>
      <c r="F50" s="107" t="s">
        <v>147</v>
      </c>
      <c r="G50" s="161">
        <v>45354</v>
      </c>
      <c r="H50" s="107">
        <f t="shared" si="0"/>
        <v>5</v>
      </c>
    </row>
    <row r="51" spans="1:8">
      <c r="A51" s="107">
        <v>1</v>
      </c>
      <c r="B51" s="107">
        <v>1</v>
      </c>
      <c r="C51" s="107">
        <v>12</v>
      </c>
      <c r="D51" s="107">
        <v>4</v>
      </c>
      <c r="E51" s="107" t="s">
        <v>146</v>
      </c>
      <c r="F51" s="107" t="s">
        <v>147</v>
      </c>
      <c r="G51" s="161">
        <v>45354</v>
      </c>
      <c r="H51" s="107">
        <f t="shared" si="0"/>
        <v>5</v>
      </c>
    </row>
    <row r="52" spans="1:8">
      <c r="A52" s="107">
        <v>1</v>
      </c>
      <c r="B52" s="107">
        <v>1</v>
      </c>
      <c r="C52" s="107">
        <v>13</v>
      </c>
      <c r="D52" s="107">
        <v>1</v>
      </c>
      <c r="E52" s="107" t="s">
        <v>140</v>
      </c>
      <c r="F52" s="107" t="s">
        <v>141</v>
      </c>
      <c r="G52" s="161">
        <v>45353</v>
      </c>
      <c r="H52" s="107">
        <f t="shared" si="0"/>
        <v>4</v>
      </c>
    </row>
    <row r="53" spans="1:8">
      <c r="A53" s="107">
        <v>1</v>
      </c>
      <c r="B53" s="107">
        <v>1</v>
      </c>
      <c r="C53" s="107">
        <v>13</v>
      </c>
      <c r="D53" s="107">
        <v>2</v>
      </c>
      <c r="E53" s="107" t="s">
        <v>140</v>
      </c>
      <c r="F53" s="107" t="s">
        <v>141</v>
      </c>
      <c r="G53" s="161">
        <v>45355</v>
      </c>
      <c r="H53" s="107">
        <f t="shared" si="0"/>
        <v>6</v>
      </c>
    </row>
    <row r="54" spans="1:8">
      <c r="A54" s="107">
        <v>1</v>
      </c>
      <c r="B54" s="107">
        <v>1</v>
      </c>
      <c r="C54" s="107">
        <v>13</v>
      </c>
      <c r="D54" s="107">
        <v>3</v>
      </c>
      <c r="E54" s="107" t="s">
        <v>140</v>
      </c>
      <c r="F54" s="107" t="s">
        <v>141</v>
      </c>
      <c r="G54" s="161">
        <v>45354</v>
      </c>
      <c r="H54" s="107">
        <f t="shared" si="0"/>
        <v>5</v>
      </c>
    </row>
    <row r="55" spans="1:8">
      <c r="A55" s="107">
        <v>1</v>
      </c>
      <c r="B55" s="107">
        <v>1</v>
      </c>
      <c r="C55" s="107">
        <v>13</v>
      </c>
      <c r="D55" s="107">
        <v>4</v>
      </c>
      <c r="E55" s="107" t="s">
        <v>140</v>
      </c>
      <c r="F55" s="107" t="s">
        <v>141</v>
      </c>
      <c r="G55" s="161">
        <v>45354</v>
      </c>
      <c r="H55" s="107">
        <f t="shared" si="0"/>
        <v>5</v>
      </c>
    </row>
    <row r="56" spans="1:8">
      <c r="A56" s="107">
        <v>1</v>
      </c>
      <c r="B56" s="107">
        <v>1</v>
      </c>
      <c r="C56" s="107">
        <v>14</v>
      </c>
      <c r="D56" s="107">
        <v>1</v>
      </c>
      <c r="E56" s="107" t="s">
        <v>150</v>
      </c>
      <c r="F56" s="107" t="s">
        <v>151</v>
      </c>
      <c r="G56" s="161">
        <v>45353</v>
      </c>
      <c r="H56" s="107">
        <f t="shared" si="0"/>
        <v>4</v>
      </c>
    </row>
    <row r="57" spans="1:8">
      <c r="A57" s="107">
        <v>1</v>
      </c>
      <c r="B57" s="107">
        <v>1</v>
      </c>
      <c r="C57" s="107">
        <v>14</v>
      </c>
      <c r="D57" s="107">
        <v>2</v>
      </c>
      <c r="E57" s="107" t="s">
        <v>150</v>
      </c>
      <c r="F57" s="107" t="s">
        <v>151</v>
      </c>
      <c r="G57" s="161">
        <v>45353</v>
      </c>
      <c r="H57" s="107">
        <f t="shared" si="0"/>
        <v>4</v>
      </c>
    </row>
    <row r="58" spans="1:8">
      <c r="A58" s="107">
        <v>1</v>
      </c>
      <c r="B58" s="107">
        <v>1</v>
      </c>
      <c r="C58" s="107">
        <v>14</v>
      </c>
      <c r="D58" s="107">
        <v>3</v>
      </c>
      <c r="E58" s="107" t="s">
        <v>150</v>
      </c>
      <c r="F58" s="107" t="s">
        <v>151</v>
      </c>
      <c r="G58" s="161">
        <v>45353</v>
      </c>
      <c r="H58" s="107">
        <f t="shared" si="0"/>
        <v>4</v>
      </c>
    </row>
    <row r="59" spans="1:8">
      <c r="A59" s="107">
        <v>1</v>
      </c>
      <c r="B59" s="107">
        <v>1</v>
      </c>
      <c r="C59" s="107">
        <v>14</v>
      </c>
      <c r="D59" s="107">
        <v>4</v>
      </c>
      <c r="E59" s="107" t="s">
        <v>150</v>
      </c>
      <c r="F59" s="107" t="s">
        <v>151</v>
      </c>
      <c r="G59" s="161">
        <v>45353</v>
      </c>
      <c r="H59" s="107">
        <f t="shared" si="0"/>
        <v>4</v>
      </c>
    </row>
    <row r="60" spans="1:8">
      <c r="A60" s="107">
        <v>1</v>
      </c>
      <c r="B60" s="107">
        <v>1</v>
      </c>
      <c r="C60" s="107">
        <v>15</v>
      </c>
      <c r="D60" s="107">
        <v>1</v>
      </c>
      <c r="E60" s="107" t="s">
        <v>142</v>
      </c>
      <c r="F60" s="107" t="s">
        <v>143</v>
      </c>
      <c r="G60" s="107"/>
      <c r="H60" s="107"/>
    </row>
    <row r="61" spans="1:8">
      <c r="A61" s="107">
        <v>1</v>
      </c>
      <c r="B61" s="107">
        <v>1</v>
      </c>
      <c r="C61" s="107">
        <v>15</v>
      </c>
      <c r="D61" s="107">
        <v>2</v>
      </c>
      <c r="E61" s="107" t="s">
        <v>142</v>
      </c>
      <c r="F61" s="107" t="s">
        <v>143</v>
      </c>
      <c r="G61" s="161">
        <v>45355</v>
      </c>
      <c r="H61" s="107">
        <f t="shared" si="0"/>
        <v>6</v>
      </c>
    </row>
    <row r="62" spans="1:8">
      <c r="A62" s="107">
        <v>1</v>
      </c>
      <c r="B62" s="107">
        <v>1</v>
      </c>
      <c r="C62" s="107">
        <v>15</v>
      </c>
      <c r="D62" s="107">
        <v>3</v>
      </c>
      <c r="E62" s="107" t="s">
        <v>142</v>
      </c>
      <c r="F62" s="107" t="s">
        <v>143</v>
      </c>
      <c r="G62" s="161">
        <v>45355</v>
      </c>
      <c r="H62" s="107">
        <f t="shared" si="0"/>
        <v>6</v>
      </c>
    </row>
    <row r="63" spans="1:8">
      <c r="A63" s="107">
        <v>1</v>
      </c>
      <c r="B63" s="107">
        <v>1</v>
      </c>
      <c r="C63" s="107">
        <v>15</v>
      </c>
      <c r="D63" s="107">
        <v>4</v>
      </c>
      <c r="E63" s="107" t="s">
        <v>142</v>
      </c>
      <c r="F63" s="107" t="s">
        <v>143</v>
      </c>
      <c r="G63" s="161">
        <v>45355</v>
      </c>
      <c r="H63" s="107">
        <f t="shared" si="0"/>
        <v>6</v>
      </c>
    </row>
    <row r="64" spans="1:8">
      <c r="A64" s="107">
        <v>1</v>
      </c>
      <c r="B64" s="107">
        <v>1</v>
      </c>
      <c r="C64" s="107">
        <v>16</v>
      </c>
      <c r="D64" s="107">
        <v>1</v>
      </c>
      <c r="E64" s="107" t="s">
        <v>152</v>
      </c>
      <c r="F64" s="107" t="s">
        <v>153</v>
      </c>
      <c r="G64" s="161">
        <v>45353</v>
      </c>
      <c r="H64" s="107">
        <f t="shared" si="0"/>
        <v>4</v>
      </c>
    </row>
    <row r="65" spans="1:8">
      <c r="A65" s="107">
        <v>1</v>
      </c>
      <c r="B65" s="107">
        <v>1</v>
      </c>
      <c r="C65" s="107">
        <v>16</v>
      </c>
      <c r="D65" s="107">
        <v>2</v>
      </c>
      <c r="E65" s="107" t="s">
        <v>152</v>
      </c>
      <c r="F65" s="107" t="s">
        <v>153</v>
      </c>
      <c r="G65" s="161">
        <v>45353</v>
      </c>
      <c r="H65" s="107">
        <f t="shared" si="0"/>
        <v>4</v>
      </c>
    </row>
    <row r="66" spans="1:8">
      <c r="A66" s="107">
        <v>1</v>
      </c>
      <c r="B66" s="107">
        <v>1</v>
      </c>
      <c r="C66" s="107">
        <v>16</v>
      </c>
      <c r="D66" s="107">
        <v>3</v>
      </c>
      <c r="E66" s="107" t="s">
        <v>152</v>
      </c>
      <c r="F66" s="107" t="s">
        <v>153</v>
      </c>
      <c r="G66" s="161">
        <v>45353</v>
      </c>
      <c r="H66" s="107">
        <f t="shared" si="0"/>
        <v>4</v>
      </c>
    </row>
    <row r="67" spans="1:8">
      <c r="A67" s="107">
        <v>1</v>
      </c>
      <c r="B67" s="107">
        <v>1</v>
      </c>
      <c r="C67" s="107">
        <v>16</v>
      </c>
      <c r="D67" s="107">
        <v>4</v>
      </c>
      <c r="E67" s="107" t="s">
        <v>152</v>
      </c>
      <c r="F67" s="107" t="s">
        <v>153</v>
      </c>
      <c r="G67" s="161">
        <v>45354</v>
      </c>
      <c r="H67" s="107">
        <f t="shared" si="0"/>
        <v>5</v>
      </c>
    </row>
    <row r="68" spans="1:8">
      <c r="A68" s="107">
        <v>1</v>
      </c>
      <c r="B68" s="107">
        <v>1</v>
      </c>
      <c r="C68" s="107">
        <v>17</v>
      </c>
      <c r="D68" s="107">
        <v>1</v>
      </c>
      <c r="E68" s="107" t="s">
        <v>156</v>
      </c>
      <c r="F68" s="107" t="s">
        <v>157</v>
      </c>
      <c r="G68" s="161">
        <v>45353</v>
      </c>
      <c r="H68" s="107">
        <f t="shared" si="0"/>
        <v>4</v>
      </c>
    </row>
    <row r="69" spans="1:8">
      <c r="A69" s="107">
        <v>1</v>
      </c>
      <c r="B69" s="107">
        <v>1</v>
      </c>
      <c r="C69" s="107">
        <v>17</v>
      </c>
      <c r="D69" s="107">
        <v>2</v>
      </c>
      <c r="E69" s="107" t="s">
        <v>156</v>
      </c>
      <c r="F69" s="107" t="s">
        <v>157</v>
      </c>
      <c r="G69" s="161">
        <v>45353</v>
      </c>
      <c r="H69" s="107">
        <f t="shared" ref="H69:H132" si="2">DATEDIF($H$2,G69,"d")</f>
        <v>4</v>
      </c>
    </row>
    <row r="70" spans="1:8">
      <c r="A70" s="107">
        <v>1</v>
      </c>
      <c r="B70" s="107">
        <v>1</v>
      </c>
      <c r="C70" s="107">
        <v>17</v>
      </c>
      <c r="D70" s="107">
        <v>3</v>
      </c>
      <c r="E70" s="107" t="s">
        <v>156</v>
      </c>
      <c r="F70" s="107" t="s">
        <v>157</v>
      </c>
      <c r="G70" s="107"/>
      <c r="H70" s="107"/>
    </row>
    <row r="71" spans="1:8">
      <c r="A71" s="107">
        <v>1</v>
      </c>
      <c r="B71" s="107">
        <v>1</v>
      </c>
      <c r="C71" s="107">
        <v>17</v>
      </c>
      <c r="D71" s="107">
        <v>4</v>
      </c>
      <c r="E71" s="107" t="s">
        <v>156</v>
      </c>
      <c r="F71" s="107" t="s">
        <v>157</v>
      </c>
      <c r="G71" s="161">
        <v>45354</v>
      </c>
      <c r="H71" s="107">
        <f t="shared" si="2"/>
        <v>5</v>
      </c>
    </row>
    <row r="72" spans="1:8">
      <c r="A72" s="107">
        <v>1</v>
      </c>
      <c r="B72" s="107">
        <v>1</v>
      </c>
      <c r="C72" s="107">
        <v>18</v>
      </c>
      <c r="D72" s="107">
        <v>1</v>
      </c>
      <c r="E72" s="107" t="s">
        <v>160</v>
      </c>
      <c r="F72" s="107" t="s">
        <v>161</v>
      </c>
      <c r="G72" s="161">
        <v>45353</v>
      </c>
      <c r="H72" s="107">
        <f t="shared" si="2"/>
        <v>4</v>
      </c>
    </row>
    <row r="73" spans="1:8">
      <c r="A73" s="107">
        <v>1</v>
      </c>
      <c r="B73" s="107">
        <v>1</v>
      </c>
      <c r="C73" s="107">
        <v>18</v>
      </c>
      <c r="D73" s="107">
        <v>2</v>
      </c>
      <c r="E73" s="107" t="s">
        <v>160</v>
      </c>
      <c r="F73" s="107" t="s">
        <v>161</v>
      </c>
      <c r="G73" s="161">
        <v>45353</v>
      </c>
      <c r="H73" s="107">
        <f t="shared" si="2"/>
        <v>4</v>
      </c>
    </row>
    <row r="74" spans="1:8">
      <c r="A74" s="107">
        <v>1</v>
      </c>
      <c r="B74" s="107">
        <v>1</v>
      </c>
      <c r="C74" s="107">
        <v>18</v>
      </c>
      <c r="D74" s="107">
        <v>3</v>
      </c>
      <c r="E74" s="107" t="s">
        <v>160</v>
      </c>
      <c r="F74" s="107" t="s">
        <v>161</v>
      </c>
      <c r="G74" s="161">
        <v>45354</v>
      </c>
      <c r="H74" s="107">
        <f t="shared" si="2"/>
        <v>5</v>
      </c>
    </row>
    <row r="75" spans="1:8">
      <c r="A75" s="107">
        <v>1</v>
      </c>
      <c r="B75" s="107">
        <v>1</v>
      </c>
      <c r="C75" s="107">
        <v>18</v>
      </c>
      <c r="D75" s="107">
        <v>4</v>
      </c>
      <c r="E75" s="107" t="s">
        <v>160</v>
      </c>
      <c r="F75" s="107" t="s">
        <v>161</v>
      </c>
      <c r="G75" s="161">
        <v>45354</v>
      </c>
      <c r="H75" s="107">
        <f t="shared" si="2"/>
        <v>5</v>
      </c>
    </row>
    <row r="76" spans="1:8">
      <c r="A76" s="107">
        <v>1</v>
      </c>
      <c r="B76" s="107">
        <v>2</v>
      </c>
      <c r="C76" s="107">
        <v>1</v>
      </c>
      <c r="D76" s="107">
        <v>1</v>
      </c>
      <c r="E76" s="107" t="s">
        <v>188</v>
      </c>
      <c r="F76" s="107" t="s">
        <v>189</v>
      </c>
      <c r="G76" s="161">
        <v>45354</v>
      </c>
      <c r="H76" s="107">
        <f t="shared" si="2"/>
        <v>5</v>
      </c>
    </row>
    <row r="77" spans="1:8">
      <c r="A77" s="107">
        <v>1</v>
      </c>
      <c r="B77" s="107">
        <v>2</v>
      </c>
      <c r="C77" s="107">
        <v>1</v>
      </c>
      <c r="D77" s="107">
        <v>2</v>
      </c>
      <c r="E77" s="107" t="s">
        <v>188</v>
      </c>
      <c r="F77" s="107" t="s">
        <v>189</v>
      </c>
      <c r="G77" s="161">
        <v>45354</v>
      </c>
      <c r="H77" s="107">
        <f t="shared" si="2"/>
        <v>5</v>
      </c>
    </row>
    <row r="78" spans="1:8">
      <c r="A78" s="107">
        <v>1</v>
      </c>
      <c r="B78" s="107">
        <v>2</v>
      </c>
      <c r="C78" s="107">
        <v>1</v>
      </c>
      <c r="D78" s="107">
        <v>3</v>
      </c>
      <c r="E78" s="107" t="s">
        <v>188</v>
      </c>
      <c r="F78" s="107" t="s">
        <v>189</v>
      </c>
      <c r="G78" s="161">
        <v>45353</v>
      </c>
      <c r="H78" s="107">
        <f t="shared" si="2"/>
        <v>4</v>
      </c>
    </row>
    <row r="79" spans="1:8">
      <c r="A79" s="107">
        <v>1</v>
      </c>
      <c r="B79" s="107">
        <v>2</v>
      </c>
      <c r="C79" s="107">
        <v>1</v>
      </c>
      <c r="D79" s="107">
        <v>4</v>
      </c>
      <c r="E79" s="107" t="s">
        <v>188</v>
      </c>
      <c r="F79" s="107" t="s">
        <v>189</v>
      </c>
      <c r="G79" s="161">
        <v>45354</v>
      </c>
      <c r="H79" s="107">
        <f t="shared" si="2"/>
        <v>5</v>
      </c>
    </row>
    <row r="80" spans="1:8">
      <c r="A80" s="107">
        <v>1</v>
      </c>
      <c r="B80" s="107">
        <v>2</v>
      </c>
      <c r="C80" s="107">
        <v>2</v>
      </c>
      <c r="D80" s="107">
        <v>1</v>
      </c>
      <c r="E80" s="107" t="s">
        <v>196</v>
      </c>
      <c r="F80" s="107" t="s">
        <v>197</v>
      </c>
      <c r="G80" s="161">
        <v>45355</v>
      </c>
      <c r="H80" s="107">
        <f t="shared" si="2"/>
        <v>6</v>
      </c>
    </row>
    <row r="81" spans="1:8">
      <c r="A81" s="107">
        <v>1</v>
      </c>
      <c r="B81" s="107">
        <v>2</v>
      </c>
      <c r="C81" s="107">
        <v>2</v>
      </c>
      <c r="D81" s="107">
        <v>2</v>
      </c>
      <c r="E81" s="107" t="s">
        <v>196</v>
      </c>
      <c r="F81" s="107" t="s">
        <v>197</v>
      </c>
      <c r="G81" s="161">
        <v>45353</v>
      </c>
      <c r="H81" s="107">
        <f t="shared" si="2"/>
        <v>4</v>
      </c>
    </row>
    <row r="82" spans="1:8">
      <c r="A82" s="107">
        <v>1</v>
      </c>
      <c r="B82" s="107">
        <v>2</v>
      </c>
      <c r="C82" s="107">
        <v>2</v>
      </c>
      <c r="D82" s="107">
        <v>3</v>
      </c>
      <c r="E82" s="107" t="s">
        <v>196</v>
      </c>
      <c r="F82" s="107" t="s">
        <v>197</v>
      </c>
      <c r="G82" s="161">
        <v>45354</v>
      </c>
      <c r="H82" s="107">
        <f t="shared" si="2"/>
        <v>5</v>
      </c>
    </row>
    <row r="83" spans="1:8">
      <c r="A83" s="107">
        <v>1</v>
      </c>
      <c r="B83" s="107">
        <v>2</v>
      </c>
      <c r="C83" s="107">
        <v>2</v>
      </c>
      <c r="D83" s="107">
        <v>4</v>
      </c>
      <c r="E83" s="107" t="s">
        <v>196</v>
      </c>
      <c r="F83" s="107" t="s">
        <v>197</v>
      </c>
      <c r="G83" s="107"/>
      <c r="H83" s="107"/>
    </row>
    <row r="84" spans="1:8">
      <c r="A84" s="107">
        <v>1</v>
      </c>
      <c r="B84" s="107">
        <v>2</v>
      </c>
      <c r="C84" s="107">
        <v>3</v>
      </c>
      <c r="D84" s="107">
        <v>1</v>
      </c>
      <c r="E84" s="107" t="s">
        <v>192</v>
      </c>
      <c r="F84" s="107" t="s">
        <v>193</v>
      </c>
      <c r="G84" s="161">
        <v>45354</v>
      </c>
      <c r="H84" s="107">
        <f t="shared" si="2"/>
        <v>5</v>
      </c>
    </row>
    <row r="85" spans="1:8">
      <c r="A85" s="107">
        <v>1</v>
      </c>
      <c r="B85" s="107">
        <v>2</v>
      </c>
      <c r="C85" s="107">
        <v>3</v>
      </c>
      <c r="D85" s="107">
        <v>2</v>
      </c>
      <c r="E85" s="107" t="s">
        <v>192</v>
      </c>
      <c r="F85" s="107" t="s">
        <v>193</v>
      </c>
      <c r="G85" s="161">
        <v>45353</v>
      </c>
      <c r="H85" s="107">
        <f t="shared" si="2"/>
        <v>4</v>
      </c>
    </row>
    <row r="86" spans="1:8">
      <c r="A86" s="107">
        <v>1</v>
      </c>
      <c r="B86" s="107">
        <v>2</v>
      </c>
      <c r="C86" s="107">
        <v>3</v>
      </c>
      <c r="D86" s="107">
        <v>3</v>
      </c>
      <c r="E86" s="107" t="s">
        <v>192</v>
      </c>
      <c r="F86" s="107" t="s">
        <v>193</v>
      </c>
      <c r="G86" s="161">
        <v>45353</v>
      </c>
      <c r="H86" s="107">
        <f t="shared" si="2"/>
        <v>4</v>
      </c>
    </row>
    <row r="87" spans="1:8">
      <c r="A87" s="107">
        <v>1</v>
      </c>
      <c r="B87" s="107">
        <v>2</v>
      </c>
      <c r="C87" s="107">
        <v>3</v>
      </c>
      <c r="D87" s="107">
        <v>4</v>
      </c>
      <c r="E87" s="107" t="s">
        <v>192</v>
      </c>
      <c r="F87" s="107" t="s">
        <v>193</v>
      </c>
      <c r="G87" s="161">
        <v>45354</v>
      </c>
      <c r="H87" s="107">
        <f t="shared" si="2"/>
        <v>5</v>
      </c>
    </row>
    <row r="88" spans="1:8">
      <c r="A88" s="107">
        <v>1</v>
      </c>
      <c r="B88" s="107">
        <v>2</v>
      </c>
      <c r="C88" s="107">
        <v>4</v>
      </c>
      <c r="D88" s="107">
        <v>1</v>
      </c>
      <c r="E88" s="107" t="s">
        <v>202</v>
      </c>
      <c r="F88" s="107" t="s">
        <v>203</v>
      </c>
      <c r="G88" s="107"/>
      <c r="H88" s="107"/>
    </row>
    <row r="89" spans="1:8">
      <c r="A89" s="107">
        <v>1</v>
      </c>
      <c r="B89" s="107">
        <v>2</v>
      </c>
      <c r="C89" s="107">
        <v>4</v>
      </c>
      <c r="D89" s="107">
        <v>2</v>
      </c>
      <c r="E89" s="107" t="s">
        <v>202</v>
      </c>
      <c r="F89" s="107" t="s">
        <v>203</v>
      </c>
      <c r="G89" s="161">
        <v>45353</v>
      </c>
      <c r="H89" s="107">
        <f t="shared" si="2"/>
        <v>4</v>
      </c>
    </row>
    <row r="90" spans="1:8">
      <c r="A90" s="107">
        <v>1</v>
      </c>
      <c r="B90" s="107">
        <v>2</v>
      </c>
      <c r="C90" s="107">
        <v>4</v>
      </c>
      <c r="D90" s="107">
        <v>3</v>
      </c>
      <c r="E90" s="107" t="s">
        <v>202</v>
      </c>
      <c r="F90" s="107" t="s">
        <v>203</v>
      </c>
      <c r="G90" s="107"/>
      <c r="H90" s="107"/>
    </row>
    <row r="91" spans="1:8">
      <c r="A91" s="107">
        <v>1</v>
      </c>
      <c r="B91" s="107">
        <v>2</v>
      </c>
      <c r="C91" s="107">
        <v>4</v>
      </c>
      <c r="D91" s="107">
        <v>4</v>
      </c>
      <c r="E91" s="107" t="s">
        <v>202</v>
      </c>
      <c r="F91" s="107" t="s">
        <v>203</v>
      </c>
      <c r="G91" s="107"/>
      <c r="H91" s="107"/>
    </row>
    <row r="92" spans="1:8">
      <c r="A92" s="107">
        <v>1</v>
      </c>
      <c r="B92" s="107">
        <v>2</v>
      </c>
      <c r="C92" s="107">
        <v>5</v>
      </c>
      <c r="D92" s="107">
        <v>1</v>
      </c>
      <c r="E92" s="107" t="s">
        <v>184</v>
      </c>
      <c r="F92" s="107" t="s">
        <v>185</v>
      </c>
      <c r="G92" s="161">
        <v>45354</v>
      </c>
      <c r="H92" s="107">
        <f t="shared" si="2"/>
        <v>5</v>
      </c>
    </row>
    <row r="93" spans="1:8">
      <c r="A93" s="107">
        <v>1</v>
      </c>
      <c r="B93" s="107">
        <v>2</v>
      </c>
      <c r="C93" s="107">
        <v>5</v>
      </c>
      <c r="D93" s="107">
        <v>2</v>
      </c>
      <c r="E93" s="107" t="s">
        <v>184</v>
      </c>
      <c r="F93" s="107" t="s">
        <v>185</v>
      </c>
      <c r="G93" s="161">
        <v>45354</v>
      </c>
      <c r="H93" s="107">
        <f t="shared" si="2"/>
        <v>5</v>
      </c>
    </row>
    <row r="94" spans="1:8">
      <c r="A94" s="107">
        <v>1</v>
      </c>
      <c r="B94" s="107">
        <v>2</v>
      </c>
      <c r="C94" s="107">
        <v>5</v>
      </c>
      <c r="D94" s="107">
        <v>3</v>
      </c>
      <c r="E94" s="107" t="s">
        <v>184</v>
      </c>
      <c r="F94" s="107" t="s">
        <v>185</v>
      </c>
      <c r="G94" s="161">
        <v>45359</v>
      </c>
      <c r="H94" s="107">
        <f t="shared" si="2"/>
        <v>10</v>
      </c>
    </row>
    <row r="95" spans="1:8">
      <c r="A95" s="107">
        <v>1</v>
      </c>
      <c r="B95" s="107">
        <v>2</v>
      </c>
      <c r="C95" s="107">
        <v>5</v>
      </c>
      <c r="D95" s="107">
        <v>4</v>
      </c>
      <c r="E95" s="107" t="s">
        <v>184</v>
      </c>
      <c r="F95" s="107" t="s">
        <v>185</v>
      </c>
      <c r="G95" s="161">
        <v>45353</v>
      </c>
      <c r="H95" s="107">
        <f t="shared" si="2"/>
        <v>4</v>
      </c>
    </row>
    <row r="96" spans="1:8">
      <c r="A96" s="107">
        <v>1</v>
      </c>
      <c r="B96" s="107">
        <v>2</v>
      </c>
      <c r="C96" s="107">
        <v>6</v>
      </c>
      <c r="D96" s="107">
        <v>1</v>
      </c>
      <c r="E96" s="107" t="s">
        <v>180</v>
      </c>
      <c r="F96" s="107" t="s">
        <v>181</v>
      </c>
      <c r="G96" s="161">
        <v>45354</v>
      </c>
      <c r="H96" s="107">
        <f t="shared" si="2"/>
        <v>5</v>
      </c>
    </row>
    <row r="97" spans="1:8">
      <c r="A97" s="107">
        <v>1</v>
      </c>
      <c r="B97" s="107">
        <v>2</v>
      </c>
      <c r="C97" s="107">
        <v>6</v>
      </c>
      <c r="D97" s="107">
        <v>2</v>
      </c>
      <c r="E97" s="107" t="s">
        <v>180</v>
      </c>
      <c r="F97" s="107" t="s">
        <v>181</v>
      </c>
      <c r="G97" s="161">
        <v>45354</v>
      </c>
      <c r="H97" s="107">
        <f t="shared" si="2"/>
        <v>5</v>
      </c>
    </row>
    <row r="98" spans="1:8">
      <c r="A98" s="107">
        <v>1</v>
      </c>
      <c r="B98" s="107">
        <v>2</v>
      </c>
      <c r="C98" s="107">
        <v>6</v>
      </c>
      <c r="D98" s="107">
        <v>3</v>
      </c>
      <c r="E98" s="107" t="s">
        <v>180</v>
      </c>
      <c r="F98" s="107" t="s">
        <v>181</v>
      </c>
      <c r="G98" s="161">
        <v>45354</v>
      </c>
      <c r="H98" s="107">
        <f t="shared" si="2"/>
        <v>5</v>
      </c>
    </row>
    <row r="99" spans="1:8">
      <c r="A99" s="107">
        <v>1</v>
      </c>
      <c r="B99" s="107">
        <v>2</v>
      </c>
      <c r="C99" s="107">
        <v>6</v>
      </c>
      <c r="D99" s="107">
        <v>4</v>
      </c>
      <c r="E99" s="107" t="s">
        <v>180</v>
      </c>
      <c r="F99" s="107" t="s">
        <v>181</v>
      </c>
      <c r="G99" s="161">
        <v>45353</v>
      </c>
      <c r="H99" s="107">
        <f t="shared" si="2"/>
        <v>4</v>
      </c>
    </row>
    <row r="100" spans="1:8">
      <c r="A100" s="107">
        <v>1</v>
      </c>
      <c r="B100" s="107">
        <v>2</v>
      </c>
      <c r="C100" s="107">
        <v>7</v>
      </c>
      <c r="D100" s="107">
        <v>1</v>
      </c>
      <c r="E100" s="107" t="s">
        <v>190</v>
      </c>
      <c r="F100" s="107" t="s">
        <v>191</v>
      </c>
      <c r="G100" s="161">
        <v>45354</v>
      </c>
      <c r="H100" s="107">
        <f t="shared" si="2"/>
        <v>5</v>
      </c>
    </row>
    <row r="101" spans="1:8">
      <c r="A101" s="107">
        <v>1</v>
      </c>
      <c r="B101" s="107">
        <v>2</v>
      </c>
      <c r="C101" s="107">
        <v>7</v>
      </c>
      <c r="D101" s="107">
        <v>2</v>
      </c>
      <c r="E101" s="107" t="s">
        <v>190</v>
      </c>
      <c r="F101" s="107" t="s">
        <v>191</v>
      </c>
      <c r="G101" s="161">
        <v>45354</v>
      </c>
      <c r="H101" s="107">
        <f t="shared" si="2"/>
        <v>5</v>
      </c>
    </row>
    <row r="102" spans="1:8">
      <c r="A102" s="107">
        <v>1</v>
      </c>
      <c r="B102" s="107">
        <v>2</v>
      </c>
      <c r="C102" s="107">
        <v>7</v>
      </c>
      <c r="D102" s="107">
        <v>3</v>
      </c>
      <c r="E102" s="107" t="s">
        <v>190</v>
      </c>
      <c r="F102" s="107" t="s">
        <v>191</v>
      </c>
      <c r="G102" s="161">
        <v>45354</v>
      </c>
      <c r="H102" s="107">
        <f t="shared" si="2"/>
        <v>5</v>
      </c>
    </row>
    <row r="103" spans="1:8">
      <c r="A103" s="107">
        <v>1</v>
      </c>
      <c r="B103" s="107">
        <v>2</v>
      </c>
      <c r="C103" s="107">
        <v>7</v>
      </c>
      <c r="D103" s="107">
        <v>4</v>
      </c>
      <c r="E103" s="107" t="s">
        <v>190</v>
      </c>
      <c r="F103" s="107" t="s">
        <v>191</v>
      </c>
      <c r="G103" s="161">
        <v>45355</v>
      </c>
      <c r="H103" s="107">
        <f t="shared" si="2"/>
        <v>6</v>
      </c>
    </row>
    <row r="104" spans="1:8">
      <c r="A104" s="107">
        <v>1</v>
      </c>
      <c r="B104" s="107">
        <v>2</v>
      </c>
      <c r="C104" s="107">
        <v>8</v>
      </c>
      <c r="D104" s="107">
        <v>1</v>
      </c>
      <c r="E104" s="107" t="s">
        <v>186</v>
      </c>
      <c r="F104" s="107" t="s">
        <v>187</v>
      </c>
      <c r="G104" s="161">
        <v>45354</v>
      </c>
      <c r="H104" s="107">
        <f t="shared" si="2"/>
        <v>5</v>
      </c>
    </row>
    <row r="105" spans="1:8">
      <c r="A105" s="107">
        <v>1</v>
      </c>
      <c r="B105" s="107">
        <v>2</v>
      </c>
      <c r="C105" s="107">
        <v>8</v>
      </c>
      <c r="D105" s="107">
        <v>2</v>
      </c>
      <c r="E105" s="107" t="s">
        <v>186</v>
      </c>
      <c r="F105" s="107" t="s">
        <v>187</v>
      </c>
      <c r="G105" s="161">
        <v>45356</v>
      </c>
      <c r="H105" s="107">
        <f t="shared" si="2"/>
        <v>7</v>
      </c>
    </row>
    <row r="106" spans="1:8">
      <c r="A106" s="107">
        <v>1</v>
      </c>
      <c r="B106" s="107">
        <v>2</v>
      </c>
      <c r="C106" s="107">
        <v>8</v>
      </c>
      <c r="D106" s="107">
        <v>3</v>
      </c>
      <c r="E106" s="107" t="s">
        <v>186</v>
      </c>
      <c r="F106" s="107" t="s">
        <v>187</v>
      </c>
      <c r="G106" s="161">
        <v>45354</v>
      </c>
      <c r="H106" s="107">
        <f t="shared" si="2"/>
        <v>5</v>
      </c>
    </row>
    <row r="107" spans="1:8">
      <c r="A107" s="107">
        <v>1</v>
      </c>
      <c r="B107" s="107">
        <v>2</v>
      </c>
      <c r="C107" s="107">
        <v>8</v>
      </c>
      <c r="D107" s="107">
        <v>4</v>
      </c>
      <c r="E107" s="107" t="s">
        <v>186</v>
      </c>
      <c r="F107" s="107" t="s">
        <v>187</v>
      </c>
      <c r="G107" s="161">
        <v>45354</v>
      </c>
      <c r="H107" s="107">
        <f t="shared" si="2"/>
        <v>5</v>
      </c>
    </row>
    <row r="108" spans="1:8">
      <c r="A108" s="107">
        <v>1</v>
      </c>
      <c r="B108" s="107">
        <v>2</v>
      </c>
      <c r="C108" s="107">
        <v>9</v>
      </c>
      <c r="D108" s="107">
        <v>1</v>
      </c>
      <c r="E108" s="107" t="s">
        <v>198</v>
      </c>
      <c r="F108" s="107" t="s">
        <v>199</v>
      </c>
      <c r="G108" s="107"/>
      <c r="H108" s="107"/>
    </row>
    <row r="109" spans="1:8">
      <c r="A109" s="107">
        <v>1</v>
      </c>
      <c r="B109" s="107">
        <v>2</v>
      </c>
      <c r="C109" s="107">
        <v>9</v>
      </c>
      <c r="D109" s="107">
        <v>2</v>
      </c>
      <c r="E109" s="107" t="s">
        <v>198</v>
      </c>
      <c r="F109" s="107" t="s">
        <v>199</v>
      </c>
      <c r="G109" s="161">
        <v>45355</v>
      </c>
      <c r="H109" s="107">
        <f t="shared" si="2"/>
        <v>6</v>
      </c>
    </row>
    <row r="110" spans="1:8">
      <c r="A110" s="107">
        <v>1</v>
      </c>
      <c r="B110" s="107">
        <v>2</v>
      </c>
      <c r="C110" s="107">
        <v>9</v>
      </c>
      <c r="D110" s="107">
        <v>3</v>
      </c>
      <c r="E110" s="107" t="s">
        <v>198</v>
      </c>
      <c r="F110" s="107" t="s">
        <v>199</v>
      </c>
      <c r="G110" s="161">
        <v>45353</v>
      </c>
      <c r="H110" s="107">
        <f t="shared" si="2"/>
        <v>4</v>
      </c>
    </row>
    <row r="111" spans="1:8">
      <c r="A111" s="107">
        <v>1</v>
      </c>
      <c r="B111" s="107">
        <v>2</v>
      </c>
      <c r="C111" s="107">
        <v>9</v>
      </c>
      <c r="D111" s="107">
        <v>4</v>
      </c>
      <c r="E111" s="107" t="s">
        <v>198</v>
      </c>
      <c r="F111" s="107" t="s">
        <v>199</v>
      </c>
      <c r="G111" s="161">
        <v>45353</v>
      </c>
      <c r="H111" s="107">
        <f t="shared" si="2"/>
        <v>4</v>
      </c>
    </row>
    <row r="112" spans="1:8">
      <c r="A112" s="107">
        <v>1</v>
      </c>
      <c r="B112" s="107">
        <v>2</v>
      </c>
      <c r="C112" s="107">
        <v>10</v>
      </c>
      <c r="D112" s="107">
        <v>1</v>
      </c>
      <c r="E112" s="107" t="s">
        <v>168</v>
      </c>
      <c r="F112" s="107" t="s">
        <v>169</v>
      </c>
      <c r="G112" s="161">
        <v>45353</v>
      </c>
      <c r="H112" s="107">
        <f t="shared" si="2"/>
        <v>4</v>
      </c>
    </row>
    <row r="113" spans="1:8">
      <c r="A113" s="107">
        <v>1</v>
      </c>
      <c r="B113" s="107">
        <v>2</v>
      </c>
      <c r="C113" s="107">
        <v>10</v>
      </c>
      <c r="D113" s="107">
        <v>2</v>
      </c>
      <c r="E113" s="107" t="s">
        <v>168</v>
      </c>
      <c r="F113" s="107" t="s">
        <v>169</v>
      </c>
      <c r="G113" s="161">
        <v>45354</v>
      </c>
      <c r="H113" s="107">
        <f t="shared" si="2"/>
        <v>5</v>
      </c>
    </row>
    <row r="114" spans="1:8">
      <c r="A114" s="107">
        <v>1</v>
      </c>
      <c r="B114" s="107">
        <v>2</v>
      </c>
      <c r="C114" s="107">
        <v>10</v>
      </c>
      <c r="D114" s="107">
        <v>3</v>
      </c>
      <c r="E114" s="107" t="s">
        <v>168</v>
      </c>
      <c r="F114" s="107" t="s">
        <v>169</v>
      </c>
      <c r="G114" s="161">
        <v>45353</v>
      </c>
      <c r="H114" s="107">
        <f t="shared" si="2"/>
        <v>4</v>
      </c>
    </row>
    <row r="115" spans="1:8">
      <c r="A115" s="107">
        <v>1</v>
      </c>
      <c r="B115" s="107">
        <v>2</v>
      </c>
      <c r="C115" s="107">
        <v>10</v>
      </c>
      <c r="D115" s="107">
        <v>4</v>
      </c>
      <c r="E115" s="107" t="s">
        <v>168</v>
      </c>
      <c r="F115" s="107" t="s">
        <v>169</v>
      </c>
      <c r="G115" s="161">
        <v>45354</v>
      </c>
      <c r="H115" s="107">
        <f t="shared" si="2"/>
        <v>5</v>
      </c>
    </row>
    <row r="116" spans="1:8">
      <c r="A116" s="107">
        <v>1</v>
      </c>
      <c r="B116" s="107">
        <v>2</v>
      </c>
      <c r="C116" s="107">
        <v>11</v>
      </c>
      <c r="D116" s="107">
        <v>1</v>
      </c>
      <c r="E116" s="107" t="s">
        <v>200</v>
      </c>
      <c r="F116" s="107" t="s">
        <v>201</v>
      </c>
      <c r="G116" s="161">
        <v>45354</v>
      </c>
      <c r="H116" s="107">
        <f t="shared" si="2"/>
        <v>5</v>
      </c>
    </row>
    <row r="117" spans="1:8">
      <c r="A117" s="107">
        <v>1</v>
      </c>
      <c r="B117" s="107">
        <v>2</v>
      </c>
      <c r="C117" s="107">
        <v>11</v>
      </c>
      <c r="D117" s="107">
        <v>2</v>
      </c>
      <c r="E117" s="107" t="s">
        <v>200</v>
      </c>
      <c r="F117" s="107" t="s">
        <v>201</v>
      </c>
      <c r="G117" s="161">
        <v>45354</v>
      </c>
      <c r="H117" s="107">
        <f t="shared" si="2"/>
        <v>5</v>
      </c>
    </row>
    <row r="118" spans="1:8">
      <c r="A118" s="107">
        <v>1</v>
      </c>
      <c r="B118" s="107">
        <v>2</v>
      </c>
      <c r="C118" s="107">
        <v>11</v>
      </c>
      <c r="D118" s="107">
        <v>3</v>
      </c>
      <c r="E118" s="107" t="s">
        <v>200</v>
      </c>
      <c r="F118" s="107" t="s">
        <v>201</v>
      </c>
      <c r="G118" s="161">
        <v>45353</v>
      </c>
      <c r="H118" s="107">
        <f t="shared" si="2"/>
        <v>4</v>
      </c>
    </row>
    <row r="119" spans="1:8">
      <c r="A119" s="107">
        <v>1</v>
      </c>
      <c r="B119" s="107">
        <v>2</v>
      </c>
      <c r="C119" s="107">
        <v>11</v>
      </c>
      <c r="D119" s="107">
        <v>4</v>
      </c>
      <c r="E119" s="107" t="s">
        <v>200</v>
      </c>
      <c r="F119" s="107" t="s">
        <v>201</v>
      </c>
      <c r="G119" s="161">
        <v>45354</v>
      </c>
      <c r="H119" s="107">
        <f t="shared" si="2"/>
        <v>5</v>
      </c>
    </row>
    <row r="120" spans="1:8">
      <c r="A120" s="107">
        <v>1</v>
      </c>
      <c r="B120" s="107">
        <v>2</v>
      </c>
      <c r="C120" s="107">
        <v>12</v>
      </c>
      <c r="D120" s="107">
        <v>1</v>
      </c>
      <c r="E120" s="107" t="s">
        <v>178</v>
      </c>
      <c r="F120" s="107" t="s">
        <v>179</v>
      </c>
      <c r="G120" s="161">
        <v>45353</v>
      </c>
      <c r="H120" s="107">
        <f t="shared" si="2"/>
        <v>4</v>
      </c>
    </row>
    <row r="121" spans="1:8">
      <c r="A121" s="107">
        <v>1</v>
      </c>
      <c r="B121" s="107">
        <v>2</v>
      </c>
      <c r="C121" s="107">
        <v>12</v>
      </c>
      <c r="D121" s="107">
        <v>2</v>
      </c>
      <c r="E121" s="107" t="s">
        <v>178</v>
      </c>
      <c r="F121" s="107" t="s">
        <v>179</v>
      </c>
      <c r="G121" s="161">
        <v>45353</v>
      </c>
      <c r="H121" s="107">
        <f t="shared" si="2"/>
        <v>4</v>
      </c>
    </row>
    <row r="122" spans="1:8">
      <c r="A122" s="107">
        <v>1</v>
      </c>
      <c r="B122" s="107">
        <v>2</v>
      </c>
      <c r="C122" s="107">
        <v>12</v>
      </c>
      <c r="D122" s="107">
        <v>3</v>
      </c>
      <c r="E122" s="107" t="s">
        <v>178</v>
      </c>
      <c r="F122" s="107" t="s">
        <v>179</v>
      </c>
      <c r="G122" s="161">
        <v>45353</v>
      </c>
      <c r="H122" s="107">
        <f t="shared" si="2"/>
        <v>4</v>
      </c>
    </row>
    <row r="123" spans="1:8">
      <c r="A123" s="107">
        <v>1</v>
      </c>
      <c r="B123" s="107">
        <v>2</v>
      </c>
      <c r="C123" s="107">
        <v>12</v>
      </c>
      <c r="D123" s="107">
        <v>4</v>
      </c>
      <c r="E123" s="107" t="s">
        <v>178</v>
      </c>
      <c r="F123" s="107" t="s">
        <v>179</v>
      </c>
      <c r="G123" s="161">
        <v>45354</v>
      </c>
      <c r="H123" s="107">
        <f t="shared" si="2"/>
        <v>5</v>
      </c>
    </row>
    <row r="124" spans="1:8">
      <c r="A124" s="107">
        <v>1</v>
      </c>
      <c r="B124" s="107">
        <v>2</v>
      </c>
      <c r="C124" s="107">
        <v>13</v>
      </c>
      <c r="D124" s="107">
        <v>1</v>
      </c>
      <c r="E124" s="107" t="s">
        <v>170</v>
      </c>
      <c r="F124" s="107" t="s">
        <v>171</v>
      </c>
      <c r="G124" s="161">
        <v>45353</v>
      </c>
      <c r="H124" s="107">
        <f t="shared" si="2"/>
        <v>4</v>
      </c>
    </row>
    <row r="125" spans="1:8">
      <c r="A125" s="107">
        <v>1</v>
      </c>
      <c r="B125" s="107">
        <v>2</v>
      </c>
      <c r="C125" s="107">
        <v>13</v>
      </c>
      <c r="D125" s="107">
        <v>2</v>
      </c>
      <c r="E125" s="107" t="s">
        <v>170</v>
      </c>
      <c r="F125" s="107" t="s">
        <v>171</v>
      </c>
      <c r="G125" s="161">
        <v>45354</v>
      </c>
      <c r="H125" s="107">
        <f t="shared" si="2"/>
        <v>5</v>
      </c>
    </row>
    <row r="126" spans="1:8">
      <c r="A126" s="107">
        <v>1</v>
      </c>
      <c r="B126" s="107">
        <v>2</v>
      </c>
      <c r="C126" s="107">
        <v>13</v>
      </c>
      <c r="D126" s="107">
        <v>3</v>
      </c>
      <c r="E126" s="107" t="s">
        <v>170</v>
      </c>
      <c r="F126" s="107" t="s">
        <v>171</v>
      </c>
      <c r="G126" s="161">
        <v>45354</v>
      </c>
      <c r="H126" s="107">
        <f t="shared" si="2"/>
        <v>5</v>
      </c>
    </row>
    <row r="127" spans="1:8">
      <c r="A127" s="107">
        <v>1</v>
      </c>
      <c r="B127" s="107">
        <v>2</v>
      </c>
      <c r="C127" s="107">
        <v>13</v>
      </c>
      <c r="D127" s="107">
        <v>4</v>
      </c>
      <c r="E127" s="107" t="s">
        <v>170</v>
      </c>
      <c r="F127" s="107" t="s">
        <v>171</v>
      </c>
      <c r="G127" s="161">
        <v>45353</v>
      </c>
      <c r="H127" s="107">
        <f t="shared" si="2"/>
        <v>4</v>
      </c>
    </row>
    <row r="128" spans="1:8">
      <c r="A128" s="107">
        <v>1</v>
      </c>
      <c r="B128" s="107">
        <v>2</v>
      </c>
      <c r="C128" s="107">
        <v>14</v>
      </c>
      <c r="D128" s="107">
        <v>1</v>
      </c>
      <c r="E128" s="107" t="s">
        <v>174</v>
      </c>
      <c r="F128" s="107" t="s">
        <v>175</v>
      </c>
      <c r="G128" s="161">
        <v>45354</v>
      </c>
      <c r="H128" s="107">
        <f t="shared" si="2"/>
        <v>5</v>
      </c>
    </row>
    <row r="129" spans="1:8">
      <c r="A129" s="107">
        <v>1</v>
      </c>
      <c r="B129" s="107">
        <v>2</v>
      </c>
      <c r="C129" s="107">
        <v>14</v>
      </c>
      <c r="D129" s="107">
        <v>2</v>
      </c>
      <c r="E129" s="107" t="s">
        <v>174</v>
      </c>
      <c r="F129" s="107" t="s">
        <v>175</v>
      </c>
      <c r="G129" s="161">
        <v>45356</v>
      </c>
      <c r="H129" s="107">
        <f t="shared" si="2"/>
        <v>7</v>
      </c>
    </row>
    <row r="130" spans="1:8">
      <c r="A130" s="107">
        <v>1</v>
      </c>
      <c r="B130" s="107">
        <v>2</v>
      </c>
      <c r="C130" s="107">
        <v>14</v>
      </c>
      <c r="D130" s="107">
        <v>3</v>
      </c>
      <c r="E130" s="107" t="s">
        <v>174</v>
      </c>
      <c r="F130" s="107" t="s">
        <v>175</v>
      </c>
      <c r="G130" s="161">
        <v>45354</v>
      </c>
      <c r="H130" s="107">
        <f t="shared" si="2"/>
        <v>5</v>
      </c>
    </row>
    <row r="131" spans="1:8">
      <c r="A131" s="107">
        <v>1</v>
      </c>
      <c r="B131" s="107">
        <v>2</v>
      </c>
      <c r="C131" s="107">
        <v>14</v>
      </c>
      <c r="D131" s="107">
        <v>4</v>
      </c>
      <c r="E131" s="107" t="s">
        <v>174</v>
      </c>
      <c r="F131" s="107" t="s">
        <v>175</v>
      </c>
      <c r="G131" s="161">
        <v>45354</v>
      </c>
      <c r="H131" s="107">
        <f t="shared" si="2"/>
        <v>5</v>
      </c>
    </row>
    <row r="132" spans="1:8">
      <c r="A132" s="107">
        <v>1</v>
      </c>
      <c r="B132" s="107">
        <v>2</v>
      </c>
      <c r="C132" s="107">
        <v>15</v>
      </c>
      <c r="D132" s="107">
        <v>1</v>
      </c>
      <c r="E132" s="107" t="s">
        <v>172</v>
      </c>
      <c r="F132" s="107" t="s">
        <v>173</v>
      </c>
      <c r="G132" s="161">
        <v>45354</v>
      </c>
      <c r="H132" s="107">
        <f t="shared" si="2"/>
        <v>5</v>
      </c>
    </row>
    <row r="133" spans="1:8">
      <c r="A133" s="107">
        <v>1</v>
      </c>
      <c r="B133" s="107">
        <v>2</v>
      </c>
      <c r="C133" s="107">
        <v>15</v>
      </c>
      <c r="D133" s="107">
        <v>2</v>
      </c>
      <c r="E133" s="107" t="s">
        <v>172</v>
      </c>
      <c r="F133" s="107" t="s">
        <v>173</v>
      </c>
      <c r="G133" s="161">
        <v>45354</v>
      </c>
      <c r="H133" s="107">
        <f t="shared" ref="H133:H149" si="3">DATEDIF($H$2,G133,"d")</f>
        <v>5</v>
      </c>
    </row>
    <row r="134" spans="1:8">
      <c r="A134" s="107">
        <v>1</v>
      </c>
      <c r="B134" s="107">
        <v>2</v>
      </c>
      <c r="C134" s="107">
        <v>15</v>
      </c>
      <c r="D134" s="107">
        <v>3</v>
      </c>
      <c r="E134" s="107" t="s">
        <v>172</v>
      </c>
      <c r="F134" s="107" t="s">
        <v>173</v>
      </c>
      <c r="G134" s="161">
        <v>45354</v>
      </c>
      <c r="H134" s="107">
        <f t="shared" si="3"/>
        <v>5</v>
      </c>
    </row>
    <row r="135" spans="1:8">
      <c r="A135" s="107">
        <v>1</v>
      </c>
      <c r="B135" s="107">
        <v>2</v>
      </c>
      <c r="C135" s="107">
        <v>15</v>
      </c>
      <c r="D135" s="107">
        <v>4</v>
      </c>
      <c r="E135" s="107" t="s">
        <v>172</v>
      </c>
      <c r="F135" s="107" t="s">
        <v>173</v>
      </c>
      <c r="G135" s="161">
        <v>45354</v>
      </c>
      <c r="H135" s="107">
        <f t="shared" si="3"/>
        <v>5</v>
      </c>
    </row>
    <row r="136" spans="1:8">
      <c r="A136" s="107">
        <v>1</v>
      </c>
      <c r="B136" s="107">
        <v>2</v>
      </c>
      <c r="C136" s="107">
        <v>16</v>
      </c>
      <c r="D136" s="107">
        <v>1</v>
      </c>
      <c r="E136" s="107" t="s">
        <v>194</v>
      </c>
      <c r="F136" s="107" t="s">
        <v>195</v>
      </c>
      <c r="G136" s="161">
        <v>45355</v>
      </c>
      <c r="H136" s="107">
        <f t="shared" si="3"/>
        <v>6</v>
      </c>
    </row>
    <row r="137" spans="1:8">
      <c r="A137" s="107">
        <v>1</v>
      </c>
      <c r="B137" s="107">
        <v>2</v>
      </c>
      <c r="C137" s="107">
        <v>16</v>
      </c>
      <c r="D137" s="107">
        <v>2</v>
      </c>
      <c r="E137" s="107" t="s">
        <v>194</v>
      </c>
      <c r="F137" s="107" t="s">
        <v>195</v>
      </c>
      <c r="G137" s="161">
        <v>45355</v>
      </c>
      <c r="H137" s="107">
        <f t="shared" si="3"/>
        <v>6</v>
      </c>
    </row>
    <row r="138" spans="1:8">
      <c r="A138" s="107">
        <v>1</v>
      </c>
      <c r="B138" s="107">
        <v>2</v>
      </c>
      <c r="C138" s="107">
        <v>16</v>
      </c>
      <c r="D138" s="107">
        <v>3</v>
      </c>
      <c r="E138" s="107" t="s">
        <v>194</v>
      </c>
      <c r="F138" s="107" t="s">
        <v>195</v>
      </c>
      <c r="G138" s="161">
        <v>45355</v>
      </c>
      <c r="H138" s="107">
        <f t="shared" si="3"/>
        <v>6</v>
      </c>
    </row>
    <row r="139" spans="1:8">
      <c r="A139" s="107">
        <v>1</v>
      </c>
      <c r="B139" s="107">
        <v>2</v>
      </c>
      <c r="C139" s="107">
        <v>16</v>
      </c>
      <c r="D139" s="107">
        <v>4</v>
      </c>
      <c r="E139" s="107" t="s">
        <v>194</v>
      </c>
      <c r="F139" s="107" t="s">
        <v>195</v>
      </c>
      <c r="G139" s="161">
        <v>45355</v>
      </c>
      <c r="H139" s="107">
        <f t="shared" si="3"/>
        <v>6</v>
      </c>
    </row>
    <row r="140" spans="1:8">
      <c r="A140" s="107">
        <v>1</v>
      </c>
      <c r="B140" s="107">
        <v>2</v>
      </c>
      <c r="C140" s="107">
        <v>17</v>
      </c>
      <c r="D140" s="107">
        <v>1</v>
      </c>
      <c r="E140" s="107" t="s">
        <v>176</v>
      </c>
      <c r="F140" s="107" t="s">
        <v>177</v>
      </c>
      <c r="G140" s="161">
        <v>45355</v>
      </c>
      <c r="H140" s="107">
        <f t="shared" si="3"/>
        <v>6</v>
      </c>
    </row>
    <row r="141" spans="1:8">
      <c r="A141" s="107">
        <v>1</v>
      </c>
      <c r="B141" s="107">
        <v>2</v>
      </c>
      <c r="C141" s="107">
        <v>17</v>
      </c>
      <c r="D141" s="107">
        <v>2</v>
      </c>
      <c r="E141" s="107" t="s">
        <v>176</v>
      </c>
      <c r="F141" s="107" t="s">
        <v>177</v>
      </c>
      <c r="G141" s="161">
        <v>45354</v>
      </c>
      <c r="H141" s="107">
        <f t="shared" si="3"/>
        <v>5</v>
      </c>
    </row>
    <row r="142" spans="1:8">
      <c r="A142" s="107">
        <v>1</v>
      </c>
      <c r="B142" s="107">
        <v>2</v>
      </c>
      <c r="C142" s="107">
        <v>17</v>
      </c>
      <c r="D142" s="107">
        <v>3</v>
      </c>
      <c r="E142" s="107" t="s">
        <v>176</v>
      </c>
      <c r="F142" s="107" t="s">
        <v>177</v>
      </c>
      <c r="G142" s="161">
        <v>45355</v>
      </c>
      <c r="H142" s="107">
        <f t="shared" si="3"/>
        <v>6</v>
      </c>
    </row>
    <row r="143" spans="1:8">
      <c r="A143" s="107">
        <v>1</v>
      </c>
      <c r="B143" s="107">
        <v>2</v>
      </c>
      <c r="C143" s="107">
        <v>17</v>
      </c>
      <c r="D143" s="107">
        <v>4</v>
      </c>
      <c r="E143" s="107" t="s">
        <v>176</v>
      </c>
      <c r="F143" s="107" t="s">
        <v>177</v>
      </c>
      <c r="G143" s="161">
        <v>45357</v>
      </c>
      <c r="H143" s="107">
        <f t="shared" si="3"/>
        <v>8</v>
      </c>
    </row>
    <row r="144" spans="1:8">
      <c r="A144" s="107">
        <v>1</v>
      </c>
      <c r="B144" s="107">
        <v>2</v>
      </c>
      <c r="C144" s="107">
        <v>18</v>
      </c>
      <c r="D144" s="107">
        <v>1</v>
      </c>
      <c r="E144" s="107" t="s">
        <v>182</v>
      </c>
      <c r="F144" s="107" t="s">
        <v>183</v>
      </c>
      <c r="G144" s="161">
        <v>45353</v>
      </c>
      <c r="H144" s="107">
        <f t="shared" si="3"/>
        <v>4</v>
      </c>
    </row>
    <row r="145" spans="1:8">
      <c r="A145" s="107">
        <v>1</v>
      </c>
      <c r="B145" s="107">
        <v>2</v>
      </c>
      <c r="C145" s="107">
        <v>18</v>
      </c>
      <c r="D145" s="107">
        <v>2</v>
      </c>
      <c r="E145" s="107" t="s">
        <v>182</v>
      </c>
      <c r="F145" s="107" t="s">
        <v>183</v>
      </c>
      <c r="G145" s="161">
        <v>45354</v>
      </c>
      <c r="H145" s="107">
        <f t="shared" si="3"/>
        <v>5</v>
      </c>
    </row>
    <row r="146" spans="1:8">
      <c r="A146" s="107">
        <v>1</v>
      </c>
      <c r="B146" s="107">
        <v>2</v>
      </c>
      <c r="C146" s="107">
        <v>18</v>
      </c>
      <c r="D146" s="107">
        <v>3</v>
      </c>
      <c r="E146" s="107" t="s">
        <v>182</v>
      </c>
      <c r="F146" s="107" t="s">
        <v>183</v>
      </c>
      <c r="G146" s="161">
        <v>45354</v>
      </c>
      <c r="H146" s="107">
        <f t="shared" si="3"/>
        <v>5</v>
      </c>
    </row>
    <row r="147" spans="1:8">
      <c r="A147" s="107">
        <v>1</v>
      </c>
      <c r="B147" s="107">
        <v>2</v>
      </c>
      <c r="C147" s="107">
        <v>18</v>
      </c>
      <c r="D147" s="107">
        <v>4</v>
      </c>
      <c r="E147" s="107" t="s">
        <v>182</v>
      </c>
      <c r="F147" s="107" t="s">
        <v>183</v>
      </c>
      <c r="G147" s="161">
        <v>45353</v>
      </c>
      <c r="H147" s="107">
        <f t="shared" si="3"/>
        <v>4</v>
      </c>
    </row>
    <row r="148" spans="1:8">
      <c r="A148" s="107">
        <v>1</v>
      </c>
      <c r="B148" s="107">
        <v>3</v>
      </c>
      <c r="C148" s="107">
        <v>1</v>
      </c>
      <c r="D148" s="107">
        <v>1</v>
      </c>
      <c r="E148" s="107" t="s">
        <v>228</v>
      </c>
      <c r="F148" s="107" t="s">
        <v>229</v>
      </c>
      <c r="G148" s="107"/>
      <c r="H148" s="107"/>
    </row>
    <row r="149" spans="1:8">
      <c r="A149" s="107">
        <v>1</v>
      </c>
      <c r="B149" s="107">
        <v>3</v>
      </c>
      <c r="C149" s="107">
        <v>1</v>
      </c>
      <c r="D149" s="107">
        <v>2</v>
      </c>
      <c r="E149" s="107" t="s">
        <v>228</v>
      </c>
      <c r="F149" s="107" t="s">
        <v>229</v>
      </c>
      <c r="G149" s="161">
        <v>45356</v>
      </c>
      <c r="H149" s="107">
        <f t="shared" si="3"/>
        <v>7</v>
      </c>
    </row>
    <row r="150" spans="1:8">
      <c r="A150" s="107">
        <v>1</v>
      </c>
      <c r="B150" s="107">
        <v>3</v>
      </c>
      <c r="C150" s="107">
        <v>1</v>
      </c>
      <c r="D150" s="107">
        <v>3</v>
      </c>
      <c r="E150" s="107" t="s">
        <v>228</v>
      </c>
      <c r="F150" s="107" t="s">
        <v>229</v>
      </c>
      <c r="G150" s="107"/>
      <c r="H150" s="107"/>
    </row>
    <row r="151" spans="1:8">
      <c r="A151" s="107">
        <v>1</v>
      </c>
      <c r="B151" s="107">
        <v>3</v>
      </c>
      <c r="C151" s="107">
        <v>1</v>
      </c>
      <c r="D151" s="107">
        <v>4</v>
      </c>
      <c r="E151" s="107" t="s">
        <v>228</v>
      </c>
      <c r="F151" s="107" t="s">
        <v>229</v>
      </c>
      <c r="G151" s="161">
        <v>45359</v>
      </c>
      <c r="H151" s="107">
        <f t="shared" ref="H151:H156" si="4">DATEDIF($H$2,G151,"d")</f>
        <v>10</v>
      </c>
    </row>
    <row r="152" spans="1:8">
      <c r="A152" s="107">
        <v>1</v>
      </c>
      <c r="B152" s="107">
        <v>3</v>
      </c>
      <c r="C152" s="107">
        <v>2</v>
      </c>
      <c r="D152" s="107">
        <v>1</v>
      </c>
      <c r="E152" s="107" t="s">
        <v>220</v>
      </c>
      <c r="F152" s="107" t="s">
        <v>221</v>
      </c>
      <c r="G152" s="161">
        <v>45354</v>
      </c>
      <c r="H152" s="107">
        <f t="shared" si="4"/>
        <v>5</v>
      </c>
    </row>
    <row r="153" spans="1:8">
      <c r="A153" s="107">
        <v>1</v>
      </c>
      <c r="B153" s="107">
        <v>3</v>
      </c>
      <c r="C153" s="107">
        <v>2</v>
      </c>
      <c r="D153" s="107">
        <v>2</v>
      </c>
      <c r="E153" s="107" t="s">
        <v>220</v>
      </c>
      <c r="F153" s="107" t="s">
        <v>221</v>
      </c>
      <c r="G153" s="161">
        <v>45353</v>
      </c>
      <c r="H153" s="107">
        <f t="shared" si="4"/>
        <v>4</v>
      </c>
    </row>
    <row r="154" spans="1:8">
      <c r="A154" s="107">
        <v>1</v>
      </c>
      <c r="B154" s="107">
        <v>3</v>
      </c>
      <c r="C154" s="107">
        <v>2</v>
      </c>
      <c r="D154" s="107">
        <v>3</v>
      </c>
      <c r="E154" s="107" t="s">
        <v>220</v>
      </c>
      <c r="F154" s="107" t="s">
        <v>221</v>
      </c>
      <c r="G154" s="161">
        <v>45353</v>
      </c>
      <c r="H154" s="107">
        <f t="shared" si="4"/>
        <v>4</v>
      </c>
    </row>
    <row r="155" spans="1:8">
      <c r="A155" s="107">
        <v>1</v>
      </c>
      <c r="B155" s="107">
        <v>3</v>
      </c>
      <c r="C155" s="107">
        <v>2</v>
      </c>
      <c r="D155" s="107">
        <v>4</v>
      </c>
      <c r="E155" s="107" t="s">
        <v>220</v>
      </c>
      <c r="F155" s="107" t="s">
        <v>221</v>
      </c>
      <c r="G155" s="161">
        <v>45354</v>
      </c>
      <c r="H155" s="107">
        <f t="shared" si="4"/>
        <v>5</v>
      </c>
    </row>
    <row r="156" spans="1:8">
      <c r="A156" s="107">
        <v>1</v>
      </c>
      <c r="B156" s="107">
        <v>3</v>
      </c>
      <c r="C156" s="107">
        <v>3</v>
      </c>
      <c r="D156" s="107">
        <v>1</v>
      </c>
      <c r="E156" s="107" t="s">
        <v>234</v>
      </c>
      <c r="F156" s="107" t="s">
        <v>235</v>
      </c>
      <c r="G156" s="161">
        <v>45354</v>
      </c>
      <c r="H156" s="107">
        <f t="shared" si="4"/>
        <v>5</v>
      </c>
    </row>
    <row r="157" spans="1:8">
      <c r="A157" s="107">
        <v>1</v>
      </c>
      <c r="B157" s="107">
        <v>3</v>
      </c>
      <c r="C157" s="107">
        <v>3</v>
      </c>
      <c r="D157" s="107">
        <v>2</v>
      </c>
      <c r="E157" s="107" t="s">
        <v>234</v>
      </c>
      <c r="F157" s="107" t="s">
        <v>235</v>
      </c>
      <c r="G157" s="107"/>
      <c r="H157" s="107"/>
    </row>
    <row r="158" spans="1:8">
      <c r="A158" s="107">
        <v>1</v>
      </c>
      <c r="B158" s="107">
        <v>3</v>
      </c>
      <c r="C158" s="107">
        <v>3</v>
      </c>
      <c r="D158" s="107">
        <v>3</v>
      </c>
      <c r="E158" s="107" t="s">
        <v>234</v>
      </c>
      <c r="F158" s="107" t="s">
        <v>235</v>
      </c>
      <c r="G158" s="107"/>
      <c r="H158" s="107"/>
    </row>
    <row r="159" spans="1:8">
      <c r="A159" s="107">
        <v>1</v>
      </c>
      <c r="B159" s="107">
        <v>3</v>
      </c>
      <c r="C159" s="107">
        <v>3</v>
      </c>
      <c r="D159" s="107">
        <v>4</v>
      </c>
      <c r="E159" s="107" t="s">
        <v>234</v>
      </c>
      <c r="F159" s="107" t="s">
        <v>235</v>
      </c>
      <c r="G159" s="161">
        <v>45353</v>
      </c>
      <c r="H159" s="107">
        <f t="shared" ref="H159:H166" si="5">DATEDIF($H$2,G159,"d")</f>
        <v>4</v>
      </c>
    </row>
    <row r="160" spans="1:8">
      <c r="A160" s="107">
        <v>1</v>
      </c>
      <c r="B160" s="107">
        <v>3</v>
      </c>
      <c r="C160" s="107">
        <v>4</v>
      </c>
      <c r="D160" s="107">
        <v>1</v>
      </c>
      <c r="E160" s="107" t="s">
        <v>204</v>
      </c>
      <c r="F160" s="107" t="s">
        <v>205</v>
      </c>
      <c r="G160" s="161">
        <v>45353</v>
      </c>
      <c r="H160" s="107">
        <f t="shared" si="5"/>
        <v>4</v>
      </c>
    </row>
    <row r="161" spans="1:8">
      <c r="A161" s="107">
        <v>1</v>
      </c>
      <c r="B161" s="107">
        <v>3</v>
      </c>
      <c r="C161" s="107">
        <v>4</v>
      </c>
      <c r="D161" s="107">
        <v>2</v>
      </c>
      <c r="E161" s="107" t="s">
        <v>204</v>
      </c>
      <c r="F161" s="107" t="s">
        <v>205</v>
      </c>
      <c r="G161" s="161">
        <v>45354</v>
      </c>
      <c r="H161" s="107">
        <f t="shared" si="5"/>
        <v>5</v>
      </c>
    </row>
    <row r="162" spans="1:8">
      <c r="A162" s="107">
        <v>1</v>
      </c>
      <c r="B162" s="107">
        <v>3</v>
      </c>
      <c r="C162" s="107">
        <v>4</v>
      </c>
      <c r="D162" s="107">
        <v>3</v>
      </c>
      <c r="E162" s="107" t="s">
        <v>204</v>
      </c>
      <c r="F162" s="107" t="s">
        <v>205</v>
      </c>
      <c r="G162" s="161">
        <v>45353</v>
      </c>
      <c r="H162" s="107">
        <f t="shared" si="5"/>
        <v>4</v>
      </c>
    </row>
    <row r="163" spans="1:8">
      <c r="A163" s="107">
        <v>1</v>
      </c>
      <c r="B163" s="107">
        <v>3</v>
      </c>
      <c r="C163" s="107">
        <v>4</v>
      </c>
      <c r="D163" s="107">
        <v>4</v>
      </c>
      <c r="E163" s="107" t="s">
        <v>204</v>
      </c>
      <c r="F163" s="107" t="s">
        <v>205</v>
      </c>
      <c r="G163" s="161">
        <v>45353</v>
      </c>
      <c r="H163" s="107">
        <f t="shared" si="5"/>
        <v>4</v>
      </c>
    </row>
    <row r="164" spans="1:8">
      <c r="A164" s="107">
        <v>1</v>
      </c>
      <c r="B164" s="107">
        <v>3</v>
      </c>
      <c r="C164" s="107">
        <v>5</v>
      </c>
      <c r="D164" s="107">
        <v>1</v>
      </c>
      <c r="E164" s="107" t="s">
        <v>236</v>
      </c>
      <c r="F164" s="107" t="s">
        <v>237</v>
      </c>
      <c r="G164" s="161">
        <v>45353</v>
      </c>
      <c r="H164" s="107">
        <f t="shared" si="5"/>
        <v>4</v>
      </c>
    </row>
    <row r="165" spans="1:8">
      <c r="A165" s="107">
        <v>1</v>
      </c>
      <c r="B165" s="107">
        <v>3</v>
      </c>
      <c r="C165" s="107">
        <v>5</v>
      </c>
      <c r="D165" s="107">
        <v>2</v>
      </c>
      <c r="E165" s="107" t="s">
        <v>236</v>
      </c>
      <c r="F165" s="107" t="s">
        <v>237</v>
      </c>
      <c r="G165" s="161">
        <v>45353</v>
      </c>
      <c r="H165" s="107">
        <f t="shared" si="5"/>
        <v>4</v>
      </c>
    </row>
    <row r="166" spans="1:8">
      <c r="A166" s="107">
        <v>1</v>
      </c>
      <c r="B166" s="107">
        <v>3</v>
      </c>
      <c r="C166" s="107">
        <v>5</v>
      </c>
      <c r="D166" s="107">
        <v>3</v>
      </c>
      <c r="E166" s="107" t="s">
        <v>236</v>
      </c>
      <c r="F166" s="107" t="s">
        <v>237</v>
      </c>
      <c r="G166" s="161">
        <v>45353</v>
      </c>
      <c r="H166" s="107">
        <f t="shared" si="5"/>
        <v>4</v>
      </c>
    </row>
    <row r="167" spans="1:8">
      <c r="A167" s="107">
        <v>1</v>
      </c>
      <c r="B167" s="107">
        <v>3</v>
      </c>
      <c r="C167" s="107">
        <v>5</v>
      </c>
      <c r="D167" s="107">
        <v>4</v>
      </c>
      <c r="E167" s="107" t="s">
        <v>236</v>
      </c>
      <c r="F167" s="107" t="s">
        <v>237</v>
      </c>
      <c r="G167" s="107"/>
      <c r="H167" s="107"/>
    </row>
    <row r="168" spans="1:8">
      <c r="A168" s="107">
        <v>1</v>
      </c>
      <c r="B168" s="107">
        <v>3</v>
      </c>
      <c r="C168" s="107">
        <v>6</v>
      </c>
      <c r="D168" s="107">
        <v>1</v>
      </c>
      <c r="E168" s="107" t="s">
        <v>216</v>
      </c>
      <c r="F168" s="107" t="s">
        <v>217</v>
      </c>
      <c r="G168" s="161">
        <v>45354</v>
      </c>
      <c r="H168" s="107">
        <f>DATEDIF($H$2,G168,"d")</f>
        <v>5</v>
      </c>
    </row>
    <row r="169" spans="1:8">
      <c r="A169" s="107">
        <v>1</v>
      </c>
      <c r="B169" s="107">
        <v>3</v>
      </c>
      <c r="C169" s="107">
        <v>6</v>
      </c>
      <c r="D169" s="107">
        <v>2</v>
      </c>
      <c r="E169" s="107" t="s">
        <v>216</v>
      </c>
      <c r="F169" s="107" t="s">
        <v>217</v>
      </c>
      <c r="G169" s="161">
        <v>45354</v>
      </c>
      <c r="H169" s="107">
        <f>DATEDIF($H$2,G169,"d")</f>
        <v>5</v>
      </c>
    </row>
    <row r="170" spans="1:8">
      <c r="A170" s="107">
        <v>1</v>
      </c>
      <c r="B170" s="107">
        <v>3</v>
      </c>
      <c r="C170" s="107">
        <v>6</v>
      </c>
      <c r="D170" s="107">
        <v>3</v>
      </c>
      <c r="E170" s="107" t="s">
        <v>216</v>
      </c>
      <c r="F170" s="107" t="s">
        <v>217</v>
      </c>
      <c r="G170" s="161">
        <v>45354</v>
      </c>
      <c r="H170" s="107">
        <f>DATEDIF($H$2,G170,"d")</f>
        <v>5</v>
      </c>
    </row>
    <row r="171" spans="1:8">
      <c r="A171" s="107">
        <v>1</v>
      </c>
      <c r="B171" s="107">
        <v>3</v>
      </c>
      <c r="C171" s="107">
        <v>6</v>
      </c>
      <c r="D171" s="107">
        <v>4</v>
      </c>
      <c r="E171" s="107" t="s">
        <v>216</v>
      </c>
      <c r="F171" s="107" t="s">
        <v>217</v>
      </c>
      <c r="G171" s="161">
        <v>45354</v>
      </c>
      <c r="H171" s="107">
        <f>DATEDIF($H$2,G171,"d")</f>
        <v>5</v>
      </c>
    </row>
    <row r="172" spans="1:8">
      <c r="A172" s="107">
        <v>1</v>
      </c>
      <c r="B172" s="107">
        <v>3</v>
      </c>
      <c r="C172" s="107">
        <v>7</v>
      </c>
      <c r="D172" s="107">
        <v>1</v>
      </c>
      <c r="E172" s="107" t="s">
        <v>224</v>
      </c>
      <c r="F172" s="107" t="s">
        <v>225</v>
      </c>
      <c r="G172" s="107"/>
      <c r="H172" s="107"/>
    </row>
    <row r="173" spans="1:8">
      <c r="A173" s="107">
        <v>1</v>
      </c>
      <c r="B173" s="107">
        <v>3</v>
      </c>
      <c r="C173" s="107">
        <v>7</v>
      </c>
      <c r="D173" s="107">
        <v>2</v>
      </c>
      <c r="E173" s="107" t="s">
        <v>224</v>
      </c>
      <c r="F173" s="107" t="s">
        <v>225</v>
      </c>
      <c r="G173" s="107"/>
      <c r="H173" s="107"/>
    </row>
    <row r="174" spans="1:8">
      <c r="A174" s="107">
        <v>1</v>
      </c>
      <c r="B174" s="107">
        <v>3</v>
      </c>
      <c r="C174" s="107">
        <v>7</v>
      </c>
      <c r="D174" s="107">
        <v>3</v>
      </c>
      <c r="E174" s="107" t="s">
        <v>224</v>
      </c>
      <c r="F174" s="107" t="s">
        <v>225</v>
      </c>
      <c r="G174" s="161">
        <v>45359</v>
      </c>
      <c r="H174" s="107">
        <f t="shared" ref="H174:H179" si="6">DATEDIF($H$2,G174,"d")</f>
        <v>10</v>
      </c>
    </row>
    <row r="175" spans="1:8">
      <c r="A175" s="107">
        <v>1</v>
      </c>
      <c r="B175" s="107">
        <v>3</v>
      </c>
      <c r="C175" s="107">
        <v>7</v>
      </c>
      <c r="D175" s="107">
        <v>4</v>
      </c>
      <c r="E175" s="107" t="s">
        <v>224</v>
      </c>
      <c r="F175" s="107" t="s">
        <v>225</v>
      </c>
      <c r="G175" s="161">
        <v>45354</v>
      </c>
      <c r="H175" s="107">
        <f t="shared" si="6"/>
        <v>5</v>
      </c>
    </row>
    <row r="176" spans="1:8">
      <c r="A176" s="107">
        <v>1</v>
      </c>
      <c r="B176" s="107">
        <v>3</v>
      </c>
      <c r="C176" s="107">
        <v>8</v>
      </c>
      <c r="D176" s="107">
        <v>1</v>
      </c>
      <c r="E176" s="107" t="s">
        <v>226</v>
      </c>
      <c r="F176" s="107" t="s">
        <v>227</v>
      </c>
      <c r="G176" s="161">
        <v>45354</v>
      </c>
      <c r="H176" s="107">
        <f t="shared" si="6"/>
        <v>5</v>
      </c>
    </row>
    <row r="177" spans="1:8">
      <c r="A177" s="107">
        <v>1</v>
      </c>
      <c r="B177" s="107">
        <v>3</v>
      </c>
      <c r="C177" s="107">
        <v>8</v>
      </c>
      <c r="D177" s="107">
        <v>2</v>
      </c>
      <c r="E177" s="107" t="s">
        <v>226</v>
      </c>
      <c r="F177" s="107" t="s">
        <v>227</v>
      </c>
      <c r="G177" s="161">
        <v>45360</v>
      </c>
      <c r="H177" s="107">
        <f t="shared" si="6"/>
        <v>11</v>
      </c>
    </row>
    <row r="178" spans="1:8">
      <c r="A178" s="107">
        <v>1</v>
      </c>
      <c r="B178" s="107">
        <v>3</v>
      </c>
      <c r="C178" s="107">
        <v>8</v>
      </c>
      <c r="D178" s="107">
        <v>3</v>
      </c>
      <c r="E178" s="107" t="s">
        <v>226</v>
      </c>
      <c r="F178" s="107" t="s">
        <v>227</v>
      </c>
      <c r="G178" s="161">
        <v>45355</v>
      </c>
      <c r="H178" s="107">
        <f t="shared" si="6"/>
        <v>6</v>
      </c>
    </row>
    <row r="179" spans="1:8">
      <c r="A179" s="107">
        <v>1</v>
      </c>
      <c r="B179" s="107">
        <v>3</v>
      </c>
      <c r="C179" s="107">
        <v>8</v>
      </c>
      <c r="D179" s="107">
        <v>4</v>
      </c>
      <c r="E179" s="107" t="s">
        <v>226</v>
      </c>
      <c r="F179" s="107" t="s">
        <v>227</v>
      </c>
      <c r="G179" s="161">
        <v>45354</v>
      </c>
      <c r="H179" s="107">
        <f t="shared" si="6"/>
        <v>5</v>
      </c>
    </row>
    <row r="180" spans="1:8">
      <c r="A180" s="107">
        <v>1</v>
      </c>
      <c r="B180" s="107">
        <v>3</v>
      </c>
      <c r="C180" s="107">
        <v>9</v>
      </c>
      <c r="D180" s="107">
        <v>1</v>
      </c>
      <c r="E180" s="107" t="s">
        <v>208</v>
      </c>
      <c r="F180" s="107" t="s">
        <v>209</v>
      </c>
      <c r="G180" s="107"/>
      <c r="H180" s="107"/>
    </row>
    <row r="181" spans="1:8">
      <c r="A181" s="107">
        <v>1</v>
      </c>
      <c r="B181" s="107">
        <v>3</v>
      </c>
      <c r="C181" s="107">
        <v>9</v>
      </c>
      <c r="D181" s="107">
        <v>2</v>
      </c>
      <c r="E181" s="107" t="s">
        <v>208</v>
      </c>
      <c r="F181" s="107" t="s">
        <v>209</v>
      </c>
      <c r="G181" s="107"/>
      <c r="H181" s="107"/>
    </row>
    <row r="182" spans="1:8">
      <c r="A182" s="107">
        <v>1</v>
      </c>
      <c r="B182" s="107">
        <v>3</v>
      </c>
      <c r="C182" s="107">
        <v>9</v>
      </c>
      <c r="D182" s="107">
        <v>3</v>
      </c>
      <c r="E182" s="107" t="s">
        <v>208</v>
      </c>
      <c r="F182" s="107" t="s">
        <v>209</v>
      </c>
      <c r="G182" s="161">
        <v>45363</v>
      </c>
      <c r="H182" s="107">
        <f>DATEDIF($H$2,G182,"d")</f>
        <v>14</v>
      </c>
    </row>
    <row r="183" spans="1:8">
      <c r="A183" s="107">
        <v>1</v>
      </c>
      <c r="B183" s="107">
        <v>3</v>
      </c>
      <c r="C183" s="107">
        <v>9</v>
      </c>
      <c r="D183" s="107">
        <v>4</v>
      </c>
      <c r="E183" s="107" t="s">
        <v>208</v>
      </c>
      <c r="F183" s="107" t="s">
        <v>209</v>
      </c>
      <c r="G183" s="107"/>
      <c r="H183" s="107"/>
    </row>
    <row r="184" spans="1:8">
      <c r="A184" s="107">
        <v>1</v>
      </c>
      <c r="B184" s="107">
        <v>3</v>
      </c>
      <c r="C184" s="107">
        <v>10</v>
      </c>
      <c r="D184" s="107">
        <v>1</v>
      </c>
      <c r="E184" s="107" t="s">
        <v>232</v>
      </c>
      <c r="F184" s="107" t="s">
        <v>233</v>
      </c>
      <c r="G184" s="161">
        <v>45353</v>
      </c>
      <c r="H184" s="107">
        <f t="shared" ref="H184:H195" si="7">DATEDIF($H$2,G184,"d")</f>
        <v>4</v>
      </c>
    </row>
    <row r="185" spans="1:8">
      <c r="A185" s="107">
        <v>1</v>
      </c>
      <c r="B185" s="107">
        <v>3</v>
      </c>
      <c r="C185" s="107">
        <v>10</v>
      </c>
      <c r="D185" s="107">
        <v>2</v>
      </c>
      <c r="E185" s="107" t="s">
        <v>232</v>
      </c>
      <c r="F185" s="107" t="s">
        <v>233</v>
      </c>
      <c r="G185" s="161">
        <v>45353</v>
      </c>
      <c r="H185" s="107">
        <f t="shared" si="7"/>
        <v>4</v>
      </c>
    </row>
    <row r="186" spans="1:8">
      <c r="A186" s="107">
        <v>1</v>
      </c>
      <c r="B186" s="107">
        <v>3</v>
      </c>
      <c r="C186" s="107">
        <v>10</v>
      </c>
      <c r="D186" s="107">
        <v>3</v>
      </c>
      <c r="E186" s="107" t="s">
        <v>232</v>
      </c>
      <c r="F186" s="107" t="s">
        <v>233</v>
      </c>
      <c r="G186" s="161">
        <v>45353</v>
      </c>
      <c r="H186" s="107">
        <f t="shared" si="7"/>
        <v>4</v>
      </c>
    </row>
    <row r="187" spans="1:8">
      <c r="A187" s="107">
        <v>1</v>
      </c>
      <c r="B187" s="107">
        <v>3</v>
      </c>
      <c r="C187" s="107">
        <v>10</v>
      </c>
      <c r="D187" s="107">
        <v>4</v>
      </c>
      <c r="E187" s="107" t="s">
        <v>232</v>
      </c>
      <c r="F187" s="107" t="s">
        <v>233</v>
      </c>
      <c r="G187" s="161">
        <v>45353</v>
      </c>
      <c r="H187" s="107">
        <f t="shared" si="7"/>
        <v>4</v>
      </c>
    </row>
    <row r="188" spans="1:8">
      <c r="A188" s="107">
        <v>1</v>
      </c>
      <c r="B188" s="107">
        <v>3</v>
      </c>
      <c r="C188" s="107">
        <v>11</v>
      </c>
      <c r="D188" s="107">
        <v>1</v>
      </c>
      <c r="E188" s="107" t="s">
        <v>214</v>
      </c>
      <c r="F188" s="107" t="s">
        <v>215</v>
      </c>
      <c r="G188" s="161">
        <v>45356</v>
      </c>
      <c r="H188" s="107">
        <f t="shared" si="7"/>
        <v>7</v>
      </c>
    </row>
    <row r="189" spans="1:8">
      <c r="A189" s="107">
        <v>1</v>
      </c>
      <c r="B189" s="107">
        <v>3</v>
      </c>
      <c r="C189" s="107">
        <v>11</v>
      </c>
      <c r="D189" s="107">
        <v>2</v>
      </c>
      <c r="E189" s="107" t="s">
        <v>214</v>
      </c>
      <c r="F189" s="107" t="s">
        <v>215</v>
      </c>
      <c r="G189" s="161">
        <v>45353</v>
      </c>
      <c r="H189" s="107">
        <f t="shared" si="7"/>
        <v>4</v>
      </c>
    </row>
    <row r="190" spans="1:8">
      <c r="A190" s="107">
        <v>1</v>
      </c>
      <c r="B190" s="107">
        <v>3</v>
      </c>
      <c r="C190" s="107">
        <v>11</v>
      </c>
      <c r="D190" s="107">
        <v>3</v>
      </c>
      <c r="E190" s="107" t="s">
        <v>214</v>
      </c>
      <c r="F190" s="107" t="s">
        <v>215</v>
      </c>
      <c r="G190" s="161">
        <v>45354</v>
      </c>
      <c r="H190" s="107">
        <f t="shared" si="7"/>
        <v>5</v>
      </c>
    </row>
    <row r="191" spans="1:8">
      <c r="A191" s="107">
        <v>1</v>
      </c>
      <c r="B191" s="107">
        <v>3</v>
      </c>
      <c r="C191" s="107">
        <v>11</v>
      </c>
      <c r="D191" s="107">
        <v>4</v>
      </c>
      <c r="E191" s="107" t="s">
        <v>214</v>
      </c>
      <c r="F191" s="107" t="s">
        <v>215</v>
      </c>
      <c r="G191" s="161">
        <v>45354</v>
      </c>
      <c r="H191" s="107">
        <f t="shared" si="7"/>
        <v>5</v>
      </c>
    </row>
    <row r="192" spans="1:8">
      <c r="A192" s="107">
        <v>1</v>
      </c>
      <c r="B192" s="107">
        <v>3</v>
      </c>
      <c r="C192" s="107">
        <v>12</v>
      </c>
      <c r="D192" s="107">
        <v>1</v>
      </c>
      <c r="E192" s="107" t="s">
        <v>206</v>
      </c>
      <c r="F192" s="107" t="s">
        <v>207</v>
      </c>
      <c r="G192" s="161">
        <v>45355</v>
      </c>
      <c r="H192" s="107">
        <f t="shared" si="7"/>
        <v>6</v>
      </c>
    </row>
    <row r="193" spans="1:8">
      <c r="A193" s="107">
        <v>1</v>
      </c>
      <c r="B193" s="107">
        <v>3</v>
      </c>
      <c r="C193" s="107">
        <v>12</v>
      </c>
      <c r="D193" s="107">
        <v>2</v>
      </c>
      <c r="E193" s="107" t="s">
        <v>206</v>
      </c>
      <c r="F193" s="107" t="s">
        <v>207</v>
      </c>
      <c r="G193" s="161">
        <v>45356</v>
      </c>
      <c r="H193" s="107">
        <f t="shared" si="7"/>
        <v>7</v>
      </c>
    </row>
    <row r="194" spans="1:8">
      <c r="A194" s="107">
        <v>1</v>
      </c>
      <c r="B194" s="107">
        <v>3</v>
      </c>
      <c r="C194" s="107">
        <v>12</v>
      </c>
      <c r="D194" s="107">
        <v>3</v>
      </c>
      <c r="E194" s="107" t="s">
        <v>206</v>
      </c>
      <c r="F194" s="107" t="s">
        <v>207</v>
      </c>
      <c r="G194" s="161">
        <v>45357</v>
      </c>
      <c r="H194" s="107">
        <f t="shared" si="7"/>
        <v>8</v>
      </c>
    </row>
    <row r="195" spans="1:8">
      <c r="A195" s="107">
        <v>1</v>
      </c>
      <c r="B195" s="107">
        <v>3</v>
      </c>
      <c r="C195" s="107">
        <v>12</v>
      </c>
      <c r="D195" s="107">
        <v>4</v>
      </c>
      <c r="E195" s="107" t="s">
        <v>206</v>
      </c>
      <c r="F195" s="107" t="s">
        <v>207</v>
      </c>
      <c r="G195" s="161">
        <v>45356</v>
      </c>
      <c r="H195" s="107">
        <f t="shared" si="7"/>
        <v>7</v>
      </c>
    </row>
    <row r="196" spans="1:8">
      <c r="A196" s="107">
        <v>1</v>
      </c>
      <c r="B196" s="107">
        <v>3</v>
      </c>
      <c r="C196" s="107">
        <v>13</v>
      </c>
      <c r="D196" s="107">
        <v>1</v>
      </c>
      <c r="E196" s="107" t="s">
        <v>210</v>
      </c>
      <c r="F196" s="107" t="s">
        <v>211</v>
      </c>
      <c r="H196" s="107"/>
    </row>
    <row r="197" spans="1:8">
      <c r="A197" s="107">
        <v>1</v>
      </c>
      <c r="B197" s="107">
        <v>3</v>
      </c>
      <c r="C197" s="107">
        <v>13</v>
      </c>
      <c r="D197" s="107">
        <v>2</v>
      </c>
      <c r="E197" s="107" t="s">
        <v>210</v>
      </c>
      <c r="F197" s="107" t="s">
        <v>211</v>
      </c>
      <c r="G197" s="161">
        <v>45354</v>
      </c>
      <c r="H197" s="107">
        <f t="shared" ref="H197:H260" si="8">DATEDIF($H$2,G197,"d")</f>
        <v>5</v>
      </c>
    </row>
    <row r="198" spans="1:8">
      <c r="A198" s="107">
        <v>1</v>
      </c>
      <c r="B198" s="107">
        <v>3</v>
      </c>
      <c r="C198" s="107">
        <v>13</v>
      </c>
      <c r="D198" s="107">
        <v>3</v>
      </c>
      <c r="E198" s="107" t="s">
        <v>210</v>
      </c>
      <c r="F198" s="107" t="s">
        <v>211</v>
      </c>
      <c r="G198" s="161">
        <v>45354</v>
      </c>
      <c r="H198" s="107">
        <f t="shared" si="8"/>
        <v>5</v>
      </c>
    </row>
    <row r="199" spans="1:8">
      <c r="A199" s="107">
        <v>1</v>
      </c>
      <c r="B199" s="107">
        <v>3</v>
      </c>
      <c r="C199" s="107">
        <v>13</v>
      </c>
      <c r="D199" s="107">
        <v>4</v>
      </c>
      <c r="E199" s="107" t="s">
        <v>210</v>
      </c>
      <c r="F199" s="107" t="s">
        <v>211</v>
      </c>
      <c r="G199" s="107"/>
      <c r="H199" s="107"/>
    </row>
    <row r="200" spans="1:8">
      <c r="A200" s="107">
        <v>1</v>
      </c>
      <c r="B200" s="107">
        <v>3</v>
      </c>
      <c r="C200" s="107">
        <v>14</v>
      </c>
      <c r="D200" s="107">
        <v>1</v>
      </c>
      <c r="E200" s="107" t="s">
        <v>238</v>
      </c>
      <c r="F200" s="107" t="s">
        <v>239</v>
      </c>
      <c r="G200" s="107"/>
      <c r="H200" s="107"/>
    </row>
    <row r="201" spans="1:8">
      <c r="A201" s="107">
        <v>1</v>
      </c>
      <c r="B201" s="107">
        <v>3</v>
      </c>
      <c r="C201" s="107">
        <v>14</v>
      </c>
      <c r="D201" s="107">
        <v>2</v>
      </c>
      <c r="E201" s="107" t="s">
        <v>238</v>
      </c>
      <c r="F201" s="107" t="s">
        <v>239</v>
      </c>
      <c r="G201" s="161">
        <v>45353</v>
      </c>
      <c r="H201" s="107">
        <f t="shared" si="8"/>
        <v>4</v>
      </c>
    </row>
    <row r="202" spans="1:8">
      <c r="A202" s="107">
        <v>1</v>
      </c>
      <c r="B202" s="107">
        <v>3</v>
      </c>
      <c r="C202" s="107">
        <v>14</v>
      </c>
      <c r="D202" s="107">
        <v>3</v>
      </c>
      <c r="E202" s="107" t="s">
        <v>238</v>
      </c>
      <c r="F202" s="107" t="s">
        <v>239</v>
      </c>
      <c r="G202" s="161">
        <v>45354</v>
      </c>
      <c r="H202" s="107">
        <f t="shared" si="8"/>
        <v>5</v>
      </c>
    </row>
    <row r="203" spans="1:8">
      <c r="A203" s="107">
        <v>1</v>
      </c>
      <c r="B203" s="107">
        <v>3</v>
      </c>
      <c r="C203" s="107">
        <v>14</v>
      </c>
      <c r="D203" s="107">
        <v>4</v>
      </c>
      <c r="E203" s="107" t="s">
        <v>238</v>
      </c>
      <c r="F203" s="107" t="s">
        <v>239</v>
      </c>
      <c r="G203" s="161">
        <v>45354</v>
      </c>
      <c r="H203" s="107">
        <f t="shared" si="8"/>
        <v>5</v>
      </c>
    </row>
    <row r="204" spans="1:8">
      <c r="A204" s="107">
        <v>1</v>
      </c>
      <c r="B204" s="107">
        <v>3</v>
      </c>
      <c r="C204" s="107">
        <v>15</v>
      </c>
      <c r="D204" s="107">
        <v>1</v>
      </c>
      <c r="E204" s="107" t="s">
        <v>222</v>
      </c>
      <c r="F204" s="107" t="s">
        <v>223</v>
      </c>
      <c r="G204" s="161">
        <v>45354</v>
      </c>
      <c r="H204" s="107">
        <f t="shared" si="8"/>
        <v>5</v>
      </c>
    </row>
    <row r="205" spans="1:8">
      <c r="A205" s="107">
        <v>1</v>
      </c>
      <c r="B205" s="107">
        <v>3</v>
      </c>
      <c r="C205" s="107">
        <v>15</v>
      </c>
      <c r="D205" s="107">
        <v>2</v>
      </c>
      <c r="E205" s="107" t="s">
        <v>222</v>
      </c>
      <c r="F205" s="107" t="s">
        <v>223</v>
      </c>
      <c r="G205" s="107"/>
      <c r="H205" s="107"/>
    </row>
    <row r="206" spans="1:8">
      <c r="A206" s="107">
        <v>1</v>
      </c>
      <c r="B206" s="107">
        <v>3</v>
      </c>
      <c r="C206" s="107">
        <v>15</v>
      </c>
      <c r="D206" s="107">
        <v>3</v>
      </c>
      <c r="E206" s="107" t="s">
        <v>222</v>
      </c>
      <c r="F206" s="107" t="s">
        <v>223</v>
      </c>
      <c r="G206" s="161">
        <v>45353</v>
      </c>
      <c r="H206" s="107">
        <f t="shared" si="8"/>
        <v>4</v>
      </c>
    </row>
    <row r="207" spans="1:8">
      <c r="A207" s="107">
        <v>1</v>
      </c>
      <c r="B207" s="107">
        <v>3</v>
      </c>
      <c r="C207" s="107">
        <v>15</v>
      </c>
      <c r="D207" s="107">
        <v>4</v>
      </c>
      <c r="E207" s="107" t="s">
        <v>222</v>
      </c>
      <c r="F207" s="107" t="s">
        <v>223</v>
      </c>
      <c r="G207" s="161">
        <v>45353</v>
      </c>
      <c r="H207" s="107">
        <f t="shared" si="8"/>
        <v>4</v>
      </c>
    </row>
    <row r="208" spans="1:8">
      <c r="A208" s="107">
        <v>1</v>
      </c>
      <c r="B208" s="107">
        <v>3</v>
      </c>
      <c r="C208" s="107">
        <v>16</v>
      </c>
      <c r="D208" s="107">
        <v>1</v>
      </c>
      <c r="E208" s="107" t="s">
        <v>230</v>
      </c>
      <c r="F208" s="107" t="s">
        <v>231</v>
      </c>
      <c r="G208" s="107"/>
      <c r="H208" s="107"/>
    </row>
    <row r="209" spans="1:8">
      <c r="A209" s="107">
        <v>1</v>
      </c>
      <c r="B209" s="107">
        <v>3</v>
      </c>
      <c r="C209" s="107">
        <v>16</v>
      </c>
      <c r="D209" s="107">
        <v>2</v>
      </c>
      <c r="E209" s="107" t="s">
        <v>230</v>
      </c>
      <c r="F209" s="107" t="s">
        <v>231</v>
      </c>
      <c r="G209" s="161">
        <v>45353</v>
      </c>
      <c r="H209" s="107">
        <f t="shared" si="8"/>
        <v>4</v>
      </c>
    </row>
    <row r="210" spans="1:8">
      <c r="A210" s="107">
        <v>1</v>
      </c>
      <c r="B210" s="107">
        <v>3</v>
      </c>
      <c r="C210" s="107">
        <v>16</v>
      </c>
      <c r="D210" s="107">
        <v>3</v>
      </c>
      <c r="E210" s="107" t="s">
        <v>230</v>
      </c>
      <c r="F210" s="107" t="s">
        <v>231</v>
      </c>
      <c r="G210" s="161">
        <v>45354</v>
      </c>
      <c r="H210" s="107">
        <f t="shared" si="8"/>
        <v>5</v>
      </c>
    </row>
    <row r="211" spans="1:8">
      <c r="A211" s="107">
        <v>1</v>
      </c>
      <c r="B211" s="107">
        <v>3</v>
      </c>
      <c r="C211" s="107">
        <v>16</v>
      </c>
      <c r="D211" s="107">
        <v>4</v>
      </c>
      <c r="E211" s="107" t="s">
        <v>230</v>
      </c>
      <c r="F211" s="107" t="s">
        <v>231</v>
      </c>
      <c r="G211" s="161">
        <v>45353</v>
      </c>
      <c r="H211" s="107">
        <f t="shared" si="8"/>
        <v>4</v>
      </c>
    </row>
    <row r="212" spans="1:8">
      <c r="A212" s="107">
        <v>1</v>
      </c>
      <c r="B212" s="107">
        <v>3</v>
      </c>
      <c r="C212" s="107">
        <v>17</v>
      </c>
      <c r="D212" s="107">
        <v>1</v>
      </c>
      <c r="E212" s="107" t="s">
        <v>212</v>
      </c>
      <c r="F212" s="107" t="s">
        <v>213</v>
      </c>
      <c r="G212" s="161">
        <v>45354</v>
      </c>
      <c r="H212" s="107">
        <f t="shared" si="8"/>
        <v>5</v>
      </c>
    </row>
    <row r="213" spans="1:8">
      <c r="A213" s="107">
        <v>1</v>
      </c>
      <c r="B213" s="107">
        <v>3</v>
      </c>
      <c r="C213" s="107">
        <v>17</v>
      </c>
      <c r="D213" s="107">
        <v>2</v>
      </c>
      <c r="E213" s="107" t="s">
        <v>212</v>
      </c>
      <c r="F213" s="107" t="s">
        <v>213</v>
      </c>
      <c r="G213" s="161">
        <v>45353</v>
      </c>
      <c r="H213" s="107">
        <f t="shared" si="8"/>
        <v>4</v>
      </c>
    </row>
    <row r="214" spans="1:8">
      <c r="A214" s="107">
        <v>1</v>
      </c>
      <c r="B214" s="107">
        <v>3</v>
      </c>
      <c r="C214" s="107">
        <v>17</v>
      </c>
      <c r="D214" s="107">
        <v>3</v>
      </c>
      <c r="E214" s="107" t="s">
        <v>212</v>
      </c>
      <c r="F214" s="107" t="s">
        <v>213</v>
      </c>
      <c r="G214" s="161">
        <v>45354</v>
      </c>
      <c r="H214" s="107">
        <f t="shared" si="8"/>
        <v>5</v>
      </c>
    </row>
    <row r="215" spans="1:8">
      <c r="A215" s="107">
        <v>1</v>
      </c>
      <c r="B215" s="107">
        <v>3</v>
      </c>
      <c r="C215" s="107">
        <v>17</v>
      </c>
      <c r="D215" s="107">
        <v>4</v>
      </c>
      <c r="E215" s="107" t="s">
        <v>212</v>
      </c>
      <c r="F215" s="107" t="s">
        <v>213</v>
      </c>
      <c r="G215" s="161">
        <v>45353</v>
      </c>
      <c r="H215" s="107">
        <f t="shared" si="8"/>
        <v>4</v>
      </c>
    </row>
    <row r="216" spans="1:8">
      <c r="A216" s="107">
        <v>1</v>
      </c>
      <c r="B216" s="107">
        <v>3</v>
      </c>
      <c r="C216" s="107">
        <v>18</v>
      </c>
      <c r="D216" s="107">
        <v>1</v>
      </c>
      <c r="E216" s="107" t="s">
        <v>218</v>
      </c>
      <c r="F216" s="107" t="s">
        <v>219</v>
      </c>
      <c r="G216" s="161">
        <v>45354</v>
      </c>
      <c r="H216" s="107">
        <f t="shared" si="8"/>
        <v>5</v>
      </c>
    </row>
    <row r="217" spans="1:8">
      <c r="A217" s="107">
        <v>1</v>
      </c>
      <c r="B217" s="107">
        <v>3</v>
      </c>
      <c r="C217" s="107">
        <v>18</v>
      </c>
      <c r="D217" s="107">
        <v>2</v>
      </c>
      <c r="E217" s="107" t="s">
        <v>218</v>
      </c>
      <c r="F217" s="107" t="s">
        <v>219</v>
      </c>
      <c r="G217" s="161">
        <v>45355</v>
      </c>
      <c r="H217" s="107">
        <f t="shared" si="8"/>
        <v>6</v>
      </c>
    </row>
    <row r="218" spans="1:8">
      <c r="A218" s="107">
        <v>1</v>
      </c>
      <c r="B218" s="107">
        <v>3</v>
      </c>
      <c r="C218" s="107">
        <v>18</v>
      </c>
      <c r="D218" s="107">
        <v>3</v>
      </c>
      <c r="E218" s="107" t="s">
        <v>218</v>
      </c>
      <c r="F218" s="107" t="s">
        <v>219</v>
      </c>
      <c r="G218" s="161">
        <v>45356</v>
      </c>
      <c r="H218" s="107">
        <f t="shared" si="8"/>
        <v>7</v>
      </c>
    </row>
    <row r="219" spans="1:8">
      <c r="A219" s="107">
        <v>1</v>
      </c>
      <c r="B219" s="107">
        <v>3</v>
      </c>
      <c r="C219" s="107">
        <v>18</v>
      </c>
      <c r="D219" s="107">
        <v>4</v>
      </c>
      <c r="E219" s="107" t="s">
        <v>218</v>
      </c>
      <c r="F219" s="107" t="s">
        <v>219</v>
      </c>
      <c r="G219" s="161">
        <v>45356</v>
      </c>
      <c r="H219" s="107">
        <f t="shared" si="8"/>
        <v>7</v>
      </c>
    </row>
    <row r="220" spans="1:8">
      <c r="A220" s="107">
        <v>1</v>
      </c>
      <c r="B220" s="107">
        <v>4</v>
      </c>
      <c r="C220" s="107">
        <v>1</v>
      </c>
      <c r="D220" s="107">
        <v>1</v>
      </c>
      <c r="E220" s="107" t="s">
        <v>242</v>
      </c>
      <c r="F220" s="107" t="s">
        <v>243</v>
      </c>
      <c r="G220" s="161">
        <v>45354</v>
      </c>
      <c r="H220" s="107">
        <f t="shared" si="8"/>
        <v>5</v>
      </c>
    </row>
    <row r="221" spans="1:8">
      <c r="A221" s="107">
        <v>1</v>
      </c>
      <c r="B221" s="107">
        <v>4</v>
      </c>
      <c r="C221" s="107">
        <v>1</v>
      </c>
      <c r="D221" s="107">
        <v>2</v>
      </c>
      <c r="E221" s="107" t="s">
        <v>242</v>
      </c>
      <c r="F221" s="107" t="s">
        <v>243</v>
      </c>
      <c r="G221" s="161">
        <v>45354</v>
      </c>
      <c r="H221" s="107">
        <f t="shared" si="8"/>
        <v>5</v>
      </c>
    </row>
    <row r="222" spans="1:8">
      <c r="A222" s="107">
        <v>1</v>
      </c>
      <c r="B222" s="107">
        <v>4</v>
      </c>
      <c r="C222" s="107">
        <v>1</v>
      </c>
      <c r="D222" s="107">
        <v>3</v>
      </c>
      <c r="E222" s="107" t="s">
        <v>242</v>
      </c>
      <c r="F222" s="107" t="s">
        <v>243</v>
      </c>
      <c r="G222" s="161">
        <v>45353</v>
      </c>
      <c r="H222" s="107">
        <f t="shared" si="8"/>
        <v>4</v>
      </c>
    </row>
    <row r="223" spans="1:8">
      <c r="A223" s="107">
        <v>1</v>
      </c>
      <c r="B223" s="107">
        <v>4</v>
      </c>
      <c r="C223" s="107">
        <v>1</v>
      </c>
      <c r="D223" s="107">
        <v>4</v>
      </c>
      <c r="E223" s="107" t="s">
        <v>242</v>
      </c>
      <c r="F223" s="107" t="s">
        <v>243</v>
      </c>
      <c r="G223" s="161">
        <v>45353</v>
      </c>
      <c r="H223" s="107">
        <f t="shared" si="8"/>
        <v>4</v>
      </c>
    </row>
    <row r="224" spans="1:8">
      <c r="A224" s="107">
        <v>1</v>
      </c>
      <c r="B224" s="107">
        <v>4</v>
      </c>
      <c r="C224" s="107">
        <v>2</v>
      </c>
      <c r="D224" s="107">
        <v>1</v>
      </c>
      <c r="E224" s="107" t="s">
        <v>270</v>
      </c>
      <c r="F224" s="107" t="s">
        <v>163</v>
      </c>
      <c r="G224" s="161">
        <v>45353</v>
      </c>
      <c r="H224" s="107">
        <f t="shared" si="8"/>
        <v>4</v>
      </c>
    </row>
    <row r="225" spans="1:8">
      <c r="A225" s="107">
        <v>1</v>
      </c>
      <c r="B225" s="107">
        <v>4</v>
      </c>
      <c r="C225" s="107">
        <v>2</v>
      </c>
      <c r="D225" s="107">
        <v>2</v>
      </c>
      <c r="E225" s="107" t="s">
        <v>270</v>
      </c>
      <c r="F225" s="107" t="s">
        <v>163</v>
      </c>
      <c r="G225" s="161">
        <v>45353</v>
      </c>
      <c r="H225" s="107">
        <f t="shared" si="8"/>
        <v>4</v>
      </c>
    </row>
    <row r="226" spans="1:8">
      <c r="A226" s="107">
        <v>1</v>
      </c>
      <c r="B226" s="107">
        <v>4</v>
      </c>
      <c r="C226" s="107">
        <v>2</v>
      </c>
      <c r="D226" s="107">
        <v>3</v>
      </c>
      <c r="E226" s="107" t="s">
        <v>270</v>
      </c>
      <c r="F226" s="107" t="s">
        <v>163</v>
      </c>
      <c r="G226" s="161">
        <v>45353</v>
      </c>
      <c r="H226" s="107">
        <f t="shared" si="8"/>
        <v>4</v>
      </c>
    </row>
    <row r="227" spans="1:8">
      <c r="A227" s="107">
        <v>1</v>
      </c>
      <c r="B227" s="107">
        <v>4</v>
      </c>
      <c r="C227" s="107">
        <v>2</v>
      </c>
      <c r="D227" s="107">
        <v>4</v>
      </c>
      <c r="E227" s="107" t="s">
        <v>270</v>
      </c>
      <c r="F227" s="107" t="s">
        <v>163</v>
      </c>
      <c r="G227" s="161">
        <v>45354</v>
      </c>
      <c r="H227" s="107">
        <f t="shared" si="8"/>
        <v>5</v>
      </c>
    </row>
    <row r="228" spans="1:8">
      <c r="A228" s="107">
        <v>1</v>
      </c>
      <c r="B228" s="107">
        <v>4</v>
      </c>
      <c r="C228" s="107">
        <v>3</v>
      </c>
      <c r="D228" s="107">
        <v>1</v>
      </c>
      <c r="E228" s="107" t="s">
        <v>254</v>
      </c>
      <c r="F228" s="107" t="s">
        <v>255</v>
      </c>
      <c r="G228" s="107"/>
      <c r="H228" s="107"/>
    </row>
    <row r="229" spans="1:8">
      <c r="A229" s="107">
        <v>1</v>
      </c>
      <c r="B229" s="107">
        <v>4</v>
      </c>
      <c r="C229" s="107">
        <v>3</v>
      </c>
      <c r="D229" s="107">
        <v>2</v>
      </c>
      <c r="E229" s="107" t="s">
        <v>254</v>
      </c>
      <c r="F229" s="107" t="s">
        <v>255</v>
      </c>
      <c r="G229" s="161">
        <v>45354</v>
      </c>
      <c r="H229" s="107">
        <f t="shared" si="8"/>
        <v>5</v>
      </c>
    </row>
    <row r="230" spans="1:8">
      <c r="A230" s="107">
        <v>1</v>
      </c>
      <c r="B230" s="107">
        <v>4</v>
      </c>
      <c r="C230" s="107">
        <v>3</v>
      </c>
      <c r="D230" s="107">
        <v>3</v>
      </c>
      <c r="E230" s="107" t="s">
        <v>254</v>
      </c>
      <c r="F230" s="107" t="s">
        <v>255</v>
      </c>
      <c r="G230" s="107"/>
      <c r="H230" s="107"/>
    </row>
    <row r="231" spans="1:8">
      <c r="A231" s="107">
        <v>1</v>
      </c>
      <c r="B231" s="107">
        <v>4</v>
      </c>
      <c r="C231" s="107">
        <v>3</v>
      </c>
      <c r="D231" s="107">
        <v>4</v>
      </c>
      <c r="E231" s="107" t="s">
        <v>254</v>
      </c>
      <c r="F231" s="107" t="s">
        <v>255</v>
      </c>
      <c r="G231" s="161">
        <v>45355</v>
      </c>
      <c r="H231" s="107">
        <f t="shared" si="8"/>
        <v>6</v>
      </c>
    </row>
    <row r="232" spans="1:8">
      <c r="A232" s="107">
        <v>1</v>
      </c>
      <c r="B232" s="107">
        <v>4</v>
      </c>
      <c r="C232" s="107">
        <v>4</v>
      </c>
      <c r="D232" s="107">
        <v>1</v>
      </c>
      <c r="E232" s="107" t="s">
        <v>269</v>
      </c>
      <c r="F232" s="107" t="s">
        <v>187</v>
      </c>
      <c r="G232" s="161">
        <v>45353</v>
      </c>
      <c r="H232" s="107">
        <f t="shared" si="8"/>
        <v>4</v>
      </c>
    </row>
    <row r="233" spans="1:8">
      <c r="A233" s="107">
        <v>1</v>
      </c>
      <c r="B233" s="107">
        <v>4</v>
      </c>
      <c r="C233" s="107">
        <v>4</v>
      </c>
      <c r="D233" s="107">
        <v>2</v>
      </c>
      <c r="E233" s="107" t="s">
        <v>269</v>
      </c>
      <c r="F233" s="107" t="s">
        <v>187</v>
      </c>
      <c r="G233" s="161">
        <v>45354</v>
      </c>
      <c r="H233" s="107">
        <f t="shared" si="8"/>
        <v>5</v>
      </c>
    </row>
    <row r="234" spans="1:8">
      <c r="A234" s="107">
        <v>1</v>
      </c>
      <c r="B234" s="107">
        <v>4</v>
      </c>
      <c r="C234" s="107">
        <v>4</v>
      </c>
      <c r="D234" s="107">
        <v>3</v>
      </c>
      <c r="E234" s="107" t="s">
        <v>269</v>
      </c>
      <c r="F234" s="107" t="s">
        <v>187</v>
      </c>
      <c r="G234" s="161">
        <v>45353</v>
      </c>
      <c r="H234" s="107">
        <f t="shared" si="8"/>
        <v>4</v>
      </c>
    </row>
    <row r="235" spans="1:8">
      <c r="A235" s="107">
        <v>1</v>
      </c>
      <c r="B235" s="107">
        <v>4</v>
      </c>
      <c r="C235" s="107">
        <v>4</v>
      </c>
      <c r="D235" s="107">
        <v>4</v>
      </c>
      <c r="E235" s="107" t="s">
        <v>269</v>
      </c>
      <c r="F235" s="107" t="s">
        <v>187</v>
      </c>
      <c r="G235" s="161">
        <v>45353</v>
      </c>
      <c r="H235" s="107">
        <f t="shared" si="8"/>
        <v>4</v>
      </c>
    </row>
    <row r="236" spans="1:8">
      <c r="A236" s="107">
        <v>1</v>
      </c>
      <c r="B236" s="107">
        <v>4</v>
      </c>
      <c r="C236" s="107">
        <v>5</v>
      </c>
      <c r="D236" s="107">
        <v>1</v>
      </c>
      <c r="E236" s="107" t="s">
        <v>264</v>
      </c>
      <c r="F236" s="107" t="s">
        <v>265</v>
      </c>
      <c r="G236" s="161">
        <v>45354</v>
      </c>
      <c r="H236" s="107">
        <f t="shared" si="8"/>
        <v>5</v>
      </c>
    </row>
    <row r="237" spans="1:8">
      <c r="A237" s="107">
        <v>1</v>
      </c>
      <c r="B237" s="107">
        <v>4</v>
      </c>
      <c r="C237" s="107">
        <v>5</v>
      </c>
      <c r="D237" s="107">
        <v>2</v>
      </c>
      <c r="E237" s="107" t="s">
        <v>264</v>
      </c>
      <c r="F237" s="107" t="s">
        <v>265</v>
      </c>
      <c r="G237" s="161">
        <v>45354</v>
      </c>
      <c r="H237" s="107">
        <f t="shared" si="8"/>
        <v>5</v>
      </c>
    </row>
    <row r="238" spans="1:8">
      <c r="A238" s="107">
        <v>1</v>
      </c>
      <c r="B238" s="107">
        <v>4</v>
      </c>
      <c r="C238" s="107">
        <v>5</v>
      </c>
      <c r="D238" s="107">
        <v>3</v>
      </c>
      <c r="E238" s="107" t="s">
        <v>264</v>
      </c>
      <c r="F238" s="107" t="s">
        <v>265</v>
      </c>
      <c r="G238" s="161">
        <v>45354</v>
      </c>
      <c r="H238" s="107">
        <f t="shared" si="8"/>
        <v>5</v>
      </c>
    </row>
    <row r="239" spans="1:8">
      <c r="A239" s="107">
        <v>1</v>
      </c>
      <c r="B239" s="107">
        <v>4</v>
      </c>
      <c r="C239" s="107">
        <v>5</v>
      </c>
      <c r="D239" s="107">
        <v>4</v>
      </c>
      <c r="E239" s="107" t="s">
        <v>264</v>
      </c>
      <c r="F239" s="107" t="s">
        <v>265</v>
      </c>
      <c r="G239" s="161">
        <v>45353</v>
      </c>
      <c r="H239" s="107">
        <f t="shared" si="8"/>
        <v>4</v>
      </c>
    </row>
    <row r="240" spans="1:8">
      <c r="A240" s="107">
        <v>1</v>
      </c>
      <c r="B240" s="107">
        <v>4</v>
      </c>
      <c r="C240" s="107">
        <v>6</v>
      </c>
      <c r="D240" s="107">
        <v>1</v>
      </c>
      <c r="E240" s="107" t="s">
        <v>252</v>
      </c>
      <c r="F240" s="107" t="s">
        <v>253</v>
      </c>
      <c r="G240" s="161">
        <v>45354</v>
      </c>
      <c r="H240" s="107">
        <f t="shared" si="8"/>
        <v>5</v>
      </c>
    </row>
    <row r="241" spans="1:8">
      <c r="A241" s="107">
        <v>1</v>
      </c>
      <c r="B241" s="107">
        <v>4</v>
      </c>
      <c r="C241" s="107">
        <v>6</v>
      </c>
      <c r="D241" s="107">
        <v>2</v>
      </c>
      <c r="E241" s="107" t="s">
        <v>252</v>
      </c>
      <c r="F241" s="107" t="s">
        <v>253</v>
      </c>
      <c r="G241" s="161">
        <v>45353</v>
      </c>
      <c r="H241" s="107">
        <f t="shared" si="8"/>
        <v>4</v>
      </c>
    </row>
    <row r="242" spans="1:8">
      <c r="A242" s="107">
        <v>1</v>
      </c>
      <c r="B242" s="107">
        <v>4</v>
      </c>
      <c r="C242" s="107">
        <v>6</v>
      </c>
      <c r="D242" s="107">
        <v>3</v>
      </c>
      <c r="E242" s="107" t="s">
        <v>252</v>
      </c>
      <c r="F242" s="107" t="s">
        <v>253</v>
      </c>
      <c r="G242" s="161">
        <v>45353</v>
      </c>
      <c r="H242" s="107">
        <f t="shared" si="8"/>
        <v>4</v>
      </c>
    </row>
    <row r="243" spans="1:8">
      <c r="A243" s="107">
        <v>1</v>
      </c>
      <c r="B243" s="107">
        <v>4</v>
      </c>
      <c r="C243" s="107">
        <v>6</v>
      </c>
      <c r="D243" s="107">
        <v>4</v>
      </c>
      <c r="E243" s="107" t="s">
        <v>252</v>
      </c>
      <c r="F243" s="107" t="s">
        <v>253</v>
      </c>
      <c r="G243" s="161">
        <v>45353</v>
      </c>
      <c r="H243" s="107">
        <f t="shared" si="8"/>
        <v>4</v>
      </c>
    </row>
    <row r="244" spans="1:8">
      <c r="A244" s="107">
        <v>1</v>
      </c>
      <c r="B244" s="107">
        <v>4</v>
      </c>
      <c r="C244" s="107">
        <v>7</v>
      </c>
      <c r="D244" s="107">
        <v>1</v>
      </c>
      <c r="E244" s="107" t="s">
        <v>268</v>
      </c>
      <c r="F244" s="107" t="s">
        <v>161</v>
      </c>
      <c r="G244" s="161">
        <v>45354</v>
      </c>
      <c r="H244" s="107">
        <f t="shared" si="8"/>
        <v>5</v>
      </c>
    </row>
    <row r="245" spans="1:8">
      <c r="A245" s="107">
        <v>1</v>
      </c>
      <c r="B245" s="107">
        <v>4</v>
      </c>
      <c r="C245" s="107">
        <v>7</v>
      </c>
      <c r="D245" s="107">
        <v>2</v>
      </c>
      <c r="E245" s="107" t="s">
        <v>268</v>
      </c>
      <c r="F245" s="107" t="s">
        <v>161</v>
      </c>
      <c r="G245" s="161">
        <v>45354</v>
      </c>
      <c r="H245" s="107">
        <f t="shared" si="8"/>
        <v>5</v>
      </c>
    </row>
    <row r="246" spans="1:8">
      <c r="A246" s="107">
        <v>1</v>
      </c>
      <c r="B246" s="107">
        <v>4</v>
      </c>
      <c r="C246" s="107">
        <v>7</v>
      </c>
      <c r="D246" s="107">
        <v>3</v>
      </c>
      <c r="E246" s="107" t="s">
        <v>268</v>
      </c>
      <c r="F246" s="107" t="s">
        <v>161</v>
      </c>
      <c r="G246" s="161">
        <v>45353</v>
      </c>
      <c r="H246" s="107">
        <f t="shared" si="8"/>
        <v>4</v>
      </c>
    </row>
    <row r="247" spans="1:8">
      <c r="A247" s="107">
        <v>1</v>
      </c>
      <c r="B247" s="107">
        <v>4</v>
      </c>
      <c r="C247" s="107">
        <v>7</v>
      </c>
      <c r="D247" s="107">
        <v>4</v>
      </c>
      <c r="E247" s="107" t="s">
        <v>268</v>
      </c>
      <c r="F247" s="107" t="s">
        <v>161</v>
      </c>
      <c r="G247" s="161">
        <v>45354</v>
      </c>
      <c r="H247" s="107">
        <f t="shared" si="8"/>
        <v>5</v>
      </c>
    </row>
    <row r="248" spans="1:8">
      <c r="A248" s="107">
        <v>1</v>
      </c>
      <c r="B248" s="107">
        <v>4</v>
      </c>
      <c r="C248" s="107">
        <v>8</v>
      </c>
      <c r="D248" s="107">
        <v>1</v>
      </c>
      <c r="E248" s="107" t="s">
        <v>248</v>
      </c>
      <c r="F248" s="107" t="s">
        <v>249</v>
      </c>
      <c r="G248" s="161">
        <v>45355</v>
      </c>
      <c r="H248" s="107">
        <f t="shared" si="8"/>
        <v>6</v>
      </c>
    </row>
    <row r="249" spans="1:8">
      <c r="A249" s="107">
        <v>1</v>
      </c>
      <c r="B249" s="107">
        <v>4</v>
      </c>
      <c r="C249" s="107">
        <v>8</v>
      </c>
      <c r="D249" s="107">
        <v>2</v>
      </c>
      <c r="E249" s="107" t="s">
        <v>248</v>
      </c>
      <c r="F249" s="107" t="s">
        <v>249</v>
      </c>
      <c r="G249" s="161">
        <v>45354</v>
      </c>
      <c r="H249" s="107">
        <f t="shared" si="8"/>
        <v>5</v>
      </c>
    </row>
    <row r="250" spans="1:8">
      <c r="A250" s="107">
        <v>1</v>
      </c>
      <c r="B250" s="107">
        <v>4</v>
      </c>
      <c r="C250" s="107">
        <v>8</v>
      </c>
      <c r="D250" s="107">
        <v>3</v>
      </c>
      <c r="E250" s="107" t="s">
        <v>248</v>
      </c>
      <c r="F250" s="107" t="s">
        <v>249</v>
      </c>
      <c r="G250" s="161">
        <v>45354</v>
      </c>
      <c r="H250" s="107">
        <f t="shared" si="8"/>
        <v>5</v>
      </c>
    </row>
    <row r="251" spans="1:8">
      <c r="A251" s="107">
        <v>1</v>
      </c>
      <c r="B251" s="107">
        <v>4</v>
      </c>
      <c r="C251" s="107">
        <v>8</v>
      </c>
      <c r="D251" s="107">
        <v>4</v>
      </c>
      <c r="E251" s="107" t="s">
        <v>248</v>
      </c>
      <c r="F251" s="107" t="s">
        <v>249</v>
      </c>
      <c r="G251" s="161">
        <v>45355</v>
      </c>
      <c r="H251" s="107">
        <f t="shared" si="8"/>
        <v>6</v>
      </c>
    </row>
    <row r="252" spans="1:8">
      <c r="A252" s="107">
        <v>1</v>
      </c>
      <c r="B252" s="107">
        <v>4</v>
      </c>
      <c r="C252" s="107">
        <v>9</v>
      </c>
      <c r="D252" s="107">
        <v>1</v>
      </c>
      <c r="E252" s="107" t="s">
        <v>244</v>
      </c>
      <c r="F252" s="107" t="s">
        <v>245</v>
      </c>
      <c r="G252" s="161">
        <v>45355</v>
      </c>
      <c r="H252" s="107">
        <f t="shared" si="8"/>
        <v>6</v>
      </c>
    </row>
    <row r="253" spans="1:8">
      <c r="A253" s="107">
        <v>1</v>
      </c>
      <c r="B253" s="107">
        <v>4</v>
      </c>
      <c r="C253" s="107">
        <v>9</v>
      </c>
      <c r="D253" s="107">
        <v>2</v>
      </c>
      <c r="E253" s="107" t="s">
        <v>244</v>
      </c>
      <c r="F253" s="107" t="s">
        <v>245</v>
      </c>
      <c r="G253" s="161">
        <v>45355</v>
      </c>
      <c r="H253" s="107">
        <f t="shared" si="8"/>
        <v>6</v>
      </c>
    </row>
    <row r="254" spans="1:8">
      <c r="A254" s="107">
        <v>1</v>
      </c>
      <c r="B254" s="107">
        <v>4</v>
      </c>
      <c r="C254" s="107">
        <v>9</v>
      </c>
      <c r="D254" s="107">
        <v>3</v>
      </c>
      <c r="E254" s="107" t="s">
        <v>244</v>
      </c>
      <c r="F254" s="107" t="s">
        <v>245</v>
      </c>
      <c r="G254" s="161">
        <v>45362</v>
      </c>
      <c r="H254" s="107">
        <f t="shared" si="8"/>
        <v>13</v>
      </c>
    </row>
    <row r="255" spans="1:8">
      <c r="A255" s="107">
        <v>1</v>
      </c>
      <c r="B255" s="107">
        <v>4</v>
      </c>
      <c r="C255" s="107">
        <v>9</v>
      </c>
      <c r="D255" s="107">
        <v>4</v>
      </c>
      <c r="E255" s="107" t="s">
        <v>244</v>
      </c>
      <c r="F255" s="107" t="s">
        <v>245</v>
      </c>
      <c r="G255" s="107"/>
      <c r="H255" s="107"/>
    </row>
    <row r="256" spans="1:8">
      <c r="A256" s="107">
        <v>1</v>
      </c>
      <c r="B256" s="107">
        <v>4</v>
      </c>
      <c r="C256" s="107">
        <v>10</v>
      </c>
      <c r="D256" s="107">
        <v>1</v>
      </c>
      <c r="E256" s="107" t="s">
        <v>240</v>
      </c>
      <c r="F256" s="107" t="s">
        <v>241</v>
      </c>
      <c r="G256" s="161">
        <v>45353</v>
      </c>
      <c r="H256" s="107">
        <f t="shared" si="8"/>
        <v>4</v>
      </c>
    </row>
    <row r="257" spans="1:8">
      <c r="A257" s="107">
        <v>1</v>
      </c>
      <c r="B257" s="107">
        <v>4</v>
      </c>
      <c r="C257" s="107">
        <v>10</v>
      </c>
      <c r="D257" s="107">
        <v>2</v>
      </c>
      <c r="E257" s="107" t="s">
        <v>240</v>
      </c>
      <c r="F257" s="107" t="s">
        <v>241</v>
      </c>
      <c r="G257" s="161">
        <v>45355</v>
      </c>
      <c r="H257" s="107">
        <f t="shared" si="8"/>
        <v>6</v>
      </c>
    </row>
    <row r="258" spans="1:8">
      <c r="A258" s="107">
        <v>1</v>
      </c>
      <c r="B258" s="107">
        <v>4</v>
      </c>
      <c r="C258" s="107">
        <v>10</v>
      </c>
      <c r="D258" s="107">
        <v>3</v>
      </c>
      <c r="E258" s="107" t="s">
        <v>240</v>
      </c>
      <c r="F258" s="107" t="s">
        <v>241</v>
      </c>
      <c r="G258" s="161">
        <v>45354</v>
      </c>
      <c r="H258" s="107">
        <f t="shared" si="8"/>
        <v>5</v>
      </c>
    </row>
    <row r="259" spans="1:8">
      <c r="A259" s="107">
        <v>1</v>
      </c>
      <c r="B259" s="107">
        <v>4</v>
      </c>
      <c r="C259" s="107">
        <v>10</v>
      </c>
      <c r="D259" s="107">
        <v>4</v>
      </c>
      <c r="E259" s="107" t="s">
        <v>240</v>
      </c>
      <c r="F259" s="107" t="s">
        <v>241</v>
      </c>
      <c r="G259" s="161">
        <v>45354</v>
      </c>
      <c r="H259" s="107">
        <f t="shared" si="8"/>
        <v>5</v>
      </c>
    </row>
    <row r="260" spans="1:8">
      <c r="A260" s="107">
        <v>1</v>
      </c>
      <c r="B260" s="107">
        <v>4</v>
      </c>
      <c r="C260" s="107">
        <v>11</v>
      </c>
      <c r="D260" s="107">
        <v>1</v>
      </c>
      <c r="E260" s="107" t="s">
        <v>271</v>
      </c>
      <c r="F260" s="107" t="s">
        <v>272</v>
      </c>
      <c r="G260" s="161">
        <v>45353</v>
      </c>
      <c r="H260" s="107">
        <f t="shared" si="8"/>
        <v>4</v>
      </c>
    </row>
    <row r="261" spans="1:8">
      <c r="A261" s="107">
        <v>1</v>
      </c>
      <c r="B261" s="107">
        <v>4</v>
      </c>
      <c r="C261" s="107">
        <v>11</v>
      </c>
      <c r="D261" s="107">
        <v>2</v>
      </c>
      <c r="E261" s="107" t="s">
        <v>271</v>
      </c>
      <c r="F261" s="107" t="s">
        <v>272</v>
      </c>
      <c r="G261" s="161">
        <v>45353</v>
      </c>
      <c r="H261" s="107">
        <f t="shared" ref="H261:H324" si="9">DATEDIF($H$2,G261,"d")</f>
        <v>4</v>
      </c>
    </row>
    <row r="262" spans="1:8">
      <c r="A262" s="107">
        <v>1</v>
      </c>
      <c r="B262" s="107">
        <v>4</v>
      </c>
      <c r="C262" s="107">
        <v>11</v>
      </c>
      <c r="D262" s="107">
        <v>3</v>
      </c>
      <c r="E262" s="107" t="s">
        <v>271</v>
      </c>
      <c r="F262" s="107" t="s">
        <v>272</v>
      </c>
      <c r="G262" s="161">
        <v>45354</v>
      </c>
      <c r="H262" s="107">
        <f t="shared" si="9"/>
        <v>5</v>
      </c>
    </row>
    <row r="263" spans="1:8">
      <c r="A263" s="107">
        <v>1</v>
      </c>
      <c r="B263" s="107">
        <v>4</v>
      </c>
      <c r="C263" s="107">
        <v>11</v>
      </c>
      <c r="D263" s="107">
        <v>4</v>
      </c>
      <c r="E263" s="107" t="s">
        <v>271</v>
      </c>
      <c r="F263" s="107" t="s">
        <v>272</v>
      </c>
      <c r="G263" s="161">
        <v>45353</v>
      </c>
      <c r="H263" s="107">
        <f t="shared" si="9"/>
        <v>4</v>
      </c>
    </row>
    <row r="264" spans="1:8">
      <c r="A264" s="107">
        <v>1</v>
      </c>
      <c r="B264" s="107">
        <v>4</v>
      </c>
      <c r="C264" s="107">
        <v>12</v>
      </c>
      <c r="D264" s="107">
        <v>1</v>
      </c>
      <c r="E264" s="107" t="s">
        <v>256</v>
      </c>
      <c r="F264" s="107" t="s">
        <v>257</v>
      </c>
      <c r="G264" s="161">
        <v>45357</v>
      </c>
      <c r="H264" s="107">
        <f t="shared" si="9"/>
        <v>8</v>
      </c>
    </row>
    <row r="265" spans="1:8">
      <c r="A265" s="107">
        <v>1</v>
      </c>
      <c r="B265" s="107">
        <v>4</v>
      </c>
      <c r="C265" s="107">
        <v>12</v>
      </c>
      <c r="D265" s="107">
        <v>2</v>
      </c>
      <c r="E265" s="107" t="s">
        <v>256</v>
      </c>
      <c r="F265" s="107" t="s">
        <v>257</v>
      </c>
      <c r="G265" s="161">
        <v>45354</v>
      </c>
      <c r="H265" s="107">
        <f t="shared" si="9"/>
        <v>5</v>
      </c>
    </row>
    <row r="266" spans="1:8">
      <c r="A266" s="107">
        <v>1</v>
      </c>
      <c r="B266" s="107">
        <v>4</v>
      </c>
      <c r="C266" s="107">
        <v>12</v>
      </c>
      <c r="D266" s="107">
        <v>3</v>
      </c>
      <c r="E266" s="107" t="s">
        <v>256</v>
      </c>
      <c r="F266" s="107" t="s">
        <v>257</v>
      </c>
      <c r="G266" s="161">
        <v>45354</v>
      </c>
      <c r="H266" s="107">
        <f t="shared" si="9"/>
        <v>5</v>
      </c>
    </row>
    <row r="267" spans="1:8">
      <c r="A267" s="107">
        <v>1</v>
      </c>
      <c r="B267" s="107">
        <v>4</v>
      </c>
      <c r="C267" s="107">
        <v>12</v>
      </c>
      <c r="D267" s="107">
        <v>4</v>
      </c>
      <c r="E267" s="107" t="s">
        <v>256</v>
      </c>
      <c r="F267" s="107" t="s">
        <v>257</v>
      </c>
      <c r="G267" s="107"/>
      <c r="H267" s="107"/>
    </row>
    <row r="268" spans="1:8">
      <c r="A268" s="107">
        <v>1</v>
      </c>
      <c r="B268" s="107">
        <v>4</v>
      </c>
      <c r="C268" s="107">
        <v>13</v>
      </c>
      <c r="D268" s="107">
        <v>1</v>
      </c>
      <c r="E268" s="107" t="s">
        <v>258</v>
      </c>
      <c r="F268" s="107" t="s">
        <v>259</v>
      </c>
      <c r="G268" s="161">
        <v>45354</v>
      </c>
      <c r="H268" s="107">
        <f t="shared" si="9"/>
        <v>5</v>
      </c>
    </row>
    <row r="269" spans="1:8">
      <c r="A269" s="107">
        <v>1</v>
      </c>
      <c r="B269" s="107">
        <v>4</v>
      </c>
      <c r="C269" s="107">
        <v>13</v>
      </c>
      <c r="D269" s="107">
        <v>2</v>
      </c>
      <c r="E269" s="107" t="s">
        <v>258</v>
      </c>
      <c r="F269" s="107" t="s">
        <v>259</v>
      </c>
      <c r="G269" s="161">
        <v>45353</v>
      </c>
      <c r="H269" s="107">
        <f t="shared" si="9"/>
        <v>4</v>
      </c>
    </row>
    <row r="270" spans="1:8">
      <c r="A270" s="107">
        <v>1</v>
      </c>
      <c r="B270" s="107">
        <v>4</v>
      </c>
      <c r="C270" s="107">
        <v>13</v>
      </c>
      <c r="D270" s="107">
        <v>3</v>
      </c>
      <c r="E270" s="107" t="s">
        <v>258</v>
      </c>
      <c r="F270" s="107" t="s">
        <v>259</v>
      </c>
      <c r="G270" s="161">
        <v>45355</v>
      </c>
      <c r="H270" s="107">
        <f t="shared" si="9"/>
        <v>6</v>
      </c>
    </row>
    <row r="271" spans="1:8">
      <c r="A271" s="107">
        <v>1</v>
      </c>
      <c r="B271" s="107">
        <v>4</v>
      </c>
      <c r="C271" s="107">
        <v>13</v>
      </c>
      <c r="D271" s="107">
        <v>4</v>
      </c>
      <c r="E271" s="107" t="s">
        <v>258</v>
      </c>
      <c r="F271" s="107" t="s">
        <v>259</v>
      </c>
      <c r="G271" s="161">
        <v>45353</v>
      </c>
      <c r="H271" s="107">
        <f t="shared" si="9"/>
        <v>4</v>
      </c>
    </row>
    <row r="272" spans="1:8">
      <c r="A272" s="107">
        <v>1</v>
      </c>
      <c r="B272" s="107">
        <v>4</v>
      </c>
      <c r="C272" s="107">
        <v>14</v>
      </c>
      <c r="D272" s="107">
        <v>1</v>
      </c>
      <c r="E272" s="107" t="s">
        <v>250</v>
      </c>
      <c r="F272" s="107" t="s">
        <v>251</v>
      </c>
      <c r="G272" s="161">
        <v>45354</v>
      </c>
      <c r="H272" s="107">
        <f t="shared" si="9"/>
        <v>5</v>
      </c>
    </row>
    <row r="273" spans="1:8">
      <c r="A273" s="107">
        <v>1</v>
      </c>
      <c r="B273" s="107">
        <v>4</v>
      </c>
      <c r="C273" s="107">
        <v>14</v>
      </c>
      <c r="D273" s="107">
        <v>2</v>
      </c>
      <c r="E273" s="107" t="s">
        <v>250</v>
      </c>
      <c r="F273" s="107" t="s">
        <v>251</v>
      </c>
      <c r="G273" s="161">
        <v>45353</v>
      </c>
      <c r="H273" s="107">
        <f t="shared" si="9"/>
        <v>4</v>
      </c>
    </row>
    <row r="274" spans="1:8">
      <c r="A274" s="107">
        <v>1</v>
      </c>
      <c r="B274" s="107">
        <v>4</v>
      </c>
      <c r="C274" s="107">
        <v>14</v>
      </c>
      <c r="D274" s="107">
        <v>3</v>
      </c>
      <c r="E274" s="107" t="s">
        <v>250</v>
      </c>
      <c r="F274" s="107" t="s">
        <v>251</v>
      </c>
      <c r="G274" s="161">
        <v>45353</v>
      </c>
      <c r="H274" s="107">
        <f t="shared" si="9"/>
        <v>4</v>
      </c>
    </row>
    <row r="275" spans="1:8">
      <c r="A275" s="107">
        <v>1</v>
      </c>
      <c r="B275" s="107">
        <v>4</v>
      </c>
      <c r="C275" s="107">
        <v>14</v>
      </c>
      <c r="D275" s="107">
        <v>4</v>
      </c>
      <c r="E275" s="107" t="s">
        <v>250</v>
      </c>
      <c r="F275" s="107" t="s">
        <v>251</v>
      </c>
      <c r="G275" s="161">
        <v>45353</v>
      </c>
      <c r="H275" s="107">
        <f t="shared" si="9"/>
        <v>4</v>
      </c>
    </row>
    <row r="276" spans="1:8">
      <c r="A276" s="107">
        <v>1</v>
      </c>
      <c r="B276" s="107">
        <v>4</v>
      </c>
      <c r="C276" s="107">
        <v>15</v>
      </c>
      <c r="D276" s="107">
        <v>1</v>
      </c>
      <c r="E276" s="107" t="s">
        <v>262</v>
      </c>
      <c r="F276" s="107" t="s">
        <v>263</v>
      </c>
      <c r="G276" s="161">
        <v>45354</v>
      </c>
      <c r="H276" s="107">
        <f t="shared" si="9"/>
        <v>5</v>
      </c>
    </row>
    <row r="277" spans="1:8">
      <c r="A277" s="107">
        <v>1</v>
      </c>
      <c r="B277" s="107">
        <v>4</v>
      </c>
      <c r="C277" s="107">
        <v>15</v>
      </c>
      <c r="D277" s="107">
        <v>2</v>
      </c>
      <c r="E277" s="107" t="s">
        <v>262</v>
      </c>
      <c r="F277" s="107" t="s">
        <v>263</v>
      </c>
      <c r="G277" s="161">
        <v>45353</v>
      </c>
      <c r="H277" s="107">
        <f t="shared" si="9"/>
        <v>4</v>
      </c>
    </row>
    <row r="278" spans="1:8">
      <c r="A278" s="107">
        <v>1</v>
      </c>
      <c r="B278" s="107">
        <v>4</v>
      </c>
      <c r="C278" s="107">
        <v>15</v>
      </c>
      <c r="D278" s="107">
        <v>3</v>
      </c>
      <c r="E278" s="107" t="s">
        <v>262</v>
      </c>
      <c r="F278" s="107" t="s">
        <v>263</v>
      </c>
      <c r="G278" s="161">
        <v>45353</v>
      </c>
      <c r="H278" s="107">
        <f t="shared" si="9"/>
        <v>4</v>
      </c>
    </row>
    <row r="279" spans="1:8">
      <c r="A279" s="107">
        <v>1</v>
      </c>
      <c r="B279" s="107">
        <v>4</v>
      </c>
      <c r="C279" s="107">
        <v>15</v>
      </c>
      <c r="D279" s="107">
        <v>4</v>
      </c>
      <c r="E279" s="107" t="s">
        <v>262</v>
      </c>
      <c r="F279" s="107" t="s">
        <v>263</v>
      </c>
      <c r="G279" s="161">
        <v>45353</v>
      </c>
      <c r="H279" s="107">
        <f t="shared" si="9"/>
        <v>4</v>
      </c>
    </row>
    <row r="280" spans="1:8">
      <c r="A280" s="107">
        <v>1</v>
      </c>
      <c r="B280" s="107">
        <v>4</v>
      </c>
      <c r="C280" s="107">
        <v>16</v>
      </c>
      <c r="D280" s="107">
        <v>1</v>
      </c>
      <c r="E280" s="107" t="s">
        <v>260</v>
      </c>
      <c r="F280" s="107" t="s">
        <v>261</v>
      </c>
      <c r="G280" s="161">
        <v>45354</v>
      </c>
      <c r="H280" s="107">
        <f t="shared" si="9"/>
        <v>5</v>
      </c>
    </row>
    <row r="281" spans="1:8">
      <c r="A281" s="107">
        <v>1</v>
      </c>
      <c r="B281" s="107">
        <v>4</v>
      </c>
      <c r="C281" s="107">
        <v>16</v>
      </c>
      <c r="D281" s="107">
        <v>2</v>
      </c>
      <c r="E281" s="107" t="s">
        <v>260</v>
      </c>
      <c r="F281" s="107" t="s">
        <v>261</v>
      </c>
      <c r="G281" s="161">
        <v>45354</v>
      </c>
      <c r="H281" s="107">
        <f t="shared" si="9"/>
        <v>5</v>
      </c>
    </row>
    <row r="282" spans="1:8">
      <c r="A282" s="107">
        <v>1</v>
      </c>
      <c r="B282" s="107">
        <v>4</v>
      </c>
      <c r="C282" s="107">
        <v>16</v>
      </c>
      <c r="D282" s="107">
        <v>3</v>
      </c>
      <c r="E282" s="107" t="s">
        <v>260</v>
      </c>
      <c r="F282" s="107" t="s">
        <v>261</v>
      </c>
      <c r="G282" s="161">
        <v>45354</v>
      </c>
      <c r="H282" s="107">
        <f t="shared" si="9"/>
        <v>5</v>
      </c>
    </row>
    <row r="283" spans="1:8">
      <c r="A283" s="107">
        <v>1</v>
      </c>
      <c r="B283" s="107">
        <v>4</v>
      </c>
      <c r="C283" s="107">
        <v>16</v>
      </c>
      <c r="D283" s="107">
        <v>4</v>
      </c>
      <c r="E283" s="107" t="s">
        <v>260</v>
      </c>
      <c r="F283" s="107" t="s">
        <v>261</v>
      </c>
      <c r="G283" s="161">
        <v>45354</v>
      </c>
      <c r="H283" s="107">
        <f t="shared" si="9"/>
        <v>5</v>
      </c>
    </row>
    <row r="284" spans="1:8">
      <c r="A284" s="107">
        <v>1</v>
      </c>
      <c r="B284" s="107">
        <v>4</v>
      </c>
      <c r="C284" s="107">
        <v>17</v>
      </c>
      <c r="D284" s="107">
        <v>1</v>
      </c>
      <c r="E284" s="107" t="s">
        <v>246</v>
      </c>
      <c r="F284" s="107" t="s">
        <v>247</v>
      </c>
      <c r="G284" s="161">
        <v>45355</v>
      </c>
      <c r="H284" s="107">
        <f t="shared" si="9"/>
        <v>6</v>
      </c>
    </row>
    <row r="285" spans="1:8">
      <c r="A285" s="107">
        <v>1</v>
      </c>
      <c r="B285" s="107">
        <v>4</v>
      </c>
      <c r="C285" s="107">
        <v>17</v>
      </c>
      <c r="D285" s="107">
        <v>2</v>
      </c>
      <c r="E285" s="107" t="s">
        <v>246</v>
      </c>
      <c r="F285" s="107" t="s">
        <v>247</v>
      </c>
      <c r="G285" s="161">
        <v>45355</v>
      </c>
      <c r="H285" s="107">
        <f t="shared" si="9"/>
        <v>6</v>
      </c>
    </row>
    <row r="286" spans="1:8">
      <c r="A286" s="107">
        <v>1</v>
      </c>
      <c r="B286" s="107">
        <v>4</v>
      </c>
      <c r="C286" s="107">
        <v>17</v>
      </c>
      <c r="D286" s="107">
        <v>3</v>
      </c>
      <c r="E286" s="107" t="s">
        <v>246</v>
      </c>
      <c r="F286" s="107" t="s">
        <v>247</v>
      </c>
      <c r="G286" s="161">
        <v>45354</v>
      </c>
      <c r="H286" s="107">
        <f t="shared" si="9"/>
        <v>5</v>
      </c>
    </row>
    <row r="287" spans="1:8">
      <c r="A287" s="107">
        <v>1</v>
      </c>
      <c r="B287" s="107">
        <v>4</v>
      </c>
      <c r="C287" s="107">
        <v>17</v>
      </c>
      <c r="D287" s="107">
        <v>4</v>
      </c>
      <c r="E287" s="107" t="s">
        <v>246</v>
      </c>
      <c r="F287" s="107" t="s">
        <v>247</v>
      </c>
      <c r="G287" s="161">
        <v>45355</v>
      </c>
      <c r="H287" s="107">
        <f t="shared" si="9"/>
        <v>6</v>
      </c>
    </row>
    <row r="288" spans="1:8">
      <c r="A288" s="107">
        <v>1</v>
      </c>
      <c r="B288" s="107">
        <v>4</v>
      </c>
      <c r="C288" s="107">
        <v>18</v>
      </c>
      <c r="D288" s="107">
        <v>1</v>
      </c>
      <c r="E288" s="107" t="s">
        <v>266</v>
      </c>
      <c r="F288" s="107" t="s">
        <v>267</v>
      </c>
      <c r="G288" s="161">
        <v>45357</v>
      </c>
      <c r="H288" s="107">
        <f t="shared" si="9"/>
        <v>8</v>
      </c>
    </row>
    <row r="289" spans="1:8">
      <c r="A289" s="107">
        <v>1</v>
      </c>
      <c r="B289" s="107">
        <v>4</v>
      </c>
      <c r="C289" s="107">
        <v>18</v>
      </c>
      <c r="D289" s="107">
        <v>2</v>
      </c>
      <c r="E289" s="107" t="s">
        <v>266</v>
      </c>
      <c r="F289" s="107" t="s">
        <v>267</v>
      </c>
      <c r="G289" s="107"/>
      <c r="H289" s="107"/>
    </row>
    <row r="290" spans="1:8">
      <c r="A290" s="107">
        <v>1</v>
      </c>
      <c r="B290" s="107">
        <v>4</v>
      </c>
      <c r="C290" s="107">
        <v>18</v>
      </c>
      <c r="D290" s="107">
        <v>3</v>
      </c>
      <c r="E290" s="107" t="s">
        <v>266</v>
      </c>
      <c r="F290" s="107" t="s">
        <v>267</v>
      </c>
      <c r="G290" s="107"/>
      <c r="H290" s="107"/>
    </row>
    <row r="291" spans="1:8">
      <c r="A291" s="107">
        <v>1</v>
      </c>
      <c r="B291" s="107">
        <v>4</v>
      </c>
      <c r="C291" s="107">
        <v>18</v>
      </c>
      <c r="D291" s="107">
        <v>4</v>
      </c>
      <c r="E291" s="107" t="s">
        <v>266</v>
      </c>
      <c r="F291" s="107" t="s">
        <v>267</v>
      </c>
      <c r="G291" s="161">
        <v>45360</v>
      </c>
      <c r="H291" s="107">
        <f t="shared" si="9"/>
        <v>11</v>
      </c>
    </row>
    <row r="292" spans="1:8">
      <c r="A292" s="107">
        <v>1</v>
      </c>
      <c r="B292" s="107">
        <v>5</v>
      </c>
      <c r="C292" s="107">
        <v>1</v>
      </c>
      <c r="D292" s="107">
        <v>1</v>
      </c>
      <c r="E292" s="107" t="s">
        <v>297</v>
      </c>
      <c r="F292" s="107" t="s">
        <v>298</v>
      </c>
      <c r="G292" s="161">
        <v>45353</v>
      </c>
      <c r="H292" s="107">
        <f t="shared" si="9"/>
        <v>4</v>
      </c>
    </row>
    <row r="293" spans="1:8">
      <c r="A293" s="107">
        <v>1</v>
      </c>
      <c r="B293" s="107">
        <v>5</v>
      </c>
      <c r="C293" s="107">
        <v>1</v>
      </c>
      <c r="D293" s="107">
        <v>2</v>
      </c>
      <c r="E293" s="107" t="s">
        <v>297</v>
      </c>
      <c r="F293" s="107" t="s">
        <v>298</v>
      </c>
      <c r="G293" s="161">
        <v>45353</v>
      </c>
      <c r="H293" s="107">
        <f t="shared" si="9"/>
        <v>4</v>
      </c>
    </row>
    <row r="294" spans="1:8">
      <c r="A294" s="107">
        <v>1</v>
      </c>
      <c r="B294" s="107">
        <v>5</v>
      </c>
      <c r="C294" s="107">
        <v>1</v>
      </c>
      <c r="D294" s="107">
        <v>3</v>
      </c>
      <c r="E294" s="107" t="s">
        <v>297</v>
      </c>
      <c r="F294" s="107" t="s">
        <v>298</v>
      </c>
      <c r="G294" s="161">
        <v>45354</v>
      </c>
      <c r="H294" s="107">
        <f t="shared" si="9"/>
        <v>5</v>
      </c>
    </row>
    <row r="295" spans="1:8">
      <c r="A295" s="107">
        <v>1</v>
      </c>
      <c r="B295" s="107">
        <v>5</v>
      </c>
      <c r="C295" s="107">
        <v>1</v>
      </c>
      <c r="D295" s="107">
        <v>4</v>
      </c>
      <c r="E295" s="107" t="s">
        <v>297</v>
      </c>
      <c r="F295" s="107" t="s">
        <v>298</v>
      </c>
      <c r="G295" s="161">
        <v>45353</v>
      </c>
      <c r="H295" s="107">
        <f t="shared" si="9"/>
        <v>4</v>
      </c>
    </row>
    <row r="296" spans="1:8">
      <c r="A296" s="107">
        <v>1</v>
      </c>
      <c r="B296" s="107">
        <v>5</v>
      </c>
      <c r="C296" s="107">
        <v>2</v>
      </c>
      <c r="D296" s="107">
        <v>1</v>
      </c>
      <c r="E296" s="107" t="s">
        <v>301</v>
      </c>
      <c r="F296" s="107" t="s">
        <v>302</v>
      </c>
      <c r="G296" s="161">
        <v>45353</v>
      </c>
      <c r="H296" s="107">
        <f t="shared" si="9"/>
        <v>4</v>
      </c>
    </row>
    <row r="297" spans="1:8">
      <c r="A297" s="107">
        <v>1</v>
      </c>
      <c r="B297" s="107">
        <v>5</v>
      </c>
      <c r="C297" s="107">
        <v>2</v>
      </c>
      <c r="D297" s="107">
        <v>2</v>
      </c>
      <c r="E297" s="107" t="s">
        <v>301</v>
      </c>
      <c r="F297" s="107" t="s">
        <v>302</v>
      </c>
      <c r="G297" s="161">
        <v>45354</v>
      </c>
      <c r="H297" s="107">
        <f t="shared" si="9"/>
        <v>5</v>
      </c>
    </row>
    <row r="298" spans="1:8">
      <c r="A298" s="107">
        <v>1</v>
      </c>
      <c r="B298" s="107">
        <v>5</v>
      </c>
      <c r="C298" s="107">
        <v>2</v>
      </c>
      <c r="D298" s="107">
        <v>3</v>
      </c>
      <c r="E298" s="107" t="s">
        <v>301</v>
      </c>
      <c r="F298" s="107" t="s">
        <v>302</v>
      </c>
      <c r="G298" s="161">
        <v>45354</v>
      </c>
      <c r="H298" s="107">
        <f t="shared" si="9"/>
        <v>5</v>
      </c>
    </row>
    <row r="299" spans="1:8">
      <c r="A299" s="107">
        <v>1</v>
      </c>
      <c r="B299" s="107">
        <v>5</v>
      </c>
      <c r="C299" s="107">
        <v>2</v>
      </c>
      <c r="D299" s="107">
        <v>4</v>
      </c>
      <c r="E299" s="107" t="s">
        <v>301</v>
      </c>
      <c r="F299" s="107" t="s">
        <v>302</v>
      </c>
      <c r="G299" s="161">
        <v>45353</v>
      </c>
      <c r="H299" s="107">
        <f t="shared" si="9"/>
        <v>4</v>
      </c>
    </row>
    <row r="300" spans="1:8">
      <c r="A300" s="107">
        <v>1</v>
      </c>
      <c r="B300" s="107">
        <v>5</v>
      </c>
      <c r="C300" s="107">
        <v>3</v>
      </c>
      <c r="D300" s="107">
        <v>1</v>
      </c>
      <c r="E300" s="107" t="s">
        <v>277</v>
      </c>
      <c r="F300" s="107" t="s">
        <v>278</v>
      </c>
      <c r="G300" s="161">
        <v>45353</v>
      </c>
      <c r="H300" s="107">
        <f t="shared" si="9"/>
        <v>4</v>
      </c>
    </row>
    <row r="301" spans="1:8">
      <c r="A301" s="107">
        <v>1</v>
      </c>
      <c r="B301" s="107">
        <v>5</v>
      </c>
      <c r="C301" s="107">
        <v>3</v>
      </c>
      <c r="D301" s="107">
        <v>2</v>
      </c>
      <c r="E301" s="107" t="s">
        <v>277</v>
      </c>
      <c r="F301" s="107" t="s">
        <v>278</v>
      </c>
      <c r="G301" s="161">
        <v>45353</v>
      </c>
      <c r="H301" s="107">
        <f t="shared" si="9"/>
        <v>4</v>
      </c>
    </row>
    <row r="302" spans="1:8">
      <c r="A302" s="107">
        <v>1</v>
      </c>
      <c r="B302" s="107">
        <v>5</v>
      </c>
      <c r="C302" s="107">
        <v>3</v>
      </c>
      <c r="D302" s="107">
        <v>3</v>
      </c>
      <c r="E302" s="107" t="s">
        <v>277</v>
      </c>
      <c r="F302" s="107" t="s">
        <v>278</v>
      </c>
      <c r="G302" s="161">
        <v>45353</v>
      </c>
      <c r="H302" s="107">
        <f t="shared" si="9"/>
        <v>4</v>
      </c>
    </row>
    <row r="303" spans="1:8">
      <c r="A303" s="107">
        <v>1</v>
      </c>
      <c r="B303" s="107">
        <v>5</v>
      </c>
      <c r="C303" s="107">
        <v>3</v>
      </c>
      <c r="D303" s="107">
        <v>4</v>
      </c>
      <c r="E303" s="107" t="s">
        <v>277</v>
      </c>
      <c r="F303" s="107" t="s">
        <v>278</v>
      </c>
      <c r="G303" s="161">
        <v>45353</v>
      </c>
      <c r="H303" s="107">
        <f t="shared" si="9"/>
        <v>4</v>
      </c>
    </row>
    <row r="304" spans="1:8">
      <c r="A304" s="107">
        <v>1</v>
      </c>
      <c r="B304" s="107">
        <v>5</v>
      </c>
      <c r="C304" s="107">
        <v>4</v>
      </c>
      <c r="D304" s="107">
        <v>1</v>
      </c>
      <c r="E304" s="107" t="s">
        <v>275</v>
      </c>
      <c r="F304" s="107" t="s">
        <v>276</v>
      </c>
      <c r="G304" s="161">
        <v>45355</v>
      </c>
      <c r="H304" s="107">
        <f t="shared" si="9"/>
        <v>6</v>
      </c>
    </row>
    <row r="305" spans="1:8">
      <c r="A305" s="107">
        <v>1</v>
      </c>
      <c r="B305" s="107">
        <v>5</v>
      </c>
      <c r="C305" s="107">
        <v>4</v>
      </c>
      <c r="D305" s="107">
        <v>2</v>
      </c>
      <c r="E305" s="107" t="s">
        <v>275</v>
      </c>
      <c r="F305" s="107" t="s">
        <v>276</v>
      </c>
      <c r="G305" s="161">
        <v>45354</v>
      </c>
      <c r="H305" s="107">
        <f t="shared" si="9"/>
        <v>5</v>
      </c>
    </row>
    <row r="306" spans="1:8">
      <c r="A306" s="107">
        <v>1</v>
      </c>
      <c r="B306" s="107">
        <v>5</v>
      </c>
      <c r="C306" s="107">
        <v>4</v>
      </c>
      <c r="D306" s="107">
        <v>3</v>
      </c>
      <c r="E306" s="107" t="s">
        <v>275</v>
      </c>
      <c r="F306" s="107" t="s">
        <v>276</v>
      </c>
      <c r="G306" s="161">
        <v>45354</v>
      </c>
      <c r="H306" s="107">
        <f t="shared" si="9"/>
        <v>5</v>
      </c>
    </row>
    <row r="307" spans="1:8">
      <c r="A307" s="107">
        <v>1</v>
      </c>
      <c r="B307" s="107">
        <v>5</v>
      </c>
      <c r="C307" s="107">
        <v>4</v>
      </c>
      <c r="D307" s="107">
        <v>4</v>
      </c>
      <c r="E307" s="107" t="s">
        <v>275</v>
      </c>
      <c r="F307" s="107" t="s">
        <v>276</v>
      </c>
      <c r="G307" s="161">
        <v>45353</v>
      </c>
      <c r="H307" s="107">
        <f t="shared" si="9"/>
        <v>4</v>
      </c>
    </row>
    <row r="308" spans="1:8">
      <c r="A308" s="107">
        <v>1</v>
      </c>
      <c r="B308" s="107">
        <v>5</v>
      </c>
      <c r="C308" s="107">
        <v>5</v>
      </c>
      <c r="D308" s="107">
        <v>1</v>
      </c>
      <c r="E308" s="107" t="s">
        <v>289</v>
      </c>
      <c r="F308" s="107" t="s">
        <v>290</v>
      </c>
      <c r="G308" s="161">
        <v>45353</v>
      </c>
      <c r="H308" s="107">
        <f t="shared" si="9"/>
        <v>4</v>
      </c>
    </row>
    <row r="309" spans="1:8">
      <c r="A309" s="107">
        <v>1</v>
      </c>
      <c r="B309" s="107">
        <v>5</v>
      </c>
      <c r="C309" s="107">
        <v>5</v>
      </c>
      <c r="D309" s="107">
        <v>2</v>
      </c>
      <c r="E309" s="107" t="s">
        <v>289</v>
      </c>
      <c r="F309" s="107" t="s">
        <v>290</v>
      </c>
      <c r="G309" s="161">
        <v>45353</v>
      </c>
      <c r="H309" s="107">
        <f t="shared" si="9"/>
        <v>4</v>
      </c>
    </row>
    <row r="310" spans="1:8">
      <c r="A310" s="107">
        <v>1</v>
      </c>
      <c r="B310" s="107">
        <v>5</v>
      </c>
      <c r="C310" s="107">
        <v>5</v>
      </c>
      <c r="D310" s="107">
        <v>3</v>
      </c>
      <c r="E310" s="107" t="s">
        <v>289</v>
      </c>
      <c r="F310" s="107" t="s">
        <v>290</v>
      </c>
      <c r="G310" s="161">
        <v>45353</v>
      </c>
      <c r="H310" s="107">
        <f t="shared" si="9"/>
        <v>4</v>
      </c>
    </row>
    <row r="311" spans="1:8">
      <c r="A311" s="107">
        <v>1</v>
      </c>
      <c r="B311" s="107">
        <v>5</v>
      </c>
      <c r="C311" s="107">
        <v>5</v>
      </c>
      <c r="D311" s="107">
        <v>4</v>
      </c>
      <c r="E311" s="107" t="s">
        <v>289</v>
      </c>
      <c r="F311" s="107" t="s">
        <v>290</v>
      </c>
      <c r="G311" s="161">
        <v>45353</v>
      </c>
      <c r="H311" s="107">
        <f t="shared" si="9"/>
        <v>4</v>
      </c>
    </row>
    <row r="312" spans="1:8">
      <c r="A312" s="107">
        <v>1</v>
      </c>
      <c r="B312" s="107">
        <v>5</v>
      </c>
      <c r="C312" s="107">
        <v>6</v>
      </c>
      <c r="D312" s="107">
        <v>1</v>
      </c>
      <c r="E312" s="107" t="s">
        <v>291</v>
      </c>
      <c r="F312" s="107" t="s">
        <v>292</v>
      </c>
      <c r="G312" s="161">
        <v>45353</v>
      </c>
      <c r="H312" s="107">
        <f t="shared" si="9"/>
        <v>4</v>
      </c>
    </row>
    <row r="313" spans="1:8">
      <c r="A313" s="107">
        <v>1</v>
      </c>
      <c r="B313" s="107">
        <v>5</v>
      </c>
      <c r="C313" s="107">
        <v>6</v>
      </c>
      <c r="D313" s="107">
        <v>2</v>
      </c>
      <c r="E313" s="107" t="s">
        <v>291</v>
      </c>
      <c r="F313" s="107" t="s">
        <v>292</v>
      </c>
      <c r="G313" s="161">
        <v>45354</v>
      </c>
      <c r="H313" s="107">
        <f t="shared" si="9"/>
        <v>5</v>
      </c>
    </row>
    <row r="314" spans="1:8">
      <c r="A314" s="107">
        <v>1</v>
      </c>
      <c r="B314" s="107">
        <v>5</v>
      </c>
      <c r="C314" s="107">
        <v>6</v>
      </c>
      <c r="D314" s="107">
        <v>3</v>
      </c>
      <c r="E314" s="107" t="s">
        <v>291</v>
      </c>
      <c r="F314" s="107" t="s">
        <v>292</v>
      </c>
      <c r="G314" s="161">
        <v>45354</v>
      </c>
      <c r="H314" s="107">
        <f t="shared" si="9"/>
        <v>5</v>
      </c>
    </row>
    <row r="315" spans="1:8">
      <c r="A315" s="107">
        <v>1</v>
      </c>
      <c r="B315" s="107">
        <v>5</v>
      </c>
      <c r="C315" s="107">
        <v>6</v>
      </c>
      <c r="D315" s="107">
        <v>4</v>
      </c>
      <c r="E315" s="107" t="s">
        <v>291</v>
      </c>
      <c r="F315" s="107" t="s">
        <v>292</v>
      </c>
      <c r="G315" s="161">
        <v>45353</v>
      </c>
      <c r="H315" s="107">
        <f t="shared" si="9"/>
        <v>4</v>
      </c>
    </row>
    <row r="316" spans="1:8">
      <c r="A316" s="107">
        <v>1</v>
      </c>
      <c r="B316" s="107">
        <v>5</v>
      </c>
      <c r="C316" s="107">
        <v>7</v>
      </c>
      <c r="D316" s="107">
        <v>1</v>
      </c>
      <c r="E316" s="107" t="s">
        <v>283</v>
      </c>
      <c r="F316" s="107" t="s">
        <v>284</v>
      </c>
      <c r="G316" s="161">
        <v>45355</v>
      </c>
      <c r="H316" s="107">
        <f t="shared" si="9"/>
        <v>6</v>
      </c>
    </row>
    <row r="317" spans="1:8">
      <c r="A317" s="107">
        <v>1</v>
      </c>
      <c r="B317" s="107">
        <v>5</v>
      </c>
      <c r="C317" s="107">
        <v>7</v>
      </c>
      <c r="D317" s="107">
        <v>2</v>
      </c>
      <c r="E317" s="107" t="s">
        <v>283</v>
      </c>
      <c r="F317" s="107" t="s">
        <v>284</v>
      </c>
      <c r="G317" s="161">
        <v>45354</v>
      </c>
      <c r="H317" s="107">
        <f t="shared" si="9"/>
        <v>5</v>
      </c>
    </row>
    <row r="318" spans="1:8">
      <c r="A318" s="107">
        <v>1</v>
      </c>
      <c r="B318" s="107">
        <v>5</v>
      </c>
      <c r="C318" s="107">
        <v>7</v>
      </c>
      <c r="D318" s="107">
        <v>3</v>
      </c>
      <c r="E318" s="107" t="s">
        <v>283</v>
      </c>
      <c r="F318" s="107" t="s">
        <v>284</v>
      </c>
      <c r="G318" s="161">
        <v>45353</v>
      </c>
      <c r="H318" s="107">
        <f t="shared" si="9"/>
        <v>4</v>
      </c>
    </row>
    <row r="319" spans="1:8">
      <c r="A319" s="107">
        <v>1</v>
      </c>
      <c r="B319" s="107">
        <v>5</v>
      </c>
      <c r="C319" s="107">
        <v>7</v>
      </c>
      <c r="D319" s="107">
        <v>4</v>
      </c>
      <c r="E319" s="107" t="s">
        <v>283</v>
      </c>
      <c r="F319" s="107" t="s">
        <v>284</v>
      </c>
      <c r="G319" s="161">
        <v>45354</v>
      </c>
      <c r="H319" s="107">
        <f t="shared" si="9"/>
        <v>5</v>
      </c>
    </row>
    <row r="320" spans="1:8">
      <c r="A320" s="107">
        <v>1</v>
      </c>
      <c r="B320" s="107">
        <v>5</v>
      </c>
      <c r="C320" s="107">
        <v>8</v>
      </c>
      <c r="D320" s="107">
        <v>1</v>
      </c>
      <c r="E320" s="107" t="s">
        <v>307</v>
      </c>
      <c r="F320" s="107" t="s">
        <v>308</v>
      </c>
      <c r="G320" s="161">
        <v>45358</v>
      </c>
      <c r="H320" s="107">
        <f t="shared" si="9"/>
        <v>9</v>
      </c>
    </row>
    <row r="321" spans="1:8">
      <c r="A321" s="107">
        <v>1</v>
      </c>
      <c r="B321" s="107">
        <v>5</v>
      </c>
      <c r="C321" s="107">
        <v>8</v>
      </c>
      <c r="D321" s="107">
        <v>2</v>
      </c>
      <c r="E321" s="107" t="s">
        <v>307</v>
      </c>
      <c r="F321" s="107" t="s">
        <v>308</v>
      </c>
      <c r="G321" s="161">
        <v>45354</v>
      </c>
      <c r="H321" s="107">
        <f t="shared" si="9"/>
        <v>5</v>
      </c>
    </row>
    <row r="322" spans="1:8">
      <c r="A322" s="107">
        <v>1</v>
      </c>
      <c r="B322" s="107">
        <v>5</v>
      </c>
      <c r="C322" s="107">
        <v>8</v>
      </c>
      <c r="D322" s="107">
        <v>3</v>
      </c>
      <c r="E322" s="107" t="s">
        <v>307</v>
      </c>
      <c r="F322" s="107" t="s">
        <v>308</v>
      </c>
      <c r="G322" s="161">
        <v>45355</v>
      </c>
      <c r="H322" s="107">
        <f t="shared" si="9"/>
        <v>6</v>
      </c>
    </row>
    <row r="323" spans="1:8">
      <c r="A323" s="107">
        <v>1</v>
      </c>
      <c r="B323" s="107">
        <v>5</v>
      </c>
      <c r="C323" s="107">
        <v>8</v>
      </c>
      <c r="D323" s="107">
        <v>4</v>
      </c>
      <c r="E323" s="107" t="s">
        <v>307</v>
      </c>
      <c r="F323" s="107" t="s">
        <v>308</v>
      </c>
      <c r="G323" s="161">
        <v>45354</v>
      </c>
      <c r="H323" s="107">
        <f t="shared" si="9"/>
        <v>5</v>
      </c>
    </row>
    <row r="324" spans="1:8">
      <c r="A324" s="107">
        <v>1</v>
      </c>
      <c r="B324" s="107">
        <v>5</v>
      </c>
      <c r="C324" s="107">
        <v>9</v>
      </c>
      <c r="D324" s="107">
        <v>1</v>
      </c>
      <c r="E324" s="107" t="s">
        <v>279</v>
      </c>
      <c r="F324" s="107" t="s">
        <v>280</v>
      </c>
      <c r="G324" s="161">
        <v>45353</v>
      </c>
      <c r="H324" s="107">
        <f t="shared" si="9"/>
        <v>4</v>
      </c>
    </row>
    <row r="325" spans="1:8">
      <c r="A325" s="107">
        <v>1</v>
      </c>
      <c r="B325" s="107">
        <v>5</v>
      </c>
      <c r="C325" s="107">
        <v>9</v>
      </c>
      <c r="D325" s="107">
        <v>2</v>
      </c>
      <c r="E325" s="107" t="s">
        <v>279</v>
      </c>
      <c r="F325" s="107" t="s">
        <v>280</v>
      </c>
      <c r="G325" s="161">
        <v>45353</v>
      </c>
      <c r="H325" s="107">
        <f t="shared" ref="H325:H388" si="10">DATEDIF($H$2,G325,"d")</f>
        <v>4</v>
      </c>
    </row>
    <row r="326" spans="1:8">
      <c r="A326" s="107">
        <v>1</v>
      </c>
      <c r="B326" s="107">
        <v>5</v>
      </c>
      <c r="C326" s="107">
        <v>9</v>
      </c>
      <c r="D326" s="107">
        <v>3</v>
      </c>
      <c r="E326" s="107" t="s">
        <v>279</v>
      </c>
      <c r="F326" s="107" t="s">
        <v>280</v>
      </c>
      <c r="G326" s="161">
        <v>45353</v>
      </c>
      <c r="H326" s="107">
        <f t="shared" si="10"/>
        <v>4</v>
      </c>
    </row>
    <row r="327" spans="1:8">
      <c r="A327" s="107">
        <v>1</v>
      </c>
      <c r="B327" s="107">
        <v>5</v>
      </c>
      <c r="C327" s="107">
        <v>9</v>
      </c>
      <c r="D327" s="107">
        <v>4</v>
      </c>
      <c r="E327" s="107" t="s">
        <v>279</v>
      </c>
      <c r="F327" s="107" t="s">
        <v>280</v>
      </c>
      <c r="G327" s="161">
        <v>45353</v>
      </c>
      <c r="H327" s="107">
        <f t="shared" si="10"/>
        <v>4</v>
      </c>
    </row>
    <row r="328" spans="1:8">
      <c r="A328" s="107">
        <v>1</v>
      </c>
      <c r="B328" s="107">
        <v>5</v>
      </c>
      <c r="C328" s="107">
        <v>10</v>
      </c>
      <c r="D328" s="107">
        <v>1</v>
      </c>
      <c r="E328" s="107" t="s">
        <v>305</v>
      </c>
      <c r="F328" s="107" t="s">
        <v>306</v>
      </c>
      <c r="G328" s="161">
        <v>45354</v>
      </c>
      <c r="H328" s="107">
        <f t="shared" si="10"/>
        <v>5</v>
      </c>
    </row>
    <row r="329" spans="1:8">
      <c r="A329" s="107">
        <v>1</v>
      </c>
      <c r="B329" s="107">
        <v>5</v>
      </c>
      <c r="C329" s="107">
        <v>10</v>
      </c>
      <c r="D329" s="107">
        <v>2</v>
      </c>
      <c r="E329" s="107" t="s">
        <v>305</v>
      </c>
      <c r="F329" s="107" t="s">
        <v>306</v>
      </c>
      <c r="G329" s="161">
        <v>45354</v>
      </c>
      <c r="H329" s="107">
        <f t="shared" si="10"/>
        <v>5</v>
      </c>
    </row>
    <row r="330" spans="1:8">
      <c r="A330" s="107">
        <v>1</v>
      </c>
      <c r="B330" s="107">
        <v>5</v>
      </c>
      <c r="C330" s="107">
        <v>10</v>
      </c>
      <c r="D330" s="107">
        <v>3</v>
      </c>
      <c r="E330" s="107" t="s">
        <v>305</v>
      </c>
      <c r="F330" s="107" t="s">
        <v>306</v>
      </c>
      <c r="G330" s="161">
        <v>45354</v>
      </c>
      <c r="H330" s="107">
        <f t="shared" si="10"/>
        <v>5</v>
      </c>
    </row>
    <row r="331" spans="1:8">
      <c r="A331" s="107">
        <v>1</v>
      </c>
      <c r="B331" s="107">
        <v>5</v>
      </c>
      <c r="C331" s="107">
        <v>10</v>
      </c>
      <c r="D331" s="107">
        <v>4</v>
      </c>
      <c r="E331" s="107" t="s">
        <v>305</v>
      </c>
      <c r="F331" s="107" t="s">
        <v>306</v>
      </c>
      <c r="G331" s="161">
        <v>45354</v>
      </c>
      <c r="H331" s="107">
        <f t="shared" si="10"/>
        <v>5</v>
      </c>
    </row>
    <row r="332" spans="1:8">
      <c r="A332" s="107">
        <v>1</v>
      </c>
      <c r="B332" s="107">
        <v>5</v>
      </c>
      <c r="C332" s="107">
        <v>11</v>
      </c>
      <c r="D332" s="107">
        <v>1</v>
      </c>
      <c r="E332" s="107" t="s">
        <v>273</v>
      </c>
      <c r="F332" s="107" t="s">
        <v>274</v>
      </c>
      <c r="G332" s="161">
        <v>45354</v>
      </c>
      <c r="H332" s="107">
        <f t="shared" si="10"/>
        <v>5</v>
      </c>
    </row>
    <row r="333" spans="1:8">
      <c r="A333" s="107">
        <v>1</v>
      </c>
      <c r="B333" s="107">
        <v>5</v>
      </c>
      <c r="C333" s="107">
        <v>11</v>
      </c>
      <c r="D333" s="107">
        <v>2</v>
      </c>
      <c r="E333" s="107" t="s">
        <v>273</v>
      </c>
      <c r="F333" s="107" t="s">
        <v>274</v>
      </c>
      <c r="G333" s="161">
        <v>45353</v>
      </c>
      <c r="H333" s="107">
        <f t="shared" si="10"/>
        <v>4</v>
      </c>
    </row>
    <row r="334" spans="1:8">
      <c r="A334" s="107">
        <v>1</v>
      </c>
      <c r="B334" s="107">
        <v>5</v>
      </c>
      <c r="C334" s="107">
        <v>11</v>
      </c>
      <c r="D334" s="107">
        <v>3</v>
      </c>
      <c r="E334" s="107" t="s">
        <v>273</v>
      </c>
      <c r="F334" s="107" t="s">
        <v>274</v>
      </c>
      <c r="G334" s="161">
        <v>45354</v>
      </c>
      <c r="H334" s="107">
        <f t="shared" si="10"/>
        <v>5</v>
      </c>
    </row>
    <row r="335" spans="1:8">
      <c r="A335" s="107">
        <v>1</v>
      </c>
      <c r="B335" s="107">
        <v>5</v>
      </c>
      <c r="C335" s="107">
        <v>11</v>
      </c>
      <c r="D335" s="107">
        <v>4</v>
      </c>
      <c r="E335" s="107" t="s">
        <v>273</v>
      </c>
      <c r="F335" s="107" t="s">
        <v>274</v>
      </c>
      <c r="G335" s="161">
        <v>45353</v>
      </c>
      <c r="H335" s="107">
        <f t="shared" si="10"/>
        <v>4</v>
      </c>
    </row>
    <row r="336" spans="1:8">
      <c r="A336" s="107">
        <v>1</v>
      </c>
      <c r="B336" s="107">
        <v>5</v>
      </c>
      <c r="C336" s="107">
        <v>12</v>
      </c>
      <c r="D336" s="107">
        <v>1</v>
      </c>
      <c r="E336" s="107" t="s">
        <v>285</v>
      </c>
      <c r="F336" s="107" t="s">
        <v>286</v>
      </c>
      <c r="G336" s="161">
        <v>45354</v>
      </c>
      <c r="H336" s="107">
        <f t="shared" si="10"/>
        <v>5</v>
      </c>
    </row>
    <row r="337" spans="1:8">
      <c r="A337" s="107">
        <v>1</v>
      </c>
      <c r="B337" s="107">
        <v>5</v>
      </c>
      <c r="C337" s="107">
        <v>12</v>
      </c>
      <c r="D337" s="107">
        <v>2</v>
      </c>
      <c r="E337" s="107" t="s">
        <v>285</v>
      </c>
      <c r="F337" s="107" t="s">
        <v>286</v>
      </c>
      <c r="G337" s="161">
        <v>45354</v>
      </c>
      <c r="H337" s="107">
        <f t="shared" si="10"/>
        <v>5</v>
      </c>
    </row>
    <row r="338" spans="1:8">
      <c r="A338" s="107">
        <v>1</v>
      </c>
      <c r="B338" s="107">
        <v>5</v>
      </c>
      <c r="C338" s="107">
        <v>12</v>
      </c>
      <c r="D338" s="107">
        <v>3</v>
      </c>
      <c r="E338" s="107" t="s">
        <v>285</v>
      </c>
      <c r="F338" s="107" t="s">
        <v>286</v>
      </c>
      <c r="G338" s="161">
        <v>45354</v>
      </c>
      <c r="H338" s="107">
        <f t="shared" si="10"/>
        <v>5</v>
      </c>
    </row>
    <row r="339" spans="1:8">
      <c r="A339" s="107">
        <v>1</v>
      </c>
      <c r="B339" s="107">
        <v>5</v>
      </c>
      <c r="C339" s="107">
        <v>12</v>
      </c>
      <c r="D339" s="107">
        <v>4</v>
      </c>
      <c r="E339" s="107" t="s">
        <v>285</v>
      </c>
      <c r="F339" s="107" t="s">
        <v>286</v>
      </c>
      <c r="G339" s="161">
        <v>45354</v>
      </c>
      <c r="H339" s="107">
        <f t="shared" si="10"/>
        <v>5</v>
      </c>
    </row>
    <row r="340" spans="1:8">
      <c r="A340" s="107">
        <v>1</v>
      </c>
      <c r="B340" s="107">
        <v>5</v>
      </c>
      <c r="C340" s="107">
        <v>13</v>
      </c>
      <c r="D340" s="107">
        <v>1</v>
      </c>
      <c r="E340" s="107" t="s">
        <v>299</v>
      </c>
      <c r="F340" s="107" t="s">
        <v>300</v>
      </c>
      <c r="G340" s="161">
        <v>45353</v>
      </c>
      <c r="H340" s="107">
        <f t="shared" si="10"/>
        <v>4</v>
      </c>
    </row>
    <row r="341" spans="1:8">
      <c r="A341" s="107">
        <v>1</v>
      </c>
      <c r="B341" s="107">
        <v>5</v>
      </c>
      <c r="C341" s="107">
        <v>13</v>
      </c>
      <c r="D341" s="107">
        <v>2</v>
      </c>
      <c r="E341" s="107" t="s">
        <v>299</v>
      </c>
      <c r="F341" s="107" t="s">
        <v>300</v>
      </c>
      <c r="G341" s="161">
        <v>45354</v>
      </c>
      <c r="H341" s="107">
        <f t="shared" si="10"/>
        <v>5</v>
      </c>
    </row>
    <row r="342" spans="1:8">
      <c r="A342" s="107">
        <v>1</v>
      </c>
      <c r="B342" s="107">
        <v>5</v>
      </c>
      <c r="C342" s="107">
        <v>13</v>
      </c>
      <c r="D342" s="107">
        <v>3</v>
      </c>
      <c r="E342" s="107" t="s">
        <v>299</v>
      </c>
      <c r="F342" s="107" t="s">
        <v>300</v>
      </c>
      <c r="G342" s="161">
        <v>45353</v>
      </c>
      <c r="H342" s="107">
        <f t="shared" si="10"/>
        <v>4</v>
      </c>
    </row>
    <row r="343" spans="1:8">
      <c r="A343" s="107">
        <v>1</v>
      </c>
      <c r="B343" s="107">
        <v>5</v>
      </c>
      <c r="C343" s="107">
        <v>13</v>
      </c>
      <c r="D343" s="107">
        <v>4</v>
      </c>
      <c r="E343" s="107" t="s">
        <v>299</v>
      </c>
      <c r="F343" s="107" t="s">
        <v>300</v>
      </c>
      <c r="G343" s="161">
        <v>45354</v>
      </c>
      <c r="H343" s="107">
        <f t="shared" si="10"/>
        <v>5</v>
      </c>
    </row>
    <row r="344" spans="1:8">
      <c r="A344" s="107">
        <v>1</v>
      </c>
      <c r="B344" s="107">
        <v>5</v>
      </c>
      <c r="C344" s="107">
        <v>14</v>
      </c>
      <c r="D344" s="107">
        <v>1</v>
      </c>
      <c r="E344" s="107" t="s">
        <v>303</v>
      </c>
      <c r="F344" s="107" t="s">
        <v>304</v>
      </c>
      <c r="G344" s="161">
        <v>45354</v>
      </c>
      <c r="H344" s="107">
        <f t="shared" si="10"/>
        <v>5</v>
      </c>
    </row>
    <row r="345" spans="1:8">
      <c r="A345" s="107">
        <v>1</v>
      </c>
      <c r="B345" s="107">
        <v>5</v>
      </c>
      <c r="C345" s="107">
        <v>14</v>
      </c>
      <c r="D345" s="107">
        <v>2</v>
      </c>
      <c r="E345" s="107" t="s">
        <v>303</v>
      </c>
      <c r="F345" s="107" t="s">
        <v>304</v>
      </c>
      <c r="G345" s="161">
        <v>45354</v>
      </c>
      <c r="H345" s="107">
        <f t="shared" si="10"/>
        <v>5</v>
      </c>
    </row>
    <row r="346" spans="1:8">
      <c r="A346" s="107">
        <v>1</v>
      </c>
      <c r="B346" s="107">
        <v>5</v>
      </c>
      <c r="C346" s="107">
        <v>14</v>
      </c>
      <c r="D346" s="107">
        <v>3</v>
      </c>
      <c r="E346" s="107" t="s">
        <v>303</v>
      </c>
      <c r="F346" s="107" t="s">
        <v>304</v>
      </c>
      <c r="G346" s="161">
        <v>45354</v>
      </c>
      <c r="H346" s="107">
        <f t="shared" si="10"/>
        <v>5</v>
      </c>
    </row>
    <row r="347" spans="1:8">
      <c r="A347" s="107">
        <v>1</v>
      </c>
      <c r="B347" s="107">
        <v>5</v>
      </c>
      <c r="C347" s="107">
        <v>14</v>
      </c>
      <c r="D347" s="107">
        <v>4</v>
      </c>
      <c r="E347" s="107" t="s">
        <v>303</v>
      </c>
      <c r="F347" s="107" t="s">
        <v>304</v>
      </c>
      <c r="G347" s="161">
        <v>45353</v>
      </c>
      <c r="H347" s="107">
        <f t="shared" si="10"/>
        <v>4</v>
      </c>
    </row>
    <row r="348" spans="1:8">
      <c r="A348" s="107">
        <v>1</v>
      </c>
      <c r="B348" s="107">
        <v>5</v>
      </c>
      <c r="C348" s="107">
        <v>15</v>
      </c>
      <c r="D348" s="107">
        <v>1</v>
      </c>
      <c r="E348" s="107" t="s">
        <v>293</v>
      </c>
      <c r="F348" s="107" t="s">
        <v>294</v>
      </c>
      <c r="G348" s="161">
        <v>45353</v>
      </c>
      <c r="H348" s="107">
        <f t="shared" si="10"/>
        <v>4</v>
      </c>
    </row>
    <row r="349" spans="1:8">
      <c r="A349" s="107">
        <v>1</v>
      </c>
      <c r="B349" s="107">
        <v>5</v>
      </c>
      <c r="C349" s="107">
        <v>15</v>
      </c>
      <c r="D349" s="107">
        <v>2</v>
      </c>
      <c r="E349" s="107" t="s">
        <v>293</v>
      </c>
      <c r="F349" s="107" t="s">
        <v>294</v>
      </c>
      <c r="G349" s="161">
        <v>45353</v>
      </c>
      <c r="H349" s="107">
        <f t="shared" si="10"/>
        <v>4</v>
      </c>
    </row>
    <row r="350" spans="1:8">
      <c r="A350" s="107">
        <v>1</v>
      </c>
      <c r="B350" s="107">
        <v>5</v>
      </c>
      <c r="C350" s="107">
        <v>15</v>
      </c>
      <c r="D350" s="107">
        <v>3</v>
      </c>
      <c r="E350" s="107" t="s">
        <v>293</v>
      </c>
      <c r="F350" s="107" t="s">
        <v>294</v>
      </c>
      <c r="G350" s="161">
        <v>45354</v>
      </c>
      <c r="H350" s="107">
        <f t="shared" si="10"/>
        <v>5</v>
      </c>
    </row>
    <row r="351" spans="1:8">
      <c r="A351" s="107">
        <v>1</v>
      </c>
      <c r="B351" s="107">
        <v>5</v>
      </c>
      <c r="C351" s="107">
        <v>15</v>
      </c>
      <c r="D351" s="107">
        <v>4</v>
      </c>
      <c r="E351" s="107" t="s">
        <v>293</v>
      </c>
      <c r="F351" s="107" t="s">
        <v>294</v>
      </c>
      <c r="G351" s="161">
        <v>45353</v>
      </c>
      <c r="H351" s="107">
        <f t="shared" si="10"/>
        <v>4</v>
      </c>
    </row>
    <row r="352" spans="1:8">
      <c r="A352" s="107">
        <v>1</v>
      </c>
      <c r="B352" s="107">
        <v>5</v>
      </c>
      <c r="C352" s="107">
        <v>16</v>
      </c>
      <c r="D352" s="107">
        <v>1</v>
      </c>
      <c r="E352" s="107" t="s">
        <v>295</v>
      </c>
      <c r="F352" s="107" t="s">
        <v>296</v>
      </c>
      <c r="G352" s="161">
        <v>45354</v>
      </c>
      <c r="H352" s="107">
        <f t="shared" si="10"/>
        <v>5</v>
      </c>
    </row>
    <row r="353" spans="1:8">
      <c r="A353" s="107">
        <v>1</v>
      </c>
      <c r="B353" s="107">
        <v>5</v>
      </c>
      <c r="C353" s="107">
        <v>16</v>
      </c>
      <c r="D353" s="107">
        <v>2</v>
      </c>
      <c r="E353" s="107" t="s">
        <v>295</v>
      </c>
      <c r="F353" s="107" t="s">
        <v>296</v>
      </c>
      <c r="G353" s="161">
        <v>45354</v>
      </c>
      <c r="H353" s="107">
        <f t="shared" si="10"/>
        <v>5</v>
      </c>
    </row>
    <row r="354" spans="1:8">
      <c r="A354" s="107">
        <v>1</v>
      </c>
      <c r="B354" s="107">
        <v>5</v>
      </c>
      <c r="C354" s="107">
        <v>16</v>
      </c>
      <c r="D354" s="107">
        <v>3</v>
      </c>
      <c r="E354" s="107" t="s">
        <v>295</v>
      </c>
      <c r="F354" s="107" t="s">
        <v>296</v>
      </c>
      <c r="G354" s="161">
        <v>45354</v>
      </c>
      <c r="H354" s="107">
        <f t="shared" si="10"/>
        <v>5</v>
      </c>
    </row>
    <row r="355" spans="1:8">
      <c r="A355" s="107">
        <v>1</v>
      </c>
      <c r="B355" s="107">
        <v>5</v>
      </c>
      <c r="C355" s="107">
        <v>16</v>
      </c>
      <c r="D355" s="107">
        <v>4</v>
      </c>
      <c r="E355" s="107" t="s">
        <v>295</v>
      </c>
      <c r="F355" s="107" t="s">
        <v>296</v>
      </c>
      <c r="G355" s="161">
        <v>45354</v>
      </c>
      <c r="H355" s="107">
        <f t="shared" si="10"/>
        <v>5</v>
      </c>
    </row>
    <row r="356" spans="1:8">
      <c r="A356" s="107">
        <v>1</v>
      </c>
      <c r="B356" s="107">
        <v>5</v>
      </c>
      <c r="C356" s="107">
        <v>17</v>
      </c>
      <c r="D356" s="107">
        <v>1</v>
      </c>
      <c r="E356" s="107" t="s">
        <v>287</v>
      </c>
      <c r="F356" s="107" t="s">
        <v>288</v>
      </c>
      <c r="G356" s="161">
        <v>45354</v>
      </c>
      <c r="H356" s="107">
        <f t="shared" si="10"/>
        <v>5</v>
      </c>
    </row>
    <row r="357" spans="1:8">
      <c r="A357" s="107">
        <v>1</v>
      </c>
      <c r="B357" s="107">
        <v>5</v>
      </c>
      <c r="C357" s="107">
        <v>17</v>
      </c>
      <c r="D357" s="107">
        <v>2</v>
      </c>
      <c r="E357" s="107" t="s">
        <v>287</v>
      </c>
      <c r="F357" s="107" t="s">
        <v>288</v>
      </c>
      <c r="G357" s="161">
        <v>45354</v>
      </c>
      <c r="H357" s="107">
        <f t="shared" si="10"/>
        <v>5</v>
      </c>
    </row>
    <row r="358" spans="1:8">
      <c r="A358" s="107">
        <v>1</v>
      </c>
      <c r="B358" s="107">
        <v>5</v>
      </c>
      <c r="C358" s="107">
        <v>17</v>
      </c>
      <c r="D358" s="107">
        <v>3</v>
      </c>
      <c r="E358" s="107" t="s">
        <v>287</v>
      </c>
      <c r="F358" s="107" t="s">
        <v>288</v>
      </c>
      <c r="G358" s="161">
        <v>45354</v>
      </c>
      <c r="H358" s="107">
        <f t="shared" si="10"/>
        <v>5</v>
      </c>
    </row>
    <row r="359" spans="1:8">
      <c r="A359" s="107">
        <v>1</v>
      </c>
      <c r="B359" s="107">
        <v>5</v>
      </c>
      <c r="C359" s="107">
        <v>17</v>
      </c>
      <c r="D359" s="107">
        <v>4</v>
      </c>
      <c r="E359" s="107" t="s">
        <v>287</v>
      </c>
      <c r="F359" s="107" t="s">
        <v>288</v>
      </c>
      <c r="G359" s="161">
        <v>45354</v>
      </c>
      <c r="H359" s="107">
        <f t="shared" si="10"/>
        <v>5</v>
      </c>
    </row>
    <row r="360" spans="1:8">
      <c r="A360" s="107">
        <v>1</v>
      </c>
      <c r="B360" s="107">
        <v>5</v>
      </c>
      <c r="C360" s="107">
        <v>18</v>
      </c>
      <c r="D360" s="107">
        <v>1</v>
      </c>
      <c r="E360" s="107" t="s">
        <v>281</v>
      </c>
      <c r="F360" s="107" t="s">
        <v>282</v>
      </c>
      <c r="G360" s="161">
        <v>45353</v>
      </c>
      <c r="H360" s="107">
        <f t="shared" si="10"/>
        <v>4</v>
      </c>
    </row>
    <row r="361" spans="1:8">
      <c r="A361" s="107">
        <v>1</v>
      </c>
      <c r="B361" s="107">
        <v>5</v>
      </c>
      <c r="C361" s="107">
        <v>18</v>
      </c>
      <c r="D361" s="107">
        <v>2</v>
      </c>
      <c r="E361" s="107" t="s">
        <v>281</v>
      </c>
      <c r="F361" s="107" t="s">
        <v>282</v>
      </c>
      <c r="G361" s="161">
        <v>45353</v>
      </c>
      <c r="H361" s="107">
        <f t="shared" si="10"/>
        <v>4</v>
      </c>
    </row>
    <row r="362" spans="1:8">
      <c r="A362" s="107">
        <v>1</v>
      </c>
      <c r="B362" s="107">
        <v>5</v>
      </c>
      <c r="C362" s="107">
        <v>18</v>
      </c>
      <c r="D362" s="107">
        <v>3</v>
      </c>
      <c r="E362" s="107" t="s">
        <v>281</v>
      </c>
      <c r="F362" s="107" t="s">
        <v>282</v>
      </c>
      <c r="G362" s="161">
        <v>45353</v>
      </c>
      <c r="H362" s="107">
        <f t="shared" si="10"/>
        <v>4</v>
      </c>
    </row>
    <row r="363" spans="1:8">
      <c r="A363" s="107">
        <v>1</v>
      </c>
      <c r="B363" s="107">
        <v>5</v>
      </c>
      <c r="C363" s="107">
        <v>18</v>
      </c>
      <c r="D363" s="107">
        <v>4</v>
      </c>
      <c r="E363" s="107" t="s">
        <v>281</v>
      </c>
      <c r="F363" s="107" t="s">
        <v>282</v>
      </c>
      <c r="G363" s="161">
        <v>45353</v>
      </c>
      <c r="H363" s="107">
        <f t="shared" si="10"/>
        <v>4</v>
      </c>
    </row>
    <row r="364" spans="1:8">
      <c r="A364" s="107">
        <v>1</v>
      </c>
      <c r="B364" s="107">
        <v>6</v>
      </c>
      <c r="C364" s="107">
        <v>1</v>
      </c>
      <c r="D364" s="107">
        <v>1</v>
      </c>
      <c r="E364" s="107" t="s">
        <v>311</v>
      </c>
      <c r="F364" s="107" t="s">
        <v>312</v>
      </c>
      <c r="G364" s="161">
        <v>45354</v>
      </c>
      <c r="H364" s="107">
        <f t="shared" si="10"/>
        <v>5</v>
      </c>
    </row>
    <row r="365" spans="1:8">
      <c r="A365" s="107">
        <v>1</v>
      </c>
      <c r="B365" s="107">
        <v>6</v>
      </c>
      <c r="C365" s="107">
        <v>1</v>
      </c>
      <c r="D365" s="107">
        <v>2</v>
      </c>
      <c r="E365" s="107" t="s">
        <v>311</v>
      </c>
      <c r="F365" s="107" t="s">
        <v>312</v>
      </c>
      <c r="G365" s="161">
        <v>45357</v>
      </c>
      <c r="H365" s="107">
        <f t="shared" si="10"/>
        <v>8</v>
      </c>
    </row>
    <row r="366" spans="1:8">
      <c r="A366" s="107">
        <v>1</v>
      </c>
      <c r="B366" s="107">
        <v>6</v>
      </c>
      <c r="C366" s="107">
        <v>1</v>
      </c>
      <c r="D366" s="107">
        <v>3</v>
      </c>
      <c r="E366" s="107" t="s">
        <v>311</v>
      </c>
      <c r="F366" s="107" t="s">
        <v>312</v>
      </c>
      <c r="G366" s="161">
        <v>45353</v>
      </c>
      <c r="H366" s="107">
        <f t="shared" si="10"/>
        <v>4</v>
      </c>
    </row>
    <row r="367" spans="1:8">
      <c r="A367" s="107">
        <v>1</v>
      </c>
      <c r="B367" s="107">
        <v>6</v>
      </c>
      <c r="C367" s="107">
        <v>1</v>
      </c>
      <c r="D367" s="107">
        <v>4</v>
      </c>
      <c r="E367" s="107" t="s">
        <v>311</v>
      </c>
      <c r="F367" s="107" t="s">
        <v>312</v>
      </c>
      <c r="G367" s="161">
        <v>45355</v>
      </c>
      <c r="H367" s="107">
        <f t="shared" si="10"/>
        <v>6</v>
      </c>
    </row>
    <row r="368" spans="1:8">
      <c r="A368" s="107">
        <v>1</v>
      </c>
      <c r="B368" s="107">
        <v>6</v>
      </c>
      <c r="C368" s="107">
        <v>2</v>
      </c>
      <c r="D368" s="107">
        <v>1</v>
      </c>
      <c r="E368" s="107" t="s">
        <v>321</v>
      </c>
      <c r="F368" s="107" t="s">
        <v>322</v>
      </c>
      <c r="G368" s="161">
        <v>45353</v>
      </c>
      <c r="H368" s="107">
        <f t="shared" si="10"/>
        <v>4</v>
      </c>
    </row>
    <row r="369" spans="1:8">
      <c r="A369" s="107">
        <v>1</v>
      </c>
      <c r="B369" s="107">
        <v>6</v>
      </c>
      <c r="C369" s="107">
        <v>2</v>
      </c>
      <c r="D369" s="107">
        <v>2</v>
      </c>
      <c r="E369" s="107" t="s">
        <v>321</v>
      </c>
      <c r="F369" s="107" t="s">
        <v>322</v>
      </c>
      <c r="G369" s="161">
        <v>45353</v>
      </c>
      <c r="H369" s="107">
        <f t="shared" si="10"/>
        <v>4</v>
      </c>
    </row>
    <row r="370" spans="1:8">
      <c r="A370" s="107">
        <v>1</v>
      </c>
      <c r="B370" s="107">
        <v>6</v>
      </c>
      <c r="C370" s="107">
        <v>2</v>
      </c>
      <c r="D370" s="107">
        <v>3</v>
      </c>
      <c r="E370" s="107" t="s">
        <v>321</v>
      </c>
      <c r="F370" s="107" t="s">
        <v>322</v>
      </c>
      <c r="G370" s="161">
        <v>45354</v>
      </c>
      <c r="H370" s="107">
        <f t="shared" si="10"/>
        <v>5</v>
      </c>
    </row>
    <row r="371" spans="1:8">
      <c r="A371" s="107">
        <v>1</v>
      </c>
      <c r="B371" s="107">
        <v>6</v>
      </c>
      <c r="C371" s="107">
        <v>2</v>
      </c>
      <c r="D371" s="107">
        <v>4</v>
      </c>
      <c r="E371" s="107" t="s">
        <v>321</v>
      </c>
      <c r="F371" s="107" t="s">
        <v>322</v>
      </c>
      <c r="G371" s="161">
        <v>45354</v>
      </c>
      <c r="H371" s="107">
        <f t="shared" si="10"/>
        <v>5</v>
      </c>
    </row>
    <row r="372" spans="1:8">
      <c r="A372" s="107">
        <v>1</v>
      </c>
      <c r="B372" s="107">
        <v>6</v>
      </c>
      <c r="C372" s="107">
        <v>3</v>
      </c>
      <c r="D372" s="107">
        <v>1</v>
      </c>
      <c r="E372" s="107" t="s">
        <v>341</v>
      </c>
      <c r="F372" s="107" t="s">
        <v>342</v>
      </c>
      <c r="G372" s="161">
        <v>45353</v>
      </c>
      <c r="H372" s="107">
        <f t="shared" si="10"/>
        <v>4</v>
      </c>
    </row>
    <row r="373" spans="1:8">
      <c r="A373" s="107">
        <v>1</v>
      </c>
      <c r="B373" s="107">
        <v>6</v>
      </c>
      <c r="C373" s="107">
        <v>3</v>
      </c>
      <c r="D373" s="107">
        <v>2</v>
      </c>
      <c r="E373" s="107" t="s">
        <v>341</v>
      </c>
      <c r="F373" s="107" t="s">
        <v>342</v>
      </c>
      <c r="G373" s="161">
        <v>45354</v>
      </c>
      <c r="H373" s="107">
        <f t="shared" si="10"/>
        <v>5</v>
      </c>
    </row>
    <row r="374" spans="1:8">
      <c r="A374" s="107">
        <v>1</v>
      </c>
      <c r="B374" s="107">
        <v>6</v>
      </c>
      <c r="C374" s="107">
        <v>3</v>
      </c>
      <c r="D374" s="107">
        <v>3</v>
      </c>
      <c r="E374" s="107" t="s">
        <v>341</v>
      </c>
      <c r="F374" s="107" t="s">
        <v>342</v>
      </c>
      <c r="G374" s="161">
        <v>45353</v>
      </c>
      <c r="H374" s="107">
        <f t="shared" si="10"/>
        <v>4</v>
      </c>
    </row>
    <row r="375" spans="1:8">
      <c r="A375" s="107">
        <v>1</v>
      </c>
      <c r="B375" s="107">
        <v>6</v>
      </c>
      <c r="C375" s="107">
        <v>3</v>
      </c>
      <c r="D375" s="107">
        <v>4</v>
      </c>
      <c r="E375" s="107" t="s">
        <v>341</v>
      </c>
      <c r="F375" s="107" t="s">
        <v>342</v>
      </c>
      <c r="G375" s="161">
        <v>45354</v>
      </c>
      <c r="H375" s="107">
        <f t="shared" si="10"/>
        <v>5</v>
      </c>
    </row>
    <row r="376" spans="1:8">
      <c r="A376" s="107">
        <v>1</v>
      </c>
      <c r="B376" s="107">
        <v>6</v>
      </c>
      <c r="C376" s="107">
        <v>4</v>
      </c>
      <c r="D376" s="107">
        <v>1</v>
      </c>
      <c r="E376" s="107" t="s">
        <v>339</v>
      </c>
      <c r="F376" s="107" t="s">
        <v>340</v>
      </c>
      <c r="G376" s="161">
        <v>45353</v>
      </c>
      <c r="H376" s="107">
        <f t="shared" si="10"/>
        <v>4</v>
      </c>
    </row>
    <row r="377" spans="1:8">
      <c r="A377" s="107">
        <v>1</v>
      </c>
      <c r="B377" s="107">
        <v>6</v>
      </c>
      <c r="C377" s="107">
        <v>4</v>
      </c>
      <c r="D377" s="107">
        <v>2</v>
      </c>
      <c r="E377" s="107" t="s">
        <v>339</v>
      </c>
      <c r="F377" s="107" t="s">
        <v>340</v>
      </c>
      <c r="G377" s="161">
        <v>45354</v>
      </c>
      <c r="H377" s="107">
        <f t="shared" si="10"/>
        <v>5</v>
      </c>
    </row>
    <row r="378" spans="1:8">
      <c r="A378" s="107">
        <v>1</v>
      </c>
      <c r="B378" s="107">
        <v>6</v>
      </c>
      <c r="C378" s="107">
        <v>4</v>
      </c>
      <c r="D378" s="107">
        <v>3</v>
      </c>
      <c r="E378" s="107" t="s">
        <v>339</v>
      </c>
      <c r="F378" s="107" t="s">
        <v>340</v>
      </c>
      <c r="G378" s="161">
        <v>45353</v>
      </c>
      <c r="H378" s="107">
        <f t="shared" si="10"/>
        <v>4</v>
      </c>
    </row>
    <row r="379" spans="1:8">
      <c r="A379" s="107">
        <v>1</v>
      </c>
      <c r="B379" s="107">
        <v>6</v>
      </c>
      <c r="C379" s="107">
        <v>4</v>
      </c>
      <c r="D379" s="107">
        <v>4</v>
      </c>
      <c r="E379" s="107" t="s">
        <v>339</v>
      </c>
      <c r="F379" s="107" t="s">
        <v>340</v>
      </c>
      <c r="G379" s="161">
        <v>45353</v>
      </c>
      <c r="H379" s="107">
        <f t="shared" si="10"/>
        <v>4</v>
      </c>
    </row>
    <row r="380" spans="1:8">
      <c r="A380" s="107">
        <v>1</v>
      </c>
      <c r="B380" s="107">
        <v>6</v>
      </c>
      <c r="C380" s="107">
        <v>5</v>
      </c>
      <c r="D380" s="107">
        <v>1</v>
      </c>
      <c r="E380" s="107" t="s">
        <v>317</v>
      </c>
      <c r="F380" s="107" t="s">
        <v>318</v>
      </c>
      <c r="G380" s="161">
        <v>45354</v>
      </c>
      <c r="H380" s="107">
        <f t="shared" si="10"/>
        <v>5</v>
      </c>
    </row>
    <row r="381" spans="1:8">
      <c r="A381" s="107">
        <v>1</v>
      </c>
      <c r="B381" s="107">
        <v>6</v>
      </c>
      <c r="C381" s="107">
        <v>5</v>
      </c>
      <c r="D381" s="107">
        <v>2</v>
      </c>
      <c r="E381" s="107" t="s">
        <v>317</v>
      </c>
      <c r="F381" s="107" t="s">
        <v>318</v>
      </c>
      <c r="G381" s="161">
        <v>45354</v>
      </c>
      <c r="H381" s="107">
        <f t="shared" si="10"/>
        <v>5</v>
      </c>
    </row>
    <row r="382" spans="1:8">
      <c r="A382" s="107">
        <v>1</v>
      </c>
      <c r="B382" s="107">
        <v>6</v>
      </c>
      <c r="C382" s="107">
        <v>5</v>
      </c>
      <c r="D382" s="107">
        <v>3</v>
      </c>
      <c r="E382" s="107" t="s">
        <v>317</v>
      </c>
      <c r="F382" s="107" t="s">
        <v>318</v>
      </c>
      <c r="G382" s="161">
        <v>45354</v>
      </c>
      <c r="H382" s="107">
        <f t="shared" si="10"/>
        <v>5</v>
      </c>
    </row>
    <row r="383" spans="1:8">
      <c r="A383" s="107">
        <v>1</v>
      </c>
      <c r="B383" s="107">
        <v>6</v>
      </c>
      <c r="C383" s="107">
        <v>5</v>
      </c>
      <c r="D383" s="107">
        <v>4</v>
      </c>
      <c r="E383" s="107" t="s">
        <v>317</v>
      </c>
      <c r="F383" s="107" t="s">
        <v>318</v>
      </c>
      <c r="G383" s="161">
        <v>45354</v>
      </c>
      <c r="H383" s="107">
        <f t="shared" si="10"/>
        <v>5</v>
      </c>
    </row>
    <row r="384" spans="1:8">
      <c r="A384" s="107">
        <v>1</v>
      </c>
      <c r="B384" s="107">
        <v>6</v>
      </c>
      <c r="C384" s="107">
        <v>6</v>
      </c>
      <c r="D384" s="107">
        <v>1</v>
      </c>
      <c r="E384" s="107" t="s">
        <v>309</v>
      </c>
      <c r="F384" s="107" t="s">
        <v>310</v>
      </c>
      <c r="G384" s="161">
        <v>45353</v>
      </c>
      <c r="H384" s="107">
        <f t="shared" si="10"/>
        <v>4</v>
      </c>
    </row>
    <row r="385" spans="1:8">
      <c r="A385" s="107">
        <v>1</v>
      </c>
      <c r="B385" s="107">
        <v>6</v>
      </c>
      <c r="C385" s="107">
        <v>6</v>
      </c>
      <c r="D385" s="107">
        <v>2</v>
      </c>
      <c r="E385" s="107" t="s">
        <v>309</v>
      </c>
      <c r="F385" s="107" t="s">
        <v>310</v>
      </c>
      <c r="G385" s="161">
        <v>45354</v>
      </c>
      <c r="H385" s="107">
        <f t="shared" si="10"/>
        <v>5</v>
      </c>
    </row>
    <row r="386" spans="1:8">
      <c r="A386" s="107">
        <v>1</v>
      </c>
      <c r="B386" s="107">
        <v>6</v>
      </c>
      <c r="C386" s="107">
        <v>6</v>
      </c>
      <c r="D386" s="107">
        <v>3</v>
      </c>
      <c r="E386" s="107" t="s">
        <v>309</v>
      </c>
      <c r="F386" s="107" t="s">
        <v>310</v>
      </c>
      <c r="G386" s="161">
        <v>45354</v>
      </c>
      <c r="H386" s="107">
        <f t="shared" si="10"/>
        <v>5</v>
      </c>
    </row>
    <row r="387" spans="1:8">
      <c r="A387" s="107">
        <v>1</v>
      </c>
      <c r="B387" s="107">
        <v>6</v>
      </c>
      <c r="C387" s="107">
        <v>6</v>
      </c>
      <c r="D387" s="107">
        <v>4</v>
      </c>
      <c r="E387" s="107" t="s">
        <v>309</v>
      </c>
      <c r="F387" s="107" t="s">
        <v>310</v>
      </c>
      <c r="G387" s="161">
        <v>45353</v>
      </c>
      <c r="H387" s="107">
        <f t="shared" si="10"/>
        <v>4</v>
      </c>
    </row>
    <row r="388" spans="1:8">
      <c r="A388" s="107">
        <v>1</v>
      </c>
      <c r="B388" s="107">
        <v>6</v>
      </c>
      <c r="C388" s="107">
        <v>7</v>
      </c>
      <c r="D388" s="107">
        <v>1</v>
      </c>
      <c r="E388" s="107" t="s">
        <v>313</v>
      </c>
      <c r="F388" s="107" t="s">
        <v>314</v>
      </c>
      <c r="G388" s="161">
        <v>45354</v>
      </c>
      <c r="H388" s="107">
        <f t="shared" si="10"/>
        <v>5</v>
      </c>
    </row>
    <row r="389" spans="1:8">
      <c r="A389" s="107">
        <v>1</v>
      </c>
      <c r="B389" s="107">
        <v>6</v>
      </c>
      <c r="C389" s="107">
        <v>7</v>
      </c>
      <c r="D389" s="107">
        <v>2</v>
      </c>
      <c r="E389" s="107" t="s">
        <v>313</v>
      </c>
      <c r="F389" s="107" t="s">
        <v>314</v>
      </c>
      <c r="G389" s="161">
        <v>45354</v>
      </c>
      <c r="H389" s="107">
        <f t="shared" ref="H389:H452" si="11">DATEDIF($H$2,G389,"d")</f>
        <v>5</v>
      </c>
    </row>
    <row r="390" spans="1:8">
      <c r="A390" s="107">
        <v>1</v>
      </c>
      <c r="B390" s="107">
        <v>6</v>
      </c>
      <c r="C390" s="107">
        <v>7</v>
      </c>
      <c r="D390" s="107">
        <v>3</v>
      </c>
      <c r="E390" s="107" t="s">
        <v>313</v>
      </c>
      <c r="F390" s="107" t="s">
        <v>314</v>
      </c>
      <c r="G390" s="161">
        <v>45354</v>
      </c>
      <c r="H390" s="107">
        <f t="shared" si="11"/>
        <v>5</v>
      </c>
    </row>
    <row r="391" spans="1:8">
      <c r="A391" s="107">
        <v>1</v>
      </c>
      <c r="B391" s="107">
        <v>6</v>
      </c>
      <c r="C391" s="107">
        <v>7</v>
      </c>
      <c r="D391" s="107">
        <v>4</v>
      </c>
      <c r="E391" s="107" t="s">
        <v>313</v>
      </c>
      <c r="F391" s="107" t="s">
        <v>314</v>
      </c>
      <c r="G391" s="161">
        <v>45354</v>
      </c>
      <c r="H391" s="107">
        <f t="shared" si="11"/>
        <v>5</v>
      </c>
    </row>
    <row r="392" spans="1:8">
      <c r="A392" s="107">
        <v>1</v>
      </c>
      <c r="B392" s="107">
        <v>6</v>
      </c>
      <c r="C392" s="107">
        <v>8</v>
      </c>
      <c r="D392" s="107">
        <v>1</v>
      </c>
      <c r="E392" s="107" t="s">
        <v>323</v>
      </c>
      <c r="F392" s="107" t="s">
        <v>324</v>
      </c>
      <c r="G392" s="161">
        <v>45354</v>
      </c>
      <c r="H392" s="107">
        <f t="shared" si="11"/>
        <v>5</v>
      </c>
    </row>
    <row r="393" spans="1:8">
      <c r="A393" s="107">
        <v>1</v>
      </c>
      <c r="B393" s="107">
        <v>6</v>
      </c>
      <c r="C393" s="107">
        <v>8</v>
      </c>
      <c r="D393" s="107">
        <v>2</v>
      </c>
      <c r="E393" s="107" t="s">
        <v>323</v>
      </c>
      <c r="F393" s="107" t="s">
        <v>324</v>
      </c>
      <c r="G393" s="161">
        <v>45354</v>
      </c>
      <c r="H393" s="107">
        <f t="shared" si="11"/>
        <v>5</v>
      </c>
    </row>
    <row r="394" spans="1:8">
      <c r="A394" s="107">
        <v>1</v>
      </c>
      <c r="B394" s="107">
        <v>6</v>
      </c>
      <c r="C394" s="107">
        <v>8</v>
      </c>
      <c r="D394" s="107">
        <v>3</v>
      </c>
      <c r="E394" s="107" t="s">
        <v>323</v>
      </c>
      <c r="F394" s="107" t="s">
        <v>324</v>
      </c>
      <c r="G394" s="161">
        <v>45354</v>
      </c>
      <c r="H394" s="107">
        <f t="shared" si="11"/>
        <v>5</v>
      </c>
    </row>
    <row r="395" spans="1:8">
      <c r="A395" s="107">
        <v>1</v>
      </c>
      <c r="B395" s="107">
        <v>6</v>
      </c>
      <c r="C395" s="107">
        <v>8</v>
      </c>
      <c r="D395" s="107">
        <v>4</v>
      </c>
      <c r="E395" s="107" t="s">
        <v>323</v>
      </c>
      <c r="F395" s="107" t="s">
        <v>324</v>
      </c>
      <c r="G395" s="161">
        <v>45354</v>
      </c>
      <c r="H395" s="107">
        <f t="shared" si="11"/>
        <v>5</v>
      </c>
    </row>
    <row r="396" spans="1:8">
      <c r="A396" s="107">
        <v>1</v>
      </c>
      <c r="B396" s="107">
        <v>6</v>
      </c>
      <c r="C396" s="107">
        <v>9</v>
      </c>
      <c r="D396" s="107">
        <v>1</v>
      </c>
      <c r="E396" s="107" t="s">
        <v>325</v>
      </c>
      <c r="F396" s="107" t="s">
        <v>326</v>
      </c>
      <c r="G396" s="161">
        <v>45354</v>
      </c>
      <c r="H396" s="107">
        <f t="shared" si="11"/>
        <v>5</v>
      </c>
    </row>
    <row r="397" spans="1:8">
      <c r="A397" s="107">
        <v>1</v>
      </c>
      <c r="B397" s="107">
        <v>6</v>
      </c>
      <c r="C397" s="107">
        <v>9</v>
      </c>
      <c r="D397" s="107">
        <v>2</v>
      </c>
      <c r="E397" s="107" t="s">
        <v>325</v>
      </c>
      <c r="F397" s="107" t="s">
        <v>326</v>
      </c>
      <c r="G397" s="161">
        <v>45354</v>
      </c>
      <c r="H397" s="107">
        <f t="shared" si="11"/>
        <v>5</v>
      </c>
    </row>
    <row r="398" spans="1:8">
      <c r="A398" s="107">
        <v>1</v>
      </c>
      <c r="B398" s="107">
        <v>6</v>
      </c>
      <c r="C398" s="107">
        <v>9</v>
      </c>
      <c r="D398" s="107">
        <v>3</v>
      </c>
      <c r="E398" s="107" t="s">
        <v>325</v>
      </c>
      <c r="F398" s="107" t="s">
        <v>326</v>
      </c>
      <c r="G398" s="161">
        <v>45354</v>
      </c>
      <c r="H398" s="107">
        <f t="shared" si="11"/>
        <v>5</v>
      </c>
    </row>
    <row r="399" spans="1:8">
      <c r="A399" s="107">
        <v>1</v>
      </c>
      <c r="B399" s="107">
        <v>6</v>
      </c>
      <c r="C399" s="107">
        <v>9</v>
      </c>
      <c r="D399" s="107">
        <v>4</v>
      </c>
      <c r="E399" s="107" t="s">
        <v>325</v>
      </c>
      <c r="F399" s="107" t="s">
        <v>326</v>
      </c>
      <c r="G399" s="161">
        <v>45354</v>
      </c>
      <c r="H399" s="107">
        <f t="shared" si="11"/>
        <v>5</v>
      </c>
    </row>
    <row r="400" spans="1:8">
      <c r="A400" s="107">
        <v>1</v>
      </c>
      <c r="B400" s="107">
        <v>6</v>
      </c>
      <c r="C400" s="107">
        <v>10</v>
      </c>
      <c r="D400" s="107">
        <v>1</v>
      </c>
      <c r="E400" s="107" t="s">
        <v>329</v>
      </c>
      <c r="F400" s="107" t="s">
        <v>330</v>
      </c>
      <c r="G400" s="161">
        <v>45355</v>
      </c>
      <c r="H400" s="107">
        <f t="shared" si="11"/>
        <v>6</v>
      </c>
    </row>
    <row r="401" spans="1:8">
      <c r="A401" s="107">
        <v>1</v>
      </c>
      <c r="B401" s="107">
        <v>6</v>
      </c>
      <c r="C401" s="107">
        <v>10</v>
      </c>
      <c r="D401" s="107">
        <v>2</v>
      </c>
      <c r="E401" s="107" t="s">
        <v>329</v>
      </c>
      <c r="F401" s="107" t="s">
        <v>330</v>
      </c>
      <c r="G401" s="161">
        <v>45354</v>
      </c>
      <c r="H401" s="107">
        <f t="shared" si="11"/>
        <v>5</v>
      </c>
    </row>
    <row r="402" spans="1:8">
      <c r="A402" s="107">
        <v>1</v>
      </c>
      <c r="B402" s="107">
        <v>6</v>
      </c>
      <c r="C402" s="107">
        <v>10</v>
      </c>
      <c r="D402" s="107">
        <v>3</v>
      </c>
      <c r="E402" s="107" t="s">
        <v>329</v>
      </c>
      <c r="F402" s="107" t="s">
        <v>330</v>
      </c>
      <c r="G402" s="161">
        <v>45354</v>
      </c>
      <c r="H402" s="107">
        <f t="shared" si="11"/>
        <v>5</v>
      </c>
    </row>
    <row r="403" spans="1:8">
      <c r="A403" s="107">
        <v>1</v>
      </c>
      <c r="B403" s="107">
        <v>6</v>
      </c>
      <c r="C403" s="107">
        <v>10</v>
      </c>
      <c r="D403" s="107">
        <v>4</v>
      </c>
      <c r="E403" s="107" t="s">
        <v>329</v>
      </c>
      <c r="F403" s="107" t="s">
        <v>330</v>
      </c>
      <c r="G403" s="161">
        <v>45354</v>
      </c>
      <c r="H403" s="107">
        <f t="shared" si="11"/>
        <v>5</v>
      </c>
    </row>
    <row r="404" spans="1:8">
      <c r="A404" s="107">
        <v>1</v>
      </c>
      <c r="B404" s="107">
        <v>6</v>
      </c>
      <c r="C404" s="107">
        <v>11</v>
      </c>
      <c r="D404" s="107">
        <v>1</v>
      </c>
      <c r="E404" s="107" t="s">
        <v>331</v>
      </c>
      <c r="F404" s="107" t="s">
        <v>332</v>
      </c>
      <c r="G404" s="161">
        <v>45353</v>
      </c>
      <c r="H404" s="107">
        <f t="shared" si="11"/>
        <v>4</v>
      </c>
    </row>
    <row r="405" spans="1:8">
      <c r="A405" s="107">
        <v>1</v>
      </c>
      <c r="B405" s="107">
        <v>6</v>
      </c>
      <c r="C405" s="107">
        <v>11</v>
      </c>
      <c r="D405" s="107">
        <v>2</v>
      </c>
      <c r="E405" s="107" t="s">
        <v>331</v>
      </c>
      <c r="F405" s="107" t="s">
        <v>332</v>
      </c>
      <c r="G405" s="161">
        <v>45354</v>
      </c>
      <c r="H405" s="107">
        <f t="shared" si="11"/>
        <v>5</v>
      </c>
    </row>
    <row r="406" spans="1:8">
      <c r="A406" s="107">
        <v>1</v>
      </c>
      <c r="B406" s="107">
        <v>6</v>
      </c>
      <c r="C406" s="107">
        <v>11</v>
      </c>
      <c r="D406" s="107">
        <v>3</v>
      </c>
      <c r="E406" s="107" t="s">
        <v>331</v>
      </c>
      <c r="F406" s="107" t="s">
        <v>332</v>
      </c>
      <c r="G406" s="161">
        <v>45354</v>
      </c>
      <c r="H406" s="107">
        <f t="shared" si="11"/>
        <v>5</v>
      </c>
    </row>
    <row r="407" spans="1:8">
      <c r="A407" s="107">
        <v>1</v>
      </c>
      <c r="B407" s="107">
        <v>6</v>
      </c>
      <c r="C407" s="107">
        <v>11</v>
      </c>
      <c r="D407" s="107">
        <v>4</v>
      </c>
      <c r="E407" s="107" t="s">
        <v>331</v>
      </c>
      <c r="F407" s="107" t="s">
        <v>332</v>
      </c>
      <c r="G407" s="161">
        <v>45354</v>
      </c>
      <c r="H407" s="107">
        <f t="shared" si="11"/>
        <v>5</v>
      </c>
    </row>
    <row r="408" spans="1:8">
      <c r="A408" s="107">
        <v>1</v>
      </c>
      <c r="B408" s="107">
        <v>6</v>
      </c>
      <c r="C408" s="107">
        <v>12</v>
      </c>
      <c r="D408" s="107">
        <v>1</v>
      </c>
      <c r="E408" s="107" t="s">
        <v>327</v>
      </c>
      <c r="F408" s="107" t="s">
        <v>328</v>
      </c>
      <c r="G408" s="161">
        <v>45354</v>
      </c>
      <c r="H408" s="107">
        <f t="shared" si="11"/>
        <v>5</v>
      </c>
    </row>
    <row r="409" spans="1:8">
      <c r="A409" s="107">
        <v>1</v>
      </c>
      <c r="B409" s="107">
        <v>6</v>
      </c>
      <c r="C409" s="107">
        <v>12</v>
      </c>
      <c r="D409" s="107">
        <v>2</v>
      </c>
      <c r="E409" s="107" t="s">
        <v>327</v>
      </c>
      <c r="F409" s="107" t="s">
        <v>328</v>
      </c>
      <c r="G409" s="161">
        <v>45354</v>
      </c>
      <c r="H409" s="107">
        <f t="shared" si="11"/>
        <v>5</v>
      </c>
    </row>
    <row r="410" spans="1:8">
      <c r="A410" s="107">
        <v>1</v>
      </c>
      <c r="B410" s="107">
        <v>6</v>
      </c>
      <c r="C410" s="107">
        <v>12</v>
      </c>
      <c r="D410" s="107">
        <v>3</v>
      </c>
      <c r="E410" s="107" t="s">
        <v>327</v>
      </c>
      <c r="F410" s="107" t="s">
        <v>328</v>
      </c>
      <c r="G410" s="161">
        <v>45354</v>
      </c>
      <c r="H410" s="107">
        <f t="shared" si="11"/>
        <v>5</v>
      </c>
    </row>
    <row r="411" spans="1:8">
      <c r="A411" s="107">
        <v>1</v>
      </c>
      <c r="B411" s="107">
        <v>6</v>
      </c>
      <c r="C411" s="107">
        <v>12</v>
      </c>
      <c r="D411" s="107">
        <v>4</v>
      </c>
      <c r="E411" s="107" t="s">
        <v>327</v>
      </c>
      <c r="F411" s="107" t="s">
        <v>328</v>
      </c>
      <c r="G411" s="161">
        <v>45354</v>
      </c>
      <c r="H411" s="107">
        <f t="shared" si="11"/>
        <v>5</v>
      </c>
    </row>
    <row r="412" spans="1:8">
      <c r="A412" s="107">
        <v>1</v>
      </c>
      <c r="B412" s="107">
        <v>6</v>
      </c>
      <c r="C412" s="107">
        <v>13</v>
      </c>
      <c r="D412" s="107">
        <v>1</v>
      </c>
      <c r="E412" s="107" t="s">
        <v>333</v>
      </c>
      <c r="F412" s="107" t="s">
        <v>334</v>
      </c>
      <c r="G412" s="161">
        <v>45354</v>
      </c>
      <c r="H412" s="107">
        <f t="shared" si="11"/>
        <v>5</v>
      </c>
    </row>
    <row r="413" spans="1:8">
      <c r="A413" s="107">
        <v>1</v>
      </c>
      <c r="B413" s="107">
        <v>6</v>
      </c>
      <c r="C413" s="107">
        <v>13</v>
      </c>
      <c r="D413" s="107">
        <v>2</v>
      </c>
      <c r="E413" s="107" t="s">
        <v>333</v>
      </c>
      <c r="F413" s="107" t="s">
        <v>334</v>
      </c>
      <c r="G413" s="161">
        <v>45354</v>
      </c>
      <c r="H413" s="107">
        <f t="shared" si="11"/>
        <v>5</v>
      </c>
    </row>
    <row r="414" spans="1:8">
      <c r="A414" s="107">
        <v>1</v>
      </c>
      <c r="B414" s="107">
        <v>6</v>
      </c>
      <c r="C414" s="107">
        <v>13</v>
      </c>
      <c r="D414" s="107">
        <v>3</v>
      </c>
      <c r="E414" s="107" t="s">
        <v>333</v>
      </c>
      <c r="F414" s="107" t="s">
        <v>334</v>
      </c>
      <c r="G414" s="161">
        <v>45353</v>
      </c>
      <c r="H414" s="107">
        <f t="shared" si="11"/>
        <v>4</v>
      </c>
    </row>
    <row r="415" spans="1:8">
      <c r="A415" s="107">
        <v>1</v>
      </c>
      <c r="B415" s="107">
        <v>6</v>
      </c>
      <c r="C415" s="107">
        <v>13</v>
      </c>
      <c r="D415" s="107">
        <v>4</v>
      </c>
      <c r="E415" s="107" t="s">
        <v>333</v>
      </c>
      <c r="F415" s="107" t="s">
        <v>334</v>
      </c>
      <c r="G415" s="161">
        <v>45353</v>
      </c>
      <c r="H415" s="107">
        <f t="shared" si="11"/>
        <v>4</v>
      </c>
    </row>
    <row r="416" spans="1:8">
      <c r="A416" s="107">
        <v>1</v>
      </c>
      <c r="B416" s="107">
        <v>6</v>
      </c>
      <c r="C416" s="107">
        <v>14</v>
      </c>
      <c r="D416" s="107">
        <v>1</v>
      </c>
      <c r="E416" s="107" t="s">
        <v>343</v>
      </c>
      <c r="F416" s="107" t="s">
        <v>344</v>
      </c>
      <c r="G416" s="161">
        <v>45354</v>
      </c>
      <c r="H416" s="107">
        <f t="shared" si="11"/>
        <v>5</v>
      </c>
    </row>
    <row r="417" spans="1:8">
      <c r="A417" s="107">
        <v>1</v>
      </c>
      <c r="B417" s="107">
        <v>6</v>
      </c>
      <c r="C417" s="107">
        <v>14</v>
      </c>
      <c r="D417" s="107">
        <v>2</v>
      </c>
      <c r="E417" s="107" t="s">
        <v>343</v>
      </c>
      <c r="F417" s="107" t="s">
        <v>344</v>
      </c>
      <c r="G417" s="161">
        <v>45353</v>
      </c>
      <c r="H417" s="107">
        <f t="shared" si="11"/>
        <v>4</v>
      </c>
    </row>
    <row r="418" spans="1:8">
      <c r="A418" s="107">
        <v>1</v>
      </c>
      <c r="B418" s="107">
        <v>6</v>
      </c>
      <c r="C418" s="107">
        <v>14</v>
      </c>
      <c r="D418" s="107">
        <v>3</v>
      </c>
      <c r="E418" s="107" t="s">
        <v>343</v>
      </c>
      <c r="F418" s="107" t="s">
        <v>344</v>
      </c>
      <c r="G418" s="161">
        <v>45354</v>
      </c>
      <c r="H418" s="107">
        <f t="shared" si="11"/>
        <v>5</v>
      </c>
    </row>
    <row r="419" spans="1:8">
      <c r="A419" s="107">
        <v>1</v>
      </c>
      <c r="B419" s="107">
        <v>6</v>
      </c>
      <c r="C419" s="107">
        <v>14</v>
      </c>
      <c r="D419" s="107">
        <v>4</v>
      </c>
      <c r="E419" s="107" t="s">
        <v>343</v>
      </c>
      <c r="F419" s="107" t="s">
        <v>344</v>
      </c>
      <c r="G419" s="161">
        <v>45354</v>
      </c>
      <c r="H419" s="107">
        <f t="shared" si="11"/>
        <v>5</v>
      </c>
    </row>
    <row r="420" spans="1:8">
      <c r="A420" s="107">
        <v>1</v>
      </c>
      <c r="B420" s="107">
        <v>6</v>
      </c>
      <c r="C420" s="107">
        <v>15</v>
      </c>
      <c r="D420" s="107">
        <v>1</v>
      </c>
      <c r="E420" s="107" t="s">
        <v>335</v>
      </c>
      <c r="F420" s="107" t="s">
        <v>336</v>
      </c>
      <c r="G420" s="161">
        <v>45354</v>
      </c>
      <c r="H420" s="107">
        <f t="shared" si="11"/>
        <v>5</v>
      </c>
    </row>
    <row r="421" spans="1:8">
      <c r="A421" s="107">
        <v>1</v>
      </c>
      <c r="B421" s="107">
        <v>6</v>
      </c>
      <c r="C421" s="107">
        <v>15</v>
      </c>
      <c r="D421" s="107">
        <v>2</v>
      </c>
      <c r="E421" s="107" t="s">
        <v>335</v>
      </c>
      <c r="F421" s="107" t="s">
        <v>336</v>
      </c>
      <c r="G421" s="161">
        <v>45354</v>
      </c>
      <c r="H421" s="107">
        <f t="shared" si="11"/>
        <v>5</v>
      </c>
    </row>
    <row r="422" spans="1:8">
      <c r="A422" s="107">
        <v>1</v>
      </c>
      <c r="B422" s="107">
        <v>6</v>
      </c>
      <c r="C422" s="107">
        <v>15</v>
      </c>
      <c r="D422" s="107">
        <v>3</v>
      </c>
      <c r="E422" s="107" t="s">
        <v>335</v>
      </c>
      <c r="F422" s="107" t="s">
        <v>336</v>
      </c>
      <c r="G422" s="161">
        <v>45354</v>
      </c>
      <c r="H422" s="107">
        <f t="shared" si="11"/>
        <v>5</v>
      </c>
    </row>
    <row r="423" spans="1:8">
      <c r="A423" s="107">
        <v>1</v>
      </c>
      <c r="B423" s="107">
        <v>6</v>
      </c>
      <c r="C423" s="107">
        <v>15</v>
      </c>
      <c r="D423" s="107">
        <v>4</v>
      </c>
      <c r="E423" s="107" t="s">
        <v>335</v>
      </c>
      <c r="F423" s="107" t="s">
        <v>336</v>
      </c>
      <c r="G423" s="161">
        <v>45354</v>
      </c>
      <c r="H423" s="107">
        <f t="shared" si="11"/>
        <v>5</v>
      </c>
    </row>
    <row r="424" spans="1:8">
      <c r="A424" s="107">
        <v>1</v>
      </c>
      <c r="B424" s="107">
        <v>6</v>
      </c>
      <c r="C424" s="107">
        <v>16</v>
      </c>
      <c r="D424" s="107">
        <v>1</v>
      </c>
      <c r="E424" s="107" t="s">
        <v>315</v>
      </c>
      <c r="F424" s="107" t="s">
        <v>316</v>
      </c>
      <c r="G424" s="161">
        <v>45354</v>
      </c>
      <c r="H424" s="107">
        <f t="shared" si="11"/>
        <v>5</v>
      </c>
    </row>
    <row r="425" spans="1:8">
      <c r="A425" s="107">
        <v>1</v>
      </c>
      <c r="B425" s="107">
        <v>6</v>
      </c>
      <c r="C425" s="107">
        <v>16</v>
      </c>
      <c r="D425" s="107">
        <v>2</v>
      </c>
      <c r="E425" s="107" t="s">
        <v>315</v>
      </c>
      <c r="F425" s="107" t="s">
        <v>316</v>
      </c>
      <c r="G425" s="161">
        <v>45354</v>
      </c>
      <c r="H425" s="107">
        <f t="shared" si="11"/>
        <v>5</v>
      </c>
    </row>
    <row r="426" spans="1:8">
      <c r="A426" s="107">
        <v>1</v>
      </c>
      <c r="B426" s="107">
        <v>6</v>
      </c>
      <c r="C426" s="107">
        <v>16</v>
      </c>
      <c r="D426" s="107">
        <v>3</v>
      </c>
      <c r="E426" s="107" t="s">
        <v>315</v>
      </c>
      <c r="F426" s="107" t="s">
        <v>316</v>
      </c>
      <c r="G426" s="161">
        <v>45353</v>
      </c>
      <c r="H426" s="107">
        <f t="shared" si="11"/>
        <v>4</v>
      </c>
    </row>
    <row r="427" spans="1:8">
      <c r="A427" s="107">
        <v>1</v>
      </c>
      <c r="B427" s="107">
        <v>6</v>
      </c>
      <c r="C427" s="107">
        <v>16</v>
      </c>
      <c r="D427" s="107">
        <v>4</v>
      </c>
      <c r="E427" s="107" t="s">
        <v>315</v>
      </c>
      <c r="F427" s="107" t="s">
        <v>316</v>
      </c>
      <c r="G427" s="161">
        <v>45353</v>
      </c>
      <c r="H427" s="107">
        <f t="shared" si="11"/>
        <v>4</v>
      </c>
    </row>
    <row r="428" spans="1:8">
      <c r="A428" s="107">
        <v>1</v>
      </c>
      <c r="B428" s="107">
        <v>6</v>
      </c>
      <c r="C428" s="107">
        <v>17</v>
      </c>
      <c r="D428" s="107">
        <v>1</v>
      </c>
      <c r="E428" s="107" t="s">
        <v>319</v>
      </c>
      <c r="F428" s="107" t="s">
        <v>320</v>
      </c>
      <c r="G428" s="161">
        <v>45353</v>
      </c>
      <c r="H428" s="107">
        <f t="shared" si="11"/>
        <v>4</v>
      </c>
    </row>
    <row r="429" spans="1:8">
      <c r="A429" s="107">
        <v>1</v>
      </c>
      <c r="B429" s="107">
        <v>6</v>
      </c>
      <c r="C429" s="107">
        <v>17</v>
      </c>
      <c r="D429" s="107">
        <v>2</v>
      </c>
      <c r="E429" s="107" t="s">
        <v>319</v>
      </c>
      <c r="F429" s="107" t="s">
        <v>320</v>
      </c>
      <c r="G429" s="161">
        <v>45355</v>
      </c>
      <c r="H429" s="107">
        <f t="shared" si="11"/>
        <v>6</v>
      </c>
    </row>
    <row r="430" spans="1:8">
      <c r="A430" s="107">
        <v>1</v>
      </c>
      <c r="B430" s="107">
        <v>6</v>
      </c>
      <c r="C430" s="107">
        <v>17</v>
      </c>
      <c r="D430" s="107">
        <v>3</v>
      </c>
      <c r="E430" s="107" t="s">
        <v>319</v>
      </c>
      <c r="F430" s="107" t="s">
        <v>320</v>
      </c>
      <c r="G430" s="161">
        <v>45353</v>
      </c>
      <c r="H430" s="107">
        <f t="shared" si="11"/>
        <v>4</v>
      </c>
    </row>
    <row r="431" spans="1:8">
      <c r="A431" s="107">
        <v>1</v>
      </c>
      <c r="B431" s="107">
        <v>6</v>
      </c>
      <c r="C431" s="107">
        <v>17</v>
      </c>
      <c r="D431" s="107">
        <v>4</v>
      </c>
      <c r="E431" s="107" t="s">
        <v>319</v>
      </c>
      <c r="F431" s="107" t="s">
        <v>320</v>
      </c>
      <c r="G431" s="161">
        <v>45354</v>
      </c>
      <c r="H431" s="107">
        <f t="shared" si="11"/>
        <v>5</v>
      </c>
    </row>
    <row r="432" spans="1:8">
      <c r="A432" s="107">
        <v>1</v>
      </c>
      <c r="B432" s="107">
        <v>6</v>
      </c>
      <c r="C432" s="107">
        <v>18</v>
      </c>
      <c r="D432" s="107">
        <v>1</v>
      </c>
      <c r="E432" s="107" t="s">
        <v>337</v>
      </c>
      <c r="F432" s="107" t="s">
        <v>338</v>
      </c>
      <c r="G432" s="161">
        <v>45354</v>
      </c>
      <c r="H432" s="107">
        <f t="shared" si="11"/>
        <v>5</v>
      </c>
    </row>
    <row r="433" spans="1:8">
      <c r="A433" s="107">
        <v>1</v>
      </c>
      <c r="B433" s="107">
        <v>6</v>
      </c>
      <c r="C433" s="107">
        <v>18</v>
      </c>
      <c r="D433" s="107">
        <v>2</v>
      </c>
      <c r="E433" s="107" t="s">
        <v>337</v>
      </c>
      <c r="F433" s="107" t="s">
        <v>338</v>
      </c>
      <c r="G433" s="161">
        <v>45354</v>
      </c>
      <c r="H433" s="107">
        <f t="shared" si="11"/>
        <v>5</v>
      </c>
    </row>
    <row r="434" spans="1:8">
      <c r="A434" s="107">
        <v>1</v>
      </c>
      <c r="B434" s="107">
        <v>6</v>
      </c>
      <c r="C434" s="107">
        <v>18</v>
      </c>
      <c r="D434" s="107">
        <v>3</v>
      </c>
      <c r="E434" s="107" t="s">
        <v>337</v>
      </c>
      <c r="F434" s="107" t="s">
        <v>338</v>
      </c>
      <c r="G434" s="161">
        <v>45354</v>
      </c>
      <c r="H434" s="107">
        <f t="shared" si="11"/>
        <v>5</v>
      </c>
    </row>
    <row r="435" spans="1:8">
      <c r="A435" s="107">
        <v>1</v>
      </c>
      <c r="B435" s="107">
        <v>6</v>
      </c>
      <c r="C435" s="107">
        <v>18</v>
      </c>
      <c r="D435" s="107">
        <v>4</v>
      </c>
      <c r="E435" s="107" t="s">
        <v>337</v>
      </c>
      <c r="F435" s="107" t="s">
        <v>338</v>
      </c>
      <c r="G435" s="161">
        <v>45353</v>
      </c>
      <c r="H435" s="107">
        <f t="shared" si="11"/>
        <v>4</v>
      </c>
    </row>
    <row r="436" spans="1:8">
      <c r="A436" s="107">
        <v>1</v>
      </c>
      <c r="B436" s="107">
        <v>7</v>
      </c>
      <c r="C436" s="107">
        <v>1</v>
      </c>
      <c r="D436" s="107">
        <v>1</v>
      </c>
      <c r="E436" s="107" t="s">
        <v>355</v>
      </c>
      <c r="F436" s="107" t="s">
        <v>356</v>
      </c>
      <c r="G436" s="161">
        <v>45354</v>
      </c>
      <c r="H436" s="107">
        <f t="shared" si="11"/>
        <v>5</v>
      </c>
    </row>
    <row r="437" spans="1:8">
      <c r="A437" s="107">
        <v>1</v>
      </c>
      <c r="B437" s="107">
        <v>7</v>
      </c>
      <c r="C437" s="107">
        <v>1</v>
      </c>
      <c r="D437" s="107">
        <v>2</v>
      </c>
      <c r="E437" s="107" t="s">
        <v>355</v>
      </c>
      <c r="F437" s="107" t="s">
        <v>356</v>
      </c>
      <c r="G437" s="161">
        <v>45354</v>
      </c>
      <c r="H437" s="107">
        <f t="shared" si="11"/>
        <v>5</v>
      </c>
    </row>
    <row r="438" spans="1:8">
      <c r="A438" s="107">
        <v>1</v>
      </c>
      <c r="B438" s="107">
        <v>7</v>
      </c>
      <c r="C438" s="107">
        <v>1</v>
      </c>
      <c r="D438" s="107">
        <v>3</v>
      </c>
      <c r="E438" s="107" t="s">
        <v>355</v>
      </c>
      <c r="F438" s="107" t="s">
        <v>356</v>
      </c>
      <c r="G438" s="161">
        <v>45354</v>
      </c>
      <c r="H438" s="107">
        <f t="shared" si="11"/>
        <v>5</v>
      </c>
    </row>
    <row r="439" spans="1:8">
      <c r="A439" s="107">
        <v>1</v>
      </c>
      <c r="B439" s="107">
        <v>7</v>
      </c>
      <c r="C439" s="107">
        <v>1</v>
      </c>
      <c r="D439" s="107">
        <v>4</v>
      </c>
      <c r="E439" s="107" t="s">
        <v>355</v>
      </c>
      <c r="F439" s="107" t="s">
        <v>356</v>
      </c>
      <c r="G439" s="161">
        <v>45354</v>
      </c>
      <c r="H439" s="107">
        <f t="shared" si="11"/>
        <v>5</v>
      </c>
    </row>
    <row r="440" spans="1:8">
      <c r="A440" s="107">
        <v>1</v>
      </c>
      <c r="B440" s="107">
        <v>7</v>
      </c>
      <c r="C440" s="107">
        <v>2</v>
      </c>
      <c r="D440" s="107">
        <v>1</v>
      </c>
      <c r="E440" s="107" t="s">
        <v>377</v>
      </c>
      <c r="F440" s="107" t="s">
        <v>378</v>
      </c>
      <c r="G440" s="161">
        <v>45354</v>
      </c>
      <c r="H440" s="107">
        <f t="shared" si="11"/>
        <v>5</v>
      </c>
    </row>
    <row r="441" spans="1:8">
      <c r="A441" s="107">
        <v>1</v>
      </c>
      <c r="B441" s="107">
        <v>7</v>
      </c>
      <c r="C441" s="107">
        <v>2</v>
      </c>
      <c r="D441" s="107">
        <v>2</v>
      </c>
      <c r="E441" s="107" t="s">
        <v>377</v>
      </c>
      <c r="F441" s="107" t="s">
        <v>378</v>
      </c>
      <c r="G441" s="161">
        <v>45354</v>
      </c>
      <c r="H441" s="107">
        <f t="shared" si="11"/>
        <v>5</v>
      </c>
    </row>
    <row r="442" spans="1:8">
      <c r="A442" s="107">
        <v>1</v>
      </c>
      <c r="B442" s="107">
        <v>7</v>
      </c>
      <c r="C442" s="107">
        <v>2</v>
      </c>
      <c r="D442" s="107">
        <v>3</v>
      </c>
      <c r="E442" s="107" t="s">
        <v>377</v>
      </c>
      <c r="F442" s="107" t="s">
        <v>378</v>
      </c>
      <c r="G442" s="161">
        <v>45353</v>
      </c>
      <c r="H442" s="107">
        <f t="shared" si="11"/>
        <v>4</v>
      </c>
    </row>
    <row r="443" spans="1:8">
      <c r="A443" s="107">
        <v>1</v>
      </c>
      <c r="B443" s="107">
        <v>7</v>
      </c>
      <c r="C443" s="107">
        <v>2</v>
      </c>
      <c r="D443" s="107">
        <v>4</v>
      </c>
      <c r="E443" s="107" t="s">
        <v>377</v>
      </c>
      <c r="F443" s="107" t="s">
        <v>378</v>
      </c>
      <c r="G443" s="161">
        <v>45353</v>
      </c>
      <c r="H443" s="107">
        <f t="shared" si="11"/>
        <v>4</v>
      </c>
    </row>
    <row r="444" spans="1:8">
      <c r="A444" s="107">
        <v>1</v>
      </c>
      <c r="B444" s="107">
        <v>7</v>
      </c>
      <c r="C444" s="107">
        <v>3</v>
      </c>
      <c r="D444" s="107">
        <v>1</v>
      </c>
      <c r="E444" s="107" t="s">
        <v>347</v>
      </c>
      <c r="F444" s="107" t="s">
        <v>348</v>
      </c>
      <c r="G444" s="161">
        <v>45353</v>
      </c>
      <c r="H444" s="107">
        <f t="shared" si="11"/>
        <v>4</v>
      </c>
    </row>
    <row r="445" spans="1:8">
      <c r="A445" s="107">
        <v>1</v>
      </c>
      <c r="B445" s="107">
        <v>7</v>
      </c>
      <c r="C445" s="107">
        <v>3</v>
      </c>
      <c r="D445" s="107">
        <v>2</v>
      </c>
      <c r="E445" s="107" t="s">
        <v>347</v>
      </c>
      <c r="F445" s="107" t="s">
        <v>348</v>
      </c>
      <c r="G445" s="161">
        <v>45353</v>
      </c>
      <c r="H445" s="107">
        <f t="shared" si="11"/>
        <v>4</v>
      </c>
    </row>
    <row r="446" spans="1:8">
      <c r="A446" s="107">
        <v>1</v>
      </c>
      <c r="B446" s="107">
        <v>7</v>
      </c>
      <c r="C446" s="107">
        <v>3</v>
      </c>
      <c r="D446" s="107">
        <v>3</v>
      </c>
      <c r="E446" s="107" t="s">
        <v>347</v>
      </c>
      <c r="F446" s="107" t="s">
        <v>348</v>
      </c>
      <c r="G446" s="161">
        <v>45354</v>
      </c>
      <c r="H446" s="107">
        <f t="shared" si="11"/>
        <v>5</v>
      </c>
    </row>
    <row r="447" spans="1:8">
      <c r="A447" s="107">
        <v>1</v>
      </c>
      <c r="B447" s="107">
        <v>7</v>
      </c>
      <c r="C447" s="107">
        <v>3</v>
      </c>
      <c r="D447" s="107">
        <v>4</v>
      </c>
      <c r="E447" s="107" t="s">
        <v>347</v>
      </c>
      <c r="F447" s="107" t="s">
        <v>348</v>
      </c>
      <c r="G447" s="161">
        <v>45353</v>
      </c>
      <c r="H447" s="107">
        <f t="shared" si="11"/>
        <v>4</v>
      </c>
    </row>
    <row r="448" spans="1:8">
      <c r="A448" s="107">
        <v>1</v>
      </c>
      <c r="B448" s="107">
        <v>7</v>
      </c>
      <c r="C448" s="107">
        <v>4</v>
      </c>
      <c r="D448" s="107">
        <v>1</v>
      </c>
      <c r="E448" s="107" t="s">
        <v>345</v>
      </c>
      <c r="F448" s="107" t="s">
        <v>346</v>
      </c>
      <c r="G448" s="161">
        <v>45353</v>
      </c>
      <c r="H448" s="107">
        <f t="shared" si="11"/>
        <v>4</v>
      </c>
    </row>
    <row r="449" spans="1:8">
      <c r="A449" s="107">
        <v>1</v>
      </c>
      <c r="B449" s="107">
        <v>7</v>
      </c>
      <c r="C449" s="107">
        <v>4</v>
      </c>
      <c r="D449" s="107">
        <v>2</v>
      </c>
      <c r="E449" s="107" t="s">
        <v>345</v>
      </c>
      <c r="F449" s="107" t="s">
        <v>346</v>
      </c>
      <c r="G449" s="161">
        <v>45354</v>
      </c>
      <c r="H449" s="107">
        <f t="shared" si="11"/>
        <v>5</v>
      </c>
    </row>
    <row r="450" spans="1:8">
      <c r="A450" s="107">
        <v>1</v>
      </c>
      <c r="B450" s="107">
        <v>7</v>
      </c>
      <c r="C450" s="107">
        <v>4</v>
      </c>
      <c r="D450" s="107">
        <v>3</v>
      </c>
      <c r="E450" s="107" t="s">
        <v>345</v>
      </c>
      <c r="F450" s="107" t="s">
        <v>346</v>
      </c>
      <c r="G450" s="161">
        <v>45353</v>
      </c>
      <c r="H450" s="107">
        <f t="shared" si="11"/>
        <v>4</v>
      </c>
    </row>
    <row r="451" spans="1:8">
      <c r="A451" s="107">
        <v>1</v>
      </c>
      <c r="B451" s="107">
        <v>7</v>
      </c>
      <c r="C451" s="107">
        <v>4</v>
      </c>
      <c r="D451" s="107">
        <v>4</v>
      </c>
      <c r="E451" s="107" t="s">
        <v>345</v>
      </c>
      <c r="F451" s="107" t="s">
        <v>346</v>
      </c>
      <c r="G451" s="161">
        <v>45353</v>
      </c>
      <c r="H451" s="107">
        <f t="shared" si="11"/>
        <v>4</v>
      </c>
    </row>
    <row r="452" spans="1:8">
      <c r="A452" s="107">
        <v>1</v>
      </c>
      <c r="B452" s="107">
        <v>7</v>
      </c>
      <c r="C452" s="107">
        <v>5</v>
      </c>
      <c r="D452" s="107">
        <v>1</v>
      </c>
      <c r="E452" s="107" t="s">
        <v>353</v>
      </c>
      <c r="F452" s="107" t="s">
        <v>354</v>
      </c>
      <c r="G452" s="161">
        <v>45354</v>
      </c>
      <c r="H452" s="107">
        <f t="shared" si="11"/>
        <v>5</v>
      </c>
    </row>
    <row r="453" spans="1:8">
      <c r="A453" s="107">
        <v>1</v>
      </c>
      <c r="B453" s="107">
        <v>7</v>
      </c>
      <c r="C453" s="107">
        <v>5</v>
      </c>
      <c r="D453" s="107">
        <v>2</v>
      </c>
      <c r="E453" s="107" t="s">
        <v>353</v>
      </c>
      <c r="F453" s="107" t="s">
        <v>354</v>
      </c>
      <c r="G453" s="161">
        <v>45353</v>
      </c>
      <c r="H453" s="107">
        <f t="shared" ref="H453:H516" si="12">DATEDIF($H$2,G453,"d")</f>
        <v>4</v>
      </c>
    </row>
    <row r="454" spans="1:8">
      <c r="A454" s="107">
        <v>1</v>
      </c>
      <c r="B454" s="107">
        <v>7</v>
      </c>
      <c r="C454" s="107">
        <v>5</v>
      </c>
      <c r="D454" s="107">
        <v>3</v>
      </c>
      <c r="E454" s="107" t="s">
        <v>353</v>
      </c>
      <c r="F454" s="107" t="s">
        <v>354</v>
      </c>
      <c r="G454" s="161">
        <v>45353</v>
      </c>
      <c r="H454" s="107">
        <f t="shared" si="12"/>
        <v>4</v>
      </c>
    </row>
    <row r="455" spans="1:8">
      <c r="A455" s="107">
        <v>1</v>
      </c>
      <c r="B455" s="107">
        <v>7</v>
      </c>
      <c r="C455" s="107">
        <v>5</v>
      </c>
      <c r="D455" s="107">
        <v>4</v>
      </c>
      <c r="E455" s="107" t="s">
        <v>353</v>
      </c>
      <c r="F455" s="107" t="s">
        <v>354</v>
      </c>
      <c r="G455" s="161">
        <v>45353</v>
      </c>
      <c r="H455" s="107">
        <f t="shared" si="12"/>
        <v>4</v>
      </c>
    </row>
    <row r="456" spans="1:8">
      <c r="A456" s="107">
        <v>1</v>
      </c>
      <c r="B456" s="107">
        <v>7</v>
      </c>
      <c r="C456" s="107">
        <v>6</v>
      </c>
      <c r="D456" s="107">
        <v>1</v>
      </c>
      <c r="E456" s="107" t="s">
        <v>349</v>
      </c>
      <c r="F456" s="107" t="s">
        <v>350</v>
      </c>
      <c r="G456" s="161">
        <v>45353</v>
      </c>
      <c r="H456" s="107">
        <f t="shared" si="12"/>
        <v>4</v>
      </c>
    </row>
    <row r="457" spans="1:8">
      <c r="A457" s="107">
        <v>1</v>
      </c>
      <c r="B457" s="107">
        <v>7</v>
      </c>
      <c r="C457" s="107">
        <v>6</v>
      </c>
      <c r="D457" s="107">
        <v>2</v>
      </c>
      <c r="E457" s="107" t="s">
        <v>349</v>
      </c>
      <c r="F457" s="107" t="s">
        <v>350</v>
      </c>
      <c r="G457" s="161">
        <v>45354</v>
      </c>
      <c r="H457" s="107">
        <f t="shared" si="12"/>
        <v>5</v>
      </c>
    </row>
    <row r="458" spans="1:8">
      <c r="A458" s="107">
        <v>1</v>
      </c>
      <c r="B458" s="107">
        <v>7</v>
      </c>
      <c r="C458" s="107">
        <v>6</v>
      </c>
      <c r="D458" s="107">
        <v>3</v>
      </c>
      <c r="E458" s="107" t="s">
        <v>349</v>
      </c>
      <c r="F458" s="107" t="s">
        <v>350</v>
      </c>
      <c r="G458" s="161">
        <v>45353</v>
      </c>
      <c r="H458" s="107">
        <f t="shared" si="12"/>
        <v>4</v>
      </c>
    </row>
    <row r="459" spans="1:8">
      <c r="A459" s="107">
        <v>1</v>
      </c>
      <c r="B459" s="107">
        <v>7</v>
      </c>
      <c r="C459" s="107">
        <v>6</v>
      </c>
      <c r="D459" s="107">
        <v>4</v>
      </c>
      <c r="E459" s="107" t="s">
        <v>349</v>
      </c>
      <c r="F459" s="107" t="s">
        <v>350</v>
      </c>
      <c r="G459" s="161">
        <v>45355</v>
      </c>
      <c r="H459" s="107">
        <f t="shared" si="12"/>
        <v>6</v>
      </c>
    </row>
    <row r="460" spans="1:8">
      <c r="A460" s="107">
        <v>1</v>
      </c>
      <c r="B460" s="107">
        <v>7</v>
      </c>
      <c r="C460" s="107">
        <v>7</v>
      </c>
      <c r="D460" s="107">
        <v>1</v>
      </c>
      <c r="E460" s="107" t="s">
        <v>373</v>
      </c>
      <c r="F460" s="107" t="s">
        <v>374</v>
      </c>
      <c r="G460" s="161">
        <v>45354</v>
      </c>
      <c r="H460" s="107">
        <f t="shared" si="12"/>
        <v>5</v>
      </c>
    </row>
    <row r="461" spans="1:8">
      <c r="A461" s="107">
        <v>1</v>
      </c>
      <c r="B461" s="107">
        <v>7</v>
      </c>
      <c r="C461" s="107">
        <v>7</v>
      </c>
      <c r="D461" s="107">
        <v>2</v>
      </c>
      <c r="E461" s="107" t="s">
        <v>373</v>
      </c>
      <c r="F461" s="107" t="s">
        <v>374</v>
      </c>
      <c r="G461" s="161">
        <v>45353</v>
      </c>
      <c r="H461" s="107">
        <f t="shared" si="12"/>
        <v>4</v>
      </c>
    </row>
    <row r="462" spans="1:8">
      <c r="A462" s="107">
        <v>1</v>
      </c>
      <c r="B462" s="107">
        <v>7</v>
      </c>
      <c r="C462" s="107">
        <v>7</v>
      </c>
      <c r="D462" s="107">
        <v>3</v>
      </c>
      <c r="E462" s="107" t="s">
        <v>373</v>
      </c>
      <c r="F462" s="107" t="s">
        <v>374</v>
      </c>
      <c r="G462" s="161">
        <v>45354</v>
      </c>
      <c r="H462" s="107">
        <f t="shared" si="12"/>
        <v>5</v>
      </c>
    </row>
    <row r="463" spans="1:8">
      <c r="A463" s="107">
        <v>1</v>
      </c>
      <c r="B463" s="107">
        <v>7</v>
      </c>
      <c r="C463" s="107">
        <v>7</v>
      </c>
      <c r="D463" s="107">
        <v>4</v>
      </c>
      <c r="E463" s="107" t="s">
        <v>373</v>
      </c>
      <c r="F463" s="107" t="s">
        <v>374</v>
      </c>
      <c r="G463" s="161">
        <v>45354</v>
      </c>
      <c r="H463" s="107">
        <f t="shared" si="12"/>
        <v>5</v>
      </c>
    </row>
    <row r="464" spans="1:8">
      <c r="A464" s="107">
        <v>1</v>
      </c>
      <c r="B464" s="107">
        <v>7</v>
      </c>
      <c r="C464" s="107">
        <v>8</v>
      </c>
      <c r="D464" s="107">
        <v>1</v>
      </c>
      <c r="E464" s="107" t="s">
        <v>371</v>
      </c>
      <c r="F464" s="107" t="s">
        <v>372</v>
      </c>
      <c r="G464" s="161">
        <v>45352</v>
      </c>
      <c r="H464" s="107">
        <f t="shared" si="12"/>
        <v>3</v>
      </c>
    </row>
    <row r="465" spans="1:8">
      <c r="A465" s="107">
        <v>1</v>
      </c>
      <c r="B465" s="107">
        <v>7</v>
      </c>
      <c r="C465" s="107">
        <v>8</v>
      </c>
      <c r="D465" s="107">
        <v>2</v>
      </c>
      <c r="E465" s="107" t="s">
        <v>371</v>
      </c>
      <c r="F465" s="107" t="s">
        <v>372</v>
      </c>
      <c r="G465" s="161">
        <v>45354</v>
      </c>
      <c r="H465" s="107">
        <f t="shared" si="12"/>
        <v>5</v>
      </c>
    </row>
    <row r="466" spans="1:8">
      <c r="A466" s="107">
        <v>1</v>
      </c>
      <c r="B466" s="107">
        <v>7</v>
      </c>
      <c r="C466" s="107">
        <v>8</v>
      </c>
      <c r="D466" s="107">
        <v>3</v>
      </c>
      <c r="E466" s="107" t="s">
        <v>371</v>
      </c>
      <c r="F466" s="107" t="s">
        <v>372</v>
      </c>
      <c r="G466" s="161">
        <v>45353</v>
      </c>
      <c r="H466" s="107">
        <f t="shared" si="12"/>
        <v>4</v>
      </c>
    </row>
    <row r="467" spans="1:8">
      <c r="A467" s="107">
        <v>1</v>
      </c>
      <c r="B467" s="107">
        <v>7</v>
      </c>
      <c r="C467" s="107">
        <v>8</v>
      </c>
      <c r="D467" s="107">
        <v>4</v>
      </c>
      <c r="E467" s="107" t="s">
        <v>371</v>
      </c>
      <c r="F467" s="107" t="s">
        <v>372</v>
      </c>
      <c r="G467" s="161">
        <v>45353</v>
      </c>
      <c r="H467" s="107">
        <f t="shared" si="12"/>
        <v>4</v>
      </c>
    </row>
    <row r="468" spans="1:8">
      <c r="A468" s="107">
        <v>1</v>
      </c>
      <c r="B468" s="107">
        <v>7</v>
      </c>
      <c r="C468" s="107">
        <v>9</v>
      </c>
      <c r="D468" s="107">
        <v>1</v>
      </c>
      <c r="E468" s="107" t="s">
        <v>357</v>
      </c>
      <c r="F468" s="107" t="s">
        <v>358</v>
      </c>
      <c r="G468" s="161">
        <v>45353</v>
      </c>
      <c r="H468" s="107">
        <f t="shared" si="12"/>
        <v>4</v>
      </c>
    </row>
    <row r="469" spans="1:8">
      <c r="A469" s="107">
        <v>1</v>
      </c>
      <c r="B469" s="107">
        <v>7</v>
      </c>
      <c r="C469" s="107">
        <v>9</v>
      </c>
      <c r="D469" s="107">
        <v>2</v>
      </c>
      <c r="E469" s="107" t="s">
        <v>357</v>
      </c>
      <c r="F469" s="107" t="s">
        <v>358</v>
      </c>
      <c r="G469" s="161">
        <v>45354</v>
      </c>
      <c r="H469" s="107">
        <f t="shared" si="12"/>
        <v>5</v>
      </c>
    </row>
    <row r="470" spans="1:8">
      <c r="A470" s="107">
        <v>1</v>
      </c>
      <c r="B470" s="107">
        <v>7</v>
      </c>
      <c r="C470" s="107">
        <v>9</v>
      </c>
      <c r="D470" s="107">
        <v>3</v>
      </c>
      <c r="E470" s="107" t="s">
        <v>357</v>
      </c>
      <c r="F470" s="107" t="s">
        <v>358</v>
      </c>
      <c r="G470" s="161">
        <v>45353</v>
      </c>
      <c r="H470" s="107">
        <f t="shared" si="12"/>
        <v>4</v>
      </c>
    </row>
    <row r="471" spans="1:8">
      <c r="A471" s="107">
        <v>1</v>
      </c>
      <c r="B471" s="107">
        <v>7</v>
      </c>
      <c r="C471" s="107">
        <v>9</v>
      </c>
      <c r="D471" s="107">
        <v>4</v>
      </c>
      <c r="E471" s="107" t="s">
        <v>357</v>
      </c>
      <c r="F471" s="107" t="s">
        <v>358</v>
      </c>
      <c r="G471" s="161">
        <v>45353</v>
      </c>
      <c r="H471" s="107">
        <f t="shared" si="12"/>
        <v>4</v>
      </c>
    </row>
    <row r="472" spans="1:8">
      <c r="A472" s="107">
        <v>1</v>
      </c>
      <c r="B472" s="107">
        <v>7</v>
      </c>
      <c r="C472" s="107">
        <v>10</v>
      </c>
      <c r="D472" s="107">
        <v>1</v>
      </c>
      <c r="E472" s="107" t="s">
        <v>363</v>
      </c>
      <c r="F472" s="107" t="s">
        <v>364</v>
      </c>
      <c r="G472" s="161">
        <v>45353</v>
      </c>
      <c r="H472" s="107">
        <f t="shared" si="12"/>
        <v>4</v>
      </c>
    </row>
    <row r="473" spans="1:8">
      <c r="A473" s="107">
        <v>1</v>
      </c>
      <c r="B473" s="107">
        <v>7</v>
      </c>
      <c r="C473" s="107">
        <v>10</v>
      </c>
      <c r="D473" s="107">
        <v>2</v>
      </c>
      <c r="E473" s="107" t="s">
        <v>363</v>
      </c>
      <c r="F473" s="107" t="s">
        <v>364</v>
      </c>
      <c r="G473" s="161">
        <v>45354</v>
      </c>
      <c r="H473" s="107">
        <f t="shared" si="12"/>
        <v>5</v>
      </c>
    </row>
    <row r="474" spans="1:8">
      <c r="A474" s="107">
        <v>1</v>
      </c>
      <c r="B474" s="107">
        <v>7</v>
      </c>
      <c r="C474" s="107">
        <v>10</v>
      </c>
      <c r="D474" s="107">
        <v>3</v>
      </c>
      <c r="E474" s="107" t="s">
        <v>363</v>
      </c>
      <c r="F474" s="107" t="s">
        <v>364</v>
      </c>
      <c r="G474" s="161">
        <v>45354</v>
      </c>
      <c r="H474" s="107">
        <f t="shared" si="12"/>
        <v>5</v>
      </c>
    </row>
    <row r="475" spans="1:8">
      <c r="A475" s="107">
        <v>1</v>
      </c>
      <c r="B475" s="107">
        <v>7</v>
      </c>
      <c r="C475" s="107">
        <v>10</v>
      </c>
      <c r="D475" s="107">
        <v>4</v>
      </c>
      <c r="E475" s="107" t="s">
        <v>363</v>
      </c>
      <c r="F475" s="107" t="s">
        <v>364</v>
      </c>
      <c r="G475" s="161">
        <v>45354</v>
      </c>
      <c r="H475" s="107">
        <f t="shared" si="12"/>
        <v>5</v>
      </c>
    </row>
    <row r="476" spans="1:8">
      <c r="A476" s="107">
        <v>1</v>
      </c>
      <c r="B476" s="107">
        <v>7</v>
      </c>
      <c r="C476" s="107">
        <v>11</v>
      </c>
      <c r="D476" s="107">
        <v>1</v>
      </c>
      <c r="E476" s="107" t="s">
        <v>379</v>
      </c>
      <c r="F476" s="107" t="s">
        <v>380</v>
      </c>
      <c r="G476" s="161">
        <v>45353</v>
      </c>
      <c r="H476" s="107">
        <f t="shared" si="12"/>
        <v>4</v>
      </c>
    </row>
    <row r="477" spans="1:8">
      <c r="A477" s="107">
        <v>1</v>
      </c>
      <c r="B477" s="107">
        <v>7</v>
      </c>
      <c r="C477" s="107">
        <v>11</v>
      </c>
      <c r="D477" s="107">
        <v>2</v>
      </c>
      <c r="E477" s="107" t="s">
        <v>379</v>
      </c>
      <c r="F477" s="107" t="s">
        <v>380</v>
      </c>
      <c r="G477" s="161">
        <v>45353</v>
      </c>
      <c r="H477" s="107">
        <f t="shared" si="12"/>
        <v>4</v>
      </c>
    </row>
    <row r="478" spans="1:8">
      <c r="A478" s="107">
        <v>1</v>
      </c>
      <c r="B478" s="107">
        <v>7</v>
      </c>
      <c r="C478" s="107">
        <v>11</v>
      </c>
      <c r="D478" s="107">
        <v>3</v>
      </c>
      <c r="E478" s="107" t="s">
        <v>379</v>
      </c>
      <c r="F478" s="107" t="s">
        <v>380</v>
      </c>
      <c r="G478" s="161">
        <v>45354</v>
      </c>
      <c r="H478" s="107">
        <f t="shared" si="12"/>
        <v>5</v>
      </c>
    </row>
    <row r="479" spans="1:8">
      <c r="A479" s="107">
        <v>1</v>
      </c>
      <c r="B479" s="107">
        <v>7</v>
      </c>
      <c r="C479" s="107">
        <v>11</v>
      </c>
      <c r="D479" s="107">
        <v>4</v>
      </c>
      <c r="E479" s="107" t="s">
        <v>379</v>
      </c>
      <c r="F479" s="107" t="s">
        <v>380</v>
      </c>
      <c r="G479" s="161">
        <v>45353</v>
      </c>
      <c r="H479" s="107">
        <f t="shared" si="12"/>
        <v>4</v>
      </c>
    </row>
    <row r="480" spans="1:8">
      <c r="A480" s="107">
        <v>1</v>
      </c>
      <c r="B480" s="107">
        <v>7</v>
      </c>
      <c r="C480" s="107">
        <v>12</v>
      </c>
      <c r="D480" s="107">
        <v>1</v>
      </c>
      <c r="E480" s="107" t="s">
        <v>361</v>
      </c>
      <c r="F480" s="107" t="s">
        <v>362</v>
      </c>
      <c r="G480" s="161">
        <v>45353</v>
      </c>
      <c r="H480" s="107">
        <f t="shared" si="12"/>
        <v>4</v>
      </c>
    </row>
    <row r="481" spans="1:8">
      <c r="A481" s="107">
        <v>1</v>
      </c>
      <c r="B481" s="107">
        <v>7</v>
      </c>
      <c r="C481" s="107">
        <v>12</v>
      </c>
      <c r="D481" s="107">
        <v>2</v>
      </c>
      <c r="E481" s="107" t="s">
        <v>361</v>
      </c>
      <c r="F481" s="107" t="s">
        <v>362</v>
      </c>
      <c r="G481" s="161">
        <v>45353</v>
      </c>
      <c r="H481" s="107">
        <f t="shared" si="12"/>
        <v>4</v>
      </c>
    </row>
    <row r="482" spans="1:8">
      <c r="A482" s="107">
        <v>1</v>
      </c>
      <c r="B482" s="107">
        <v>7</v>
      </c>
      <c r="C482" s="107">
        <v>12</v>
      </c>
      <c r="D482" s="107">
        <v>3</v>
      </c>
      <c r="E482" s="107" t="s">
        <v>361</v>
      </c>
      <c r="F482" s="107" t="s">
        <v>362</v>
      </c>
      <c r="G482" s="161">
        <v>45353</v>
      </c>
      <c r="H482" s="107">
        <f t="shared" si="12"/>
        <v>4</v>
      </c>
    </row>
    <row r="483" spans="1:8">
      <c r="A483" s="107">
        <v>1</v>
      </c>
      <c r="B483" s="107">
        <v>7</v>
      </c>
      <c r="C483" s="107">
        <v>12</v>
      </c>
      <c r="D483" s="107">
        <v>4</v>
      </c>
      <c r="E483" s="107" t="s">
        <v>361</v>
      </c>
      <c r="F483" s="107" t="s">
        <v>362</v>
      </c>
      <c r="G483" s="161">
        <v>45353</v>
      </c>
      <c r="H483" s="107">
        <f t="shared" si="12"/>
        <v>4</v>
      </c>
    </row>
    <row r="484" spans="1:8">
      <c r="A484" s="107">
        <v>1</v>
      </c>
      <c r="B484" s="107">
        <v>7</v>
      </c>
      <c r="C484" s="107">
        <v>13</v>
      </c>
      <c r="D484" s="107">
        <v>1</v>
      </c>
      <c r="E484" s="107" t="s">
        <v>367</v>
      </c>
      <c r="F484" s="107" t="s">
        <v>368</v>
      </c>
      <c r="G484" s="161">
        <v>45353</v>
      </c>
      <c r="H484" s="107">
        <f t="shared" si="12"/>
        <v>4</v>
      </c>
    </row>
    <row r="485" spans="1:8">
      <c r="A485" s="107">
        <v>1</v>
      </c>
      <c r="B485" s="107">
        <v>7</v>
      </c>
      <c r="C485" s="107">
        <v>13</v>
      </c>
      <c r="D485" s="107">
        <v>2</v>
      </c>
      <c r="E485" s="107" t="s">
        <v>367</v>
      </c>
      <c r="F485" s="107" t="s">
        <v>368</v>
      </c>
      <c r="G485" s="161">
        <v>45353</v>
      </c>
      <c r="H485" s="107">
        <f t="shared" si="12"/>
        <v>4</v>
      </c>
    </row>
    <row r="486" spans="1:8">
      <c r="A486" s="107">
        <v>1</v>
      </c>
      <c r="B486" s="107">
        <v>7</v>
      </c>
      <c r="C486" s="107">
        <v>13</v>
      </c>
      <c r="D486" s="107">
        <v>3</v>
      </c>
      <c r="E486" s="107" t="s">
        <v>367</v>
      </c>
      <c r="F486" s="107" t="s">
        <v>368</v>
      </c>
      <c r="G486" s="161">
        <v>45353</v>
      </c>
      <c r="H486" s="107">
        <f t="shared" si="12"/>
        <v>4</v>
      </c>
    </row>
    <row r="487" spans="1:8">
      <c r="A487" s="107">
        <v>1</v>
      </c>
      <c r="B487" s="107">
        <v>7</v>
      </c>
      <c r="C487" s="107">
        <v>13</v>
      </c>
      <c r="D487" s="107">
        <v>4</v>
      </c>
      <c r="E487" s="107" t="s">
        <v>367</v>
      </c>
      <c r="F487" s="107" t="s">
        <v>368</v>
      </c>
      <c r="G487" s="161">
        <v>45353</v>
      </c>
      <c r="H487" s="107">
        <f t="shared" si="12"/>
        <v>4</v>
      </c>
    </row>
    <row r="488" spans="1:8">
      <c r="A488" s="107">
        <v>1</v>
      </c>
      <c r="B488" s="107">
        <v>7</v>
      </c>
      <c r="C488" s="107">
        <v>14</v>
      </c>
      <c r="D488" s="107">
        <v>1</v>
      </c>
      <c r="E488" s="107" t="s">
        <v>359</v>
      </c>
      <c r="F488" s="107" t="s">
        <v>360</v>
      </c>
      <c r="G488" s="161">
        <v>45353</v>
      </c>
      <c r="H488" s="107">
        <f t="shared" si="12"/>
        <v>4</v>
      </c>
    </row>
    <row r="489" spans="1:8">
      <c r="A489" s="107">
        <v>1</v>
      </c>
      <c r="B489" s="107">
        <v>7</v>
      </c>
      <c r="C489" s="107">
        <v>14</v>
      </c>
      <c r="D489" s="107">
        <v>2</v>
      </c>
      <c r="E489" s="107" t="s">
        <v>359</v>
      </c>
      <c r="F489" s="107" t="s">
        <v>360</v>
      </c>
      <c r="G489" s="161">
        <v>45353</v>
      </c>
      <c r="H489" s="107">
        <f t="shared" si="12"/>
        <v>4</v>
      </c>
    </row>
    <row r="490" spans="1:8">
      <c r="A490" s="107">
        <v>1</v>
      </c>
      <c r="B490" s="107">
        <v>7</v>
      </c>
      <c r="C490" s="107">
        <v>14</v>
      </c>
      <c r="D490" s="107">
        <v>3</v>
      </c>
      <c r="E490" s="107" t="s">
        <v>359</v>
      </c>
      <c r="F490" s="107" t="s">
        <v>360</v>
      </c>
      <c r="G490" s="161">
        <v>45354</v>
      </c>
      <c r="H490" s="107">
        <f t="shared" si="12"/>
        <v>5</v>
      </c>
    </row>
    <row r="491" spans="1:8">
      <c r="A491" s="107">
        <v>1</v>
      </c>
      <c r="B491" s="107">
        <v>7</v>
      </c>
      <c r="C491" s="107">
        <v>14</v>
      </c>
      <c r="D491" s="107">
        <v>4</v>
      </c>
      <c r="E491" s="107" t="s">
        <v>359</v>
      </c>
      <c r="F491" s="107" t="s">
        <v>360</v>
      </c>
      <c r="G491" s="161">
        <v>45354</v>
      </c>
      <c r="H491" s="107">
        <f t="shared" si="12"/>
        <v>5</v>
      </c>
    </row>
    <row r="492" spans="1:8">
      <c r="A492" s="107">
        <v>1</v>
      </c>
      <c r="B492" s="107">
        <v>7</v>
      </c>
      <c r="C492" s="107">
        <v>15</v>
      </c>
      <c r="D492" s="107">
        <v>1</v>
      </c>
      <c r="E492" s="107" t="s">
        <v>351</v>
      </c>
      <c r="F492" s="107" t="s">
        <v>352</v>
      </c>
      <c r="G492" s="161">
        <v>45353</v>
      </c>
      <c r="H492" s="107">
        <f t="shared" si="12"/>
        <v>4</v>
      </c>
    </row>
    <row r="493" spans="1:8">
      <c r="A493" s="107">
        <v>1</v>
      </c>
      <c r="B493" s="107">
        <v>7</v>
      </c>
      <c r="C493" s="107">
        <v>15</v>
      </c>
      <c r="D493" s="107">
        <v>2</v>
      </c>
      <c r="E493" s="107" t="s">
        <v>351</v>
      </c>
      <c r="F493" s="107" t="s">
        <v>352</v>
      </c>
      <c r="G493" s="161">
        <v>45353</v>
      </c>
      <c r="H493" s="107">
        <f t="shared" si="12"/>
        <v>4</v>
      </c>
    </row>
    <row r="494" spans="1:8">
      <c r="A494" s="107">
        <v>1</v>
      </c>
      <c r="B494" s="107">
        <v>7</v>
      </c>
      <c r="C494" s="107">
        <v>15</v>
      </c>
      <c r="D494" s="107">
        <v>3</v>
      </c>
      <c r="E494" s="107" t="s">
        <v>351</v>
      </c>
      <c r="F494" s="107" t="s">
        <v>352</v>
      </c>
      <c r="G494" s="161">
        <v>45353</v>
      </c>
      <c r="H494" s="107">
        <f t="shared" si="12"/>
        <v>4</v>
      </c>
    </row>
    <row r="495" spans="1:8">
      <c r="A495" s="107">
        <v>1</v>
      </c>
      <c r="B495" s="107">
        <v>7</v>
      </c>
      <c r="C495" s="107">
        <v>15</v>
      </c>
      <c r="D495" s="107">
        <v>4</v>
      </c>
      <c r="E495" s="107" t="s">
        <v>351</v>
      </c>
      <c r="F495" s="107" t="s">
        <v>352</v>
      </c>
      <c r="G495" s="161">
        <v>45354</v>
      </c>
      <c r="H495" s="107">
        <f t="shared" si="12"/>
        <v>5</v>
      </c>
    </row>
    <row r="496" spans="1:8">
      <c r="A496" s="107">
        <v>1</v>
      </c>
      <c r="B496" s="107">
        <v>7</v>
      </c>
      <c r="C496" s="107">
        <v>16</v>
      </c>
      <c r="D496" s="107">
        <v>1</v>
      </c>
      <c r="E496" s="107" t="s">
        <v>369</v>
      </c>
      <c r="F496" s="107" t="s">
        <v>370</v>
      </c>
      <c r="G496" s="161">
        <v>45354</v>
      </c>
      <c r="H496" s="107">
        <f t="shared" si="12"/>
        <v>5</v>
      </c>
    </row>
    <row r="497" spans="1:8">
      <c r="A497" s="107">
        <v>1</v>
      </c>
      <c r="B497" s="107">
        <v>7</v>
      </c>
      <c r="C497" s="107">
        <v>16</v>
      </c>
      <c r="D497" s="107">
        <v>2</v>
      </c>
      <c r="E497" s="107" t="s">
        <v>369</v>
      </c>
      <c r="F497" s="107" t="s">
        <v>370</v>
      </c>
      <c r="G497" s="161">
        <v>45353</v>
      </c>
      <c r="H497" s="107">
        <f t="shared" si="12"/>
        <v>4</v>
      </c>
    </row>
    <row r="498" spans="1:8">
      <c r="A498" s="107">
        <v>1</v>
      </c>
      <c r="B498" s="107">
        <v>7</v>
      </c>
      <c r="C498" s="107">
        <v>16</v>
      </c>
      <c r="D498" s="107">
        <v>3</v>
      </c>
      <c r="E498" s="107" t="s">
        <v>369</v>
      </c>
      <c r="F498" s="107" t="s">
        <v>370</v>
      </c>
      <c r="G498" s="161">
        <v>45353</v>
      </c>
      <c r="H498" s="107">
        <f t="shared" si="12"/>
        <v>4</v>
      </c>
    </row>
    <row r="499" spans="1:8">
      <c r="A499" s="107">
        <v>1</v>
      </c>
      <c r="B499" s="107">
        <v>7</v>
      </c>
      <c r="C499" s="107">
        <v>16</v>
      </c>
      <c r="D499" s="107">
        <v>4</v>
      </c>
      <c r="E499" s="107" t="s">
        <v>369</v>
      </c>
      <c r="F499" s="107" t="s">
        <v>370</v>
      </c>
      <c r="G499" s="161">
        <v>45353</v>
      </c>
      <c r="H499" s="107">
        <f t="shared" si="12"/>
        <v>4</v>
      </c>
    </row>
    <row r="500" spans="1:8">
      <c r="A500" s="107">
        <v>1</v>
      </c>
      <c r="B500" s="107">
        <v>7</v>
      </c>
      <c r="C500" s="107">
        <v>17</v>
      </c>
      <c r="D500" s="107">
        <v>1</v>
      </c>
      <c r="E500" s="107" t="s">
        <v>365</v>
      </c>
      <c r="F500" s="107" t="s">
        <v>366</v>
      </c>
      <c r="G500" s="161">
        <v>45353</v>
      </c>
      <c r="H500" s="107">
        <f t="shared" si="12"/>
        <v>4</v>
      </c>
    </row>
    <row r="501" spans="1:8">
      <c r="A501" s="107">
        <v>1</v>
      </c>
      <c r="B501" s="107">
        <v>7</v>
      </c>
      <c r="C501" s="107">
        <v>17</v>
      </c>
      <c r="D501" s="107">
        <v>2</v>
      </c>
      <c r="E501" s="107" t="s">
        <v>365</v>
      </c>
      <c r="F501" s="107" t="s">
        <v>366</v>
      </c>
      <c r="G501" s="161">
        <v>45354</v>
      </c>
      <c r="H501" s="107">
        <f t="shared" si="12"/>
        <v>5</v>
      </c>
    </row>
    <row r="502" spans="1:8">
      <c r="A502" s="107">
        <v>1</v>
      </c>
      <c r="B502" s="107">
        <v>7</v>
      </c>
      <c r="C502" s="107">
        <v>17</v>
      </c>
      <c r="D502" s="107">
        <v>3</v>
      </c>
      <c r="E502" s="107" t="s">
        <v>365</v>
      </c>
      <c r="F502" s="107" t="s">
        <v>366</v>
      </c>
      <c r="G502" s="161">
        <v>45354</v>
      </c>
      <c r="H502" s="107">
        <f t="shared" si="12"/>
        <v>5</v>
      </c>
    </row>
    <row r="503" spans="1:8">
      <c r="A503" s="107">
        <v>1</v>
      </c>
      <c r="B503" s="107">
        <v>7</v>
      </c>
      <c r="C503" s="107">
        <v>17</v>
      </c>
      <c r="D503" s="107">
        <v>4</v>
      </c>
      <c r="E503" s="107" t="s">
        <v>365</v>
      </c>
      <c r="F503" s="107" t="s">
        <v>366</v>
      </c>
      <c r="G503" s="161">
        <v>45353</v>
      </c>
      <c r="H503" s="107">
        <f t="shared" si="12"/>
        <v>4</v>
      </c>
    </row>
    <row r="504" spans="1:8">
      <c r="A504" s="107">
        <v>1</v>
      </c>
      <c r="B504" s="107">
        <v>7</v>
      </c>
      <c r="C504" s="107">
        <v>18</v>
      </c>
      <c r="D504" s="107">
        <v>1</v>
      </c>
      <c r="E504" s="107" t="s">
        <v>375</v>
      </c>
      <c r="F504" s="107" t="s">
        <v>376</v>
      </c>
      <c r="G504" s="161">
        <v>45354</v>
      </c>
      <c r="H504" s="107">
        <f t="shared" si="12"/>
        <v>5</v>
      </c>
    </row>
    <row r="505" spans="1:8">
      <c r="A505" s="107">
        <v>1</v>
      </c>
      <c r="B505" s="107">
        <v>7</v>
      </c>
      <c r="C505" s="107">
        <v>18</v>
      </c>
      <c r="D505" s="107">
        <v>2</v>
      </c>
      <c r="E505" s="107" t="s">
        <v>375</v>
      </c>
      <c r="F505" s="107" t="s">
        <v>376</v>
      </c>
      <c r="G505" s="161">
        <v>45353</v>
      </c>
      <c r="H505" s="107">
        <f t="shared" si="12"/>
        <v>4</v>
      </c>
    </row>
    <row r="506" spans="1:8">
      <c r="A506" s="107">
        <v>1</v>
      </c>
      <c r="B506" s="107">
        <v>7</v>
      </c>
      <c r="C506" s="107">
        <v>18</v>
      </c>
      <c r="D506" s="107">
        <v>3</v>
      </c>
      <c r="E506" s="107" t="s">
        <v>375</v>
      </c>
      <c r="F506" s="107" t="s">
        <v>376</v>
      </c>
      <c r="G506" s="161">
        <v>45353</v>
      </c>
      <c r="H506" s="107">
        <f t="shared" si="12"/>
        <v>4</v>
      </c>
    </row>
    <row r="507" spans="1:8">
      <c r="A507" s="107">
        <v>1</v>
      </c>
      <c r="B507" s="107">
        <v>7</v>
      </c>
      <c r="C507" s="107">
        <v>18</v>
      </c>
      <c r="D507" s="107">
        <v>4</v>
      </c>
      <c r="E507" s="107" t="s">
        <v>375</v>
      </c>
      <c r="F507" s="107" t="s">
        <v>376</v>
      </c>
      <c r="G507" s="161">
        <v>45356</v>
      </c>
      <c r="H507" s="107">
        <f t="shared" si="12"/>
        <v>7</v>
      </c>
    </row>
    <row r="508" spans="1:8">
      <c r="A508" s="107">
        <v>1</v>
      </c>
      <c r="B508" s="107">
        <v>8</v>
      </c>
      <c r="C508" s="107">
        <v>1</v>
      </c>
      <c r="D508" s="107">
        <v>1</v>
      </c>
      <c r="E508" s="107" t="s">
        <v>397</v>
      </c>
      <c r="F508" s="107" t="s">
        <v>398</v>
      </c>
      <c r="G508" s="161">
        <v>45353</v>
      </c>
      <c r="H508" s="107">
        <f t="shared" si="12"/>
        <v>4</v>
      </c>
    </row>
    <row r="509" spans="1:8">
      <c r="A509" s="107">
        <v>1</v>
      </c>
      <c r="B509" s="107">
        <v>8</v>
      </c>
      <c r="C509" s="107">
        <v>1</v>
      </c>
      <c r="D509" s="107">
        <v>2</v>
      </c>
      <c r="E509" s="107" t="s">
        <v>397</v>
      </c>
      <c r="F509" s="107" t="s">
        <v>398</v>
      </c>
      <c r="G509" s="161">
        <v>45353</v>
      </c>
      <c r="H509" s="107">
        <f t="shared" si="12"/>
        <v>4</v>
      </c>
    </row>
    <row r="510" spans="1:8">
      <c r="A510" s="107">
        <v>1</v>
      </c>
      <c r="B510" s="107">
        <v>8</v>
      </c>
      <c r="C510" s="107">
        <v>1</v>
      </c>
      <c r="D510" s="107">
        <v>3</v>
      </c>
      <c r="E510" s="107" t="s">
        <v>397</v>
      </c>
      <c r="F510" s="107" t="s">
        <v>398</v>
      </c>
      <c r="G510" s="161">
        <v>45353</v>
      </c>
      <c r="H510" s="107">
        <f t="shared" si="12"/>
        <v>4</v>
      </c>
    </row>
    <row r="511" spans="1:8">
      <c r="A511" s="107">
        <v>1</v>
      </c>
      <c r="B511" s="107">
        <v>8</v>
      </c>
      <c r="C511" s="107">
        <v>1</v>
      </c>
      <c r="D511" s="107">
        <v>4</v>
      </c>
      <c r="E511" s="107" t="s">
        <v>397</v>
      </c>
      <c r="F511" s="107" t="s">
        <v>398</v>
      </c>
      <c r="G511" s="161">
        <v>45353</v>
      </c>
      <c r="H511" s="107">
        <f t="shared" si="12"/>
        <v>4</v>
      </c>
    </row>
    <row r="512" spans="1:8">
      <c r="A512" s="107">
        <v>1</v>
      </c>
      <c r="B512" s="107">
        <v>8</v>
      </c>
      <c r="C512" s="107">
        <v>2</v>
      </c>
      <c r="D512" s="107">
        <v>1</v>
      </c>
      <c r="E512" s="107" t="s">
        <v>401</v>
      </c>
      <c r="F512" s="107" t="s">
        <v>402</v>
      </c>
      <c r="G512" s="161">
        <v>45353</v>
      </c>
      <c r="H512" s="107">
        <f t="shared" si="12"/>
        <v>4</v>
      </c>
    </row>
    <row r="513" spans="1:8">
      <c r="A513" s="107">
        <v>1</v>
      </c>
      <c r="B513" s="107">
        <v>8</v>
      </c>
      <c r="C513" s="107">
        <v>2</v>
      </c>
      <c r="D513" s="107">
        <v>2</v>
      </c>
      <c r="E513" s="107" t="s">
        <v>401</v>
      </c>
      <c r="F513" s="107" t="s">
        <v>402</v>
      </c>
      <c r="G513" s="161">
        <v>45360</v>
      </c>
      <c r="H513" s="107">
        <f t="shared" si="12"/>
        <v>11</v>
      </c>
    </row>
    <row r="514" spans="1:8">
      <c r="A514" s="107">
        <v>1</v>
      </c>
      <c r="B514" s="107">
        <v>8</v>
      </c>
      <c r="C514" s="107">
        <v>2</v>
      </c>
      <c r="D514" s="107">
        <v>3</v>
      </c>
      <c r="E514" s="107" t="s">
        <v>401</v>
      </c>
      <c r="F514" s="107" t="s">
        <v>402</v>
      </c>
      <c r="G514" s="161">
        <v>45354</v>
      </c>
      <c r="H514" s="107">
        <f t="shared" si="12"/>
        <v>5</v>
      </c>
    </row>
    <row r="515" spans="1:8">
      <c r="A515" s="107">
        <v>1</v>
      </c>
      <c r="B515" s="107">
        <v>8</v>
      </c>
      <c r="C515" s="107">
        <v>2</v>
      </c>
      <c r="D515" s="107">
        <v>4</v>
      </c>
      <c r="E515" s="107" t="s">
        <v>401</v>
      </c>
      <c r="F515" s="107" t="s">
        <v>402</v>
      </c>
      <c r="G515" s="161">
        <v>45353</v>
      </c>
      <c r="H515" s="107">
        <f t="shared" si="12"/>
        <v>4</v>
      </c>
    </row>
    <row r="516" spans="1:8">
      <c r="A516" s="107">
        <v>1</v>
      </c>
      <c r="B516" s="107">
        <v>8</v>
      </c>
      <c r="C516" s="107">
        <v>3</v>
      </c>
      <c r="D516" s="107">
        <v>1</v>
      </c>
      <c r="E516" s="107" t="s">
        <v>415</v>
      </c>
      <c r="F516" s="107" t="s">
        <v>416</v>
      </c>
      <c r="G516" s="161">
        <v>45353</v>
      </c>
      <c r="H516" s="107">
        <f t="shared" si="12"/>
        <v>4</v>
      </c>
    </row>
    <row r="517" spans="1:8">
      <c r="A517" s="107">
        <v>1</v>
      </c>
      <c r="B517" s="107">
        <v>8</v>
      </c>
      <c r="C517" s="107">
        <v>3</v>
      </c>
      <c r="D517" s="107">
        <v>2</v>
      </c>
      <c r="E517" s="107" t="s">
        <v>415</v>
      </c>
      <c r="F517" s="107" t="s">
        <v>416</v>
      </c>
      <c r="G517" s="161">
        <v>45353</v>
      </c>
      <c r="H517" s="107">
        <f t="shared" ref="H517:H580" si="13">DATEDIF($H$2,G517,"d")</f>
        <v>4</v>
      </c>
    </row>
    <row r="518" spans="1:8">
      <c r="A518" s="107">
        <v>1</v>
      </c>
      <c r="B518" s="107">
        <v>8</v>
      </c>
      <c r="C518" s="107">
        <v>3</v>
      </c>
      <c r="D518" s="107">
        <v>3</v>
      </c>
      <c r="E518" s="107" t="s">
        <v>415</v>
      </c>
      <c r="F518" s="107" t="s">
        <v>416</v>
      </c>
      <c r="G518" s="161">
        <v>45353</v>
      </c>
      <c r="H518" s="107">
        <f t="shared" si="13"/>
        <v>4</v>
      </c>
    </row>
    <row r="519" spans="1:8">
      <c r="A519" s="107">
        <v>1</v>
      </c>
      <c r="B519" s="107">
        <v>8</v>
      </c>
      <c r="C519" s="107">
        <v>3</v>
      </c>
      <c r="D519" s="107">
        <v>4</v>
      </c>
      <c r="E519" s="107" t="s">
        <v>415</v>
      </c>
      <c r="F519" s="107" t="s">
        <v>416</v>
      </c>
      <c r="G519" s="161">
        <v>45353</v>
      </c>
      <c r="H519" s="107">
        <f t="shared" si="13"/>
        <v>4</v>
      </c>
    </row>
    <row r="520" spans="1:8">
      <c r="A520" s="107">
        <v>1</v>
      </c>
      <c r="B520" s="107">
        <v>8</v>
      </c>
      <c r="C520" s="107">
        <v>4</v>
      </c>
      <c r="D520" s="107">
        <v>1</v>
      </c>
      <c r="E520" s="107" t="s">
        <v>385</v>
      </c>
      <c r="F520" s="107" t="s">
        <v>386</v>
      </c>
      <c r="G520" s="161">
        <v>45354</v>
      </c>
      <c r="H520" s="107">
        <f t="shared" si="13"/>
        <v>5</v>
      </c>
    </row>
    <row r="521" spans="1:8">
      <c r="A521" s="107">
        <v>1</v>
      </c>
      <c r="B521" s="107">
        <v>8</v>
      </c>
      <c r="C521" s="107">
        <v>4</v>
      </c>
      <c r="D521" s="107">
        <v>2</v>
      </c>
      <c r="E521" s="107" t="s">
        <v>385</v>
      </c>
      <c r="F521" s="107" t="s">
        <v>386</v>
      </c>
      <c r="G521" s="161">
        <v>45354</v>
      </c>
      <c r="H521" s="107">
        <f t="shared" si="13"/>
        <v>5</v>
      </c>
    </row>
    <row r="522" spans="1:8">
      <c r="A522" s="107">
        <v>1</v>
      </c>
      <c r="B522" s="107">
        <v>8</v>
      </c>
      <c r="C522" s="107">
        <v>4</v>
      </c>
      <c r="D522" s="107">
        <v>3</v>
      </c>
      <c r="E522" s="107" t="s">
        <v>385</v>
      </c>
      <c r="F522" s="107" t="s">
        <v>386</v>
      </c>
      <c r="G522" s="161">
        <v>45353</v>
      </c>
      <c r="H522" s="107">
        <f t="shared" si="13"/>
        <v>4</v>
      </c>
    </row>
    <row r="523" spans="1:8">
      <c r="A523" s="107">
        <v>1</v>
      </c>
      <c r="B523" s="107">
        <v>8</v>
      </c>
      <c r="C523" s="107">
        <v>4</v>
      </c>
      <c r="D523" s="107">
        <v>4</v>
      </c>
      <c r="E523" s="107" t="s">
        <v>385</v>
      </c>
      <c r="F523" s="107" t="s">
        <v>386</v>
      </c>
      <c r="G523" s="161">
        <v>45353</v>
      </c>
      <c r="H523" s="107">
        <f t="shared" si="13"/>
        <v>4</v>
      </c>
    </row>
    <row r="524" spans="1:8">
      <c r="A524" s="107">
        <v>1</v>
      </c>
      <c r="B524" s="107">
        <v>8</v>
      </c>
      <c r="C524" s="107">
        <v>5</v>
      </c>
      <c r="D524" s="107">
        <v>1</v>
      </c>
      <c r="E524" s="107" t="s">
        <v>405</v>
      </c>
      <c r="F524" s="107" t="s">
        <v>406</v>
      </c>
      <c r="G524" s="161">
        <v>45353</v>
      </c>
      <c r="H524" s="107">
        <f t="shared" si="13"/>
        <v>4</v>
      </c>
    </row>
    <row r="525" spans="1:8">
      <c r="A525" s="107">
        <v>1</v>
      </c>
      <c r="B525" s="107">
        <v>8</v>
      </c>
      <c r="C525" s="107">
        <v>5</v>
      </c>
      <c r="D525" s="107">
        <v>2</v>
      </c>
      <c r="E525" s="107" t="s">
        <v>405</v>
      </c>
      <c r="F525" s="107" t="s">
        <v>406</v>
      </c>
      <c r="G525" s="107"/>
      <c r="H525" s="107"/>
    </row>
    <row r="526" spans="1:8">
      <c r="A526" s="107">
        <v>1</v>
      </c>
      <c r="B526" s="107">
        <v>8</v>
      </c>
      <c r="C526" s="107">
        <v>5</v>
      </c>
      <c r="D526" s="107">
        <v>3</v>
      </c>
      <c r="E526" s="107" t="s">
        <v>405</v>
      </c>
      <c r="F526" s="107" t="s">
        <v>406</v>
      </c>
      <c r="G526" s="161">
        <v>45353</v>
      </c>
      <c r="H526" s="107">
        <f t="shared" si="13"/>
        <v>4</v>
      </c>
    </row>
    <row r="527" spans="1:8">
      <c r="A527" s="107">
        <v>1</v>
      </c>
      <c r="B527" s="107">
        <v>8</v>
      </c>
      <c r="C527" s="107">
        <v>5</v>
      </c>
      <c r="D527" s="107">
        <v>4</v>
      </c>
      <c r="E527" s="107" t="s">
        <v>405</v>
      </c>
      <c r="F527" s="107" t="s">
        <v>406</v>
      </c>
      <c r="G527" s="161">
        <v>45353</v>
      </c>
      <c r="H527" s="107">
        <f t="shared" si="13"/>
        <v>4</v>
      </c>
    </row>
    <row r="528" spans="1:8">
      <c r="A528" s="107">
        <v>1</v>
      </c>
      <c r="B528" s="107">
        <v>8</v>
      </c>
      <c r="C528" s="107">
        <v>6</v>
      </c>
      <c r="D528" s="107">
        <v>1</v>
      </c>
      <c r="E528" s="107" t="s">
        <v>381</v>
      </c>
      <c r="F528" s="107" t="s">
        <v>382</v>
      </c>
      <c r="G528" s="161">
        <v>45354</v>
      </c>
      <c r="H528" s="107">
        <f t="shared" si="13"/>
        <v>5</v>
      </c>
    </row>
    <row r="529" spans="1:8">
      <c r="A529" s="107">
        <v>1</v>
      </c>
      <c r="B529" s="107">
        <v>8</v>
      </c>
      <c r="C529" s="107">
        <v>6</v>
      </c>
      <c r="D529" s="107">
        <v>2</v>
      </c>
      <c r="E529" s="107" t="s">
        <v>381</v>
      </c>
      <c r="F529" s="107" t="s">
        <v>382</v>
      </c>
      <c r="G529" s="161">
        <v>45355</v>
      </c>
      <c r="H529" s="107">
        <f t="shared" si="13"/>
        <v>6</v>
      </c>
    </row>
    <row r="530" spans="1:8">
      <c r="A530" s="107">
        <v>1</v>
      </c>
      <c r="B530" s="107">
        <v>8</v>
      </c>
      <c r="C530" s="107">
        <v>6</v>
      </c>
      <c r="D530" s="107">
        <v>3</v>
      </c>
      <c r="E530" s="107" t="s">
        <v>381</v>
      </c>
      <c r="F530" s="107" t="s">
        <v>382</v>
      </c>
      <c r="G530" s="161">
        <v>45353</v>
      </c>
      <c r="H530" s="107">
        <f t="shared" si="13"/>
        <v>4</v>
      </c>
    </row>
    <row r="531" spans="1:8">
      <c r="A531" s="107">
        <v>1</v>
      </c>
      <c r="B531" s="107">
        <v>8</v>
      </c>
      <c r="C531" s="107">
        <v>6</v>
      </c>
      <c r="D531" s="107">
        <v>4</v>
      </c>
      <c r="E531" s="107" t="s">
        <v>381</v>
      </c>
      <c r="F531" s="107" t="s">
        <v>382</v>
      </c>
      <c r="G531" s="161">
        <v>45353</v>
      </c>
      <c r="H531" s="107">
        <f t="shared" si="13"/>
        <v>4</v>
      </c>
    </row>
    <row r="532" spans="1:8">
      <c r="A532" s="107">
        <v>1</v>
      </c>
      <c r="B532" s="107">
        <v>8</v>
      </c>
      <c r="C532" s="107">
        <v>7</v>
      </c>
      <c r="D532" s="107">
        <v>1</v>
      </c>
      <c r="E532" s="107" t="s">
        <v>391</v>
      </c>
      <c r="F532" s="107" t="s">
        <v>392</v>
      </c>
      <c r="G532" s="161">
        <v>45354</v>
      </c>
      <c r="H532" s="107">
        <f t="shared" si="13"/>
        <v>5</v>
      </c>
    </row>
    <row r="533" spans="1:8">
      <c r="A533" s="107">
        <v>1</v>
      </c>
      <c r="B533" s="107">
        <v>8</v>
      </c>
      <c r="C533" s="107">
        <v>7</v>
      </c>
      <c r="D533" s="107">
        <v>2</v>
      </c>
      <c r="E533" s="107" t="s">
        <v>391</v>
      </c>
      <c r="F533" s="107" t="s">
        <v>392</v>
      </c>
      <c r="G533" s="161">
        <v>45353</v>
      </c>
      <c r="H533" s="107">
        <f t="shared" si="13"/>
        <v>4</v>
      </c>
    </row>
    <row r="534" spans="1:8">
      <c r="A534" s="107">
        <v>1</v>
      </c>
      <c r="B534" s="107">
        <v>8</v>
      </c>
      <c r="C534" s="107">
        <v>7</v>
      </c>
      <c r="D534" s="107">
        <v>3</v>
      </c>
      <c r="E534" s="107" t="s">
        <v>391</v>
      </c>
      <c r="F534" s="107" t="s">
        <v>392</v>
      </c>
      <c r="G534" s="161">
        <v>45354</v>
      </c>
      <c r="H534" s="107">
        <f t="shared" si="13"/>
        <v>5</v>
      </c>
    </row>
    <row r="535" spans="1:8">
      <c r="A535" s="107">
        <v>1</v>
      </c>
      <c r="B535" s="107">
        <v>8</v>
      </c>
      <c r="C535" s="107">
        <v>7</v>
      </c>
      <c r="D535" s="107">
        <v>4</v>
      </c>
      <c r="E535" s="107" t="s">
        <v>391</v>
      </c>
      <c r="F535" s="107" t="s">
        <v>392</v>
      </c>
      <c r="G535" s="161">
        <v>45353</v>
      </c>
      <c r="H535" s="107">
        <f t="shared" si="13"/>
        <v>4</v>
      </c>
    </row>
    <row r="536" spans="1:8">
      <c r="A536" s="107">
        <v>1</v>
      </c>
      <c r="B536" s="107">
        <v>8</v>
      </c>
      <c r="C536" s="107">
        <v>8</v>
      </c>
      <c r="D536" s="107">
        <v>1</v>
      </c>
      <c r="E536" s="107" t="s">
        <v>411</v>
      </c>
      <c r="F536" s="107" t="s">
        <v>412</v>
      </c>
      <c r="G536" s="161">
        <v>45354</v>
      </c>
      <c r="H536" s="107">
        <f t="shared" si="13"/>
        <v>5</v>
      </c>
    </row>
    <row r="537" spans="1:8">
      <c r="A537" s="107">
        <v>1</v>
      </c>
      <c r="B537" s="107">
        <v>8</v>
      </c>
      <c r="C537" s="107">
        <v>8</v>
      </c>
      <c r="D537" s="107">
        <v>2</v>
      </c>
      <c r="E537" s="107" t="s">
        <v>411</v>
      </c>
      <c r="F537" s="107" t="s">
        <v>412</v>
      </c>
      <c r="G537" s="161">
        <v>45353</v>
      </c>
      <c r="H537" s="107">
        <f t="shared" si="13"/>
        <v>4</v>
      </c>
    </row>
    <row r="538" spans="1:8">
      <c r="A538" s="107">
        <v>1</v>
      </c>
      <c r="B538" s="107">
        <v>8</v>
      </c>
      <c r="C538" s="107">
        <v>8</v>
      </c>
      <c r="D538" s="107">
        <v>3</v>
      </c>
      <c r="E538" s="107" t="s">
        <v>411</v>
      </c>
      <c r="F538" s="107" t="s">
        <v>412</v>
      </c>
      <c r="G538" s="161">
        <v>45353</v>
      </c>
      <c r="H538" s="107">
        <f t="shared" si="13"/>
        <v>4</v>
      </c>
    </row>
    <row r="539" spans="1:8">
      <c r="A539" s="107">
        <v>1</v>
      </c>
      <c r="B539" s="107">
        <v>8</v>
      </c>
      <c r="C539" s="107">
        <v>8</v>
      </c>
      <c r="D539" s="107">
        <v>4</v>
      </c>
      <c r="E539" s="107" t="s">
        <v>411</v>
      </c>
      <c r="F539" s="107" t="s">
        <v>412</v>
      </c>
      <c r="G539" s="107"/>
      <c r="H539" s="107"/>
    </row>
    <row r="540" spans="1:8">
      <c r="A540" s="107">
        <v>1</v>
      </c>
      <c r="B540" s="107">
        <v>8</v>
      </c>
      <c r="C540" s="107">
        <v>9</v>
      </c>
      <c r="D540" s="107">
        <v>1</v>
      </c>
      <c r="E540" s="107" t="s">
        <v>393</v>
      </c>
      <c r="F540" s="107" t="s">
        <v>394</v>
      </c>
      <c r="G540" s="161">
        <v>45353</v>
      </c>
      <c r="H540" s="107">
        <f t="shared" si="13"/>
        <v>4</v>
      </c>
    </row>
    <row r="541" spans="1:8">
      <c r="A541" s="107">
        <v>1</v>
      </c>
      <c r="B541" s="107">
        <v>8</v>
      </c>
      <c r="C541" s="107">
        <v>9</v>
      </c>
      <c r="D541" s="107">
        <v>2</v>
      </c>
      <c r="E541" s="107" t="s">
        <v>393</v>
      </c>
      <c r="F541" s="107" t="s">
        <v>394</v>
      </c>
      <c r="G541" s="161">
        <v>45354</v>
      </c>
      <c r="H541" s="107">
        <f t="shared" si="13"/>
        <v>5</v>
      </c>
    </row>
    <row r="542" spans="1:8">
      <c r="A542" s="107">
        <v>1</v>
      </c>
      <c r="B542" s="107">
        <v>8</v>
      </c>
      <c r="C542" s="107">
        <v>9</v>
      </c>
      <c r="D542" s="107">
        <v>3</v>
      </c>
      <c r="E542" s="107" t="s">
        <v>393</v>
      </c>
      <c r="F542" s="107" t="s">
        <v>394</v>
      </c>
      <c r="G542" s="161">
        <v>45353</v>
      </c>
      <c r="H542" s="107">
        <f t="shared" si="13"/>
        <v>4</v>
      </c>
    </row>
    <row r="543" spans="1:8">
      <c r="A543" s="107">
        <v>1</v>
      </c>
      <c r="B543" s="107">
        <v>8</v>
      </c>
      <c r="C543" s="107">
        <v>9</v>
      </c>
      <c r="D543" s="107">
        <v>4</v>
      </c>
      <c r="E543" s="107" t="s">
        <v>393</v>
      </c>
      <c r="F543" s="107" t="s">
        <v>394</v>
      </c>
      <c r="G543" s="161">
        <v>45353</v>
      </c>
      <c r="H543" s="107">
        <f t="shared" si="13"/>
        <v>4</v>
      </c>
    </row>
    <row r="544" spans="1:8">
      <c r="A544" s="107">
        <v>1</v>
      </c>
      <c r="B544" s="107">
        <v>8</v>
      </c>
      <c r="C544" s="107">
        <v>10</v>
      </c>
      <c r="D544" s="107">
        <v>1</v>
      </c>
      <c r="E544" s="107" t="s">
        <v>409</v>
      </c>
      <c r="F544" s="107" t="s">
        <v>410</v>
      </c>
      <c r="G544" s="161">
        <v>45354</v>
      </c>
      <c r="H544" s="107">
        <f t="shared" si="13"/>
        <v>5</v>
      </c>
    </row>
    <row r="545" spans="1:8">
      <c r="A545" s="107">
        <v>1</v>
      </c>
      <c r="B545" s="107">
        <v>8</v>
      </c>
      <c r="C545" s="107">
        <v>10</v>
      </c>
      <c r="D545" s="107">
        <v>2</v>
      </c>
      <c r="E545" s="107" t="s">
        <v>409</v>
      </c>
      <c r="F545" s="107" t="s">
        <v>410</v>
      </c>
      <c r="G545" s="161">
        <v>45354</v>
      </c>
      <c r="H545" s="107">
        <f t="shared" si="13"/>
        <v>5</v>
      </c>
    </row>
    <row r="546" spans="1:8">
      <c r="A546" s="107">
        <v>1</v>
      </c>
      <c r="B546" s="107">
        <v>8</v>
      </c>
      <c r="C546" s="107">
        <v>10</v>
      </c>
      <c r="D546" s="107">
        <v>3</v>
      </c>
      <c r="E546" s="107" t="s">
        <v>409</v>
      </c>
      <c r="F546" s="107" t="s">
        <v>410</v>
      </c>
      <c r="G546" s="161">
        <v>45353</v>
      </c>
      <c r="H546" s="107">
        <f t="shared" si="13"/>
        <v>4</v>
      </c>
    </row>
    <row r="547" spans="1:8">
      <c r="A547" s="107">
        <v>1</v>
      </c>
      <c r="B547" s="107">
        <v>8</v>
      </c>
      <c r="C547" s="107">
        <v>10</v>
      </c>
      <c r="D547" s="107">
        <v>4</v>
      </c>
      <c r="E547" s="107" t="s">
        <v>409</v>
      </c>
      <c r="F547" s="107" t="s">
        <v>410</v>
      </c>
      <c r="G547" s="161">
        <v>45354</v>
      </c>
      <c r="H547" s="107">
        <f t="shared" si="13"/>
        <v>5</v>
      </c>
    </row>
    <row r="548" spans="1:8">
      <c r="A548" s="107">
        <v>1</v>
      </c>
      <c r="B548" s="107">
        <v>8</v>
      </c>
      <c r="C548" s="107">
        <v>11</v>
      </c>
      <c r="D548" s="107">
        <v>1</v>
      </c>
      <c r="E548" s="107" t="s">
        <v>387</v>
      </c>
      <c r="F548" s="107" t="s">
        <v>388</v>
      </c>
      <c r="G548" s="161">
        <v>45356</v>
      </c>
      <c r="H548" s="107">
        <f t="shared" si="13"/>
        <v>7</v>
      </c>
    </row>
    <row r="549" spans="1:8">
      <c r="A549" s="107">
        <v>1</v>
      </c>
      <c r="B549" s="107">
        <v>8</v>
      </c>
      <c r="C549" s="107">
        <v>11</v>
      </c>
      <c r="D549" s="107">
        <v>2</v>
      </c>
      <c r="E549" s="107" t="s">
        <v>387</v>
      </c>
      <c r="F549" s="107" t="s">
        <v>388</v>
      </c>
      <c r="G549" s="161">
        <v>45354</v>
      </c>
      <c r="H549" s="107">
        <f t="shared" si="13"/>
        <v>5</v>
      </c>
    </row>
    <row r="550" spans="1:8">
      <c r="A550" s="107">
        <v>1</v>
      </c>
      <c r="B550" s="107">
        <v>8</v>
      </c>
      <c r="C550" s="107">
        <v>11</v>
      </c>
      <c r="D550" s="107">
        <v>3</v>
      </c>
      <c r="E550" s="107" t="s">
        <v>387</v>
      </c>
      <c r="F550" s="107" t="s">
        <v>388</v>
      </c>
      <c r="G550" s="161">
        <v>45354</v>
      </c>
      <c r="H550" s="107">
        <f t="shared" si="13"/>
        <v>5</v>
      </c>
    </row>
    <row r="551" spans="1:8">
      <c r="A551" s="107">
        <v>1</v>
      </c>
      <c r="B551" s="107">
        <v>8</v>
      </c>
      <c r="C551" s="107">
        <v>11</v>
      </c>
      <c r="D551" s="107">
        <v>4</v>
      </c>
      <c r="E551" s="107" t="s">
        <v>387</v>
      </c>
      <c r="F551" s="107" t="s">
        <v>388</v>
      </c>
      <c r="G551" s="161">
        <v>45354</v>
      </c>
      <c r="H551" s="107">
        <f t="shared" si="13"/>
        <v>5</v>
      </c>
    </row>
    <row r="552" spans="1:8">
      <c r="A552" s="107">
        <v>1</v>
      </c>
      <c r="B552" s="107">
        <v>8</v>
      </c>
      <c r="C552" s="107">
        <v>12</v>
      </c>
      <c r="D552" s="107">
        <v>1</v>
      </c>
      <c r="E552" s="107" t="s">
        <v>395</v>
      </c>
      <c r="F552" s="107" t="s">
        <v>396</v>
      </c>
      <c r="G552" s="161">
        <v>45355</v>
      </c>
      <c r="H552" s="107">
        <f t="shared" si="13"/>
        <v>6</v>
      </c>
    </row>
    <row r="553" spans="1:8">
      <c r="A553" s="107">
        <v>1</v>
      </c>
      <c r="B553" s="107">
        <v>8</v>
      </c>
      <c r="C553" s="107">
        <v>12</v>
      </c>
      <c r="D553" s="107">
        <v>2</v>
      </c>
      <c r="E553" s="107" t="s">
        <v>395</v>
      </c>
      <c r="F553" s="107" t="s">
        <v>396</v>
      </c>
      <c r="G553" s="161">
        <v>45353</v>
      </c>
      <c r="H553" s="107">
        <f t="shared" si="13"/>
        <v>4</v>
      </c>
    </row>
    <row r="554" spans="1:8">
      <c r="A554" s="107">
        <v>1</v>
      </c>
      <c r="B554" s="107">
        <v>8</v>
      </c>
      <c r="C554" s="107">
        <v>12</v>
      </c>
      <c r="D554" s="107">
        <v>3</v>
      </c>
      <c r="E554" s="107" t="s">
        <v>395</v>
      </c>
      <c r="F554" s="107" t="s">
        <v>396</v>
      </c>
      <c r="G554" s="161">
        <v>45354</v>
      </c>
      <c r="H554" s="107">
        <f t="shared" si="13"/>
        <v>5</v>
      </c>
    </row>
    <row r="555" spans="1:8">
      <c r="A555" s="107">
        <v>1</v>
      </c>
      <c r="B555" s="107">
        <v>8</v>
      </c>
      <c r="C555" s="107">
        <v>12</v>
      </c>
      <c r="D555" s="107">
        <v>4</v>
      </c>
      <c r="E555" s="107" t="s">
        <v>395</v>
      </c>
      <c r="F555" s="107" t="s">
        <v>396</v>
      </c>
      <c r="G555" s="161">
        <v>45354</v>
      </c>
      <c r="H555" s="107">
        <f t="shared" si="13"/>
        <v>5</v>
      </c>
    </row>
    <row r="556" spans="1:8">
      <c r="A556" s="107">
        <v>1</v>
      </c>
      <c r="B556" s="107">
        <v>8</v>
      </c>
      <c r="C556" s="107">
        <v>13</v>
      </c>
      <c r="D556" s="107">
        <v>1</v>
      </c>
      <c r="E556" s="107" t="s">
        <v>413</v>
      </c>
      <c r="F556" s="107" t="s">
        <v>414</v>
      </c>
      <c r="G556" s="161">
        <v>45353</v>
      </c>
      <c r="H556" s="107">
        <f t="shared" si="13"/>
        <v>4</v>
      </c>
    </row>
    <row r="557" spans="1:8">
      <c r="A557" s="107">
        <v>1</v>
      </c>
      <c r="B557" s="107">
        <v>8</v>
      </c>
      <c r="C557" s="107">
        <v>13</v>
      </c>
      <c r="D557" s="107">
        <v>2</v>
      </c>
      <c r="E557" s="107" t="s">
        <v>413</v>
      </c>
      <c r="F557" s="107" t="s">
        <v>414</v>
      </c>
      <c r="G557" s="161">
        <v>45353</v>
      </c>
      <c r="H557" s="107">
        <f t="shared" si="13"/>
        <v>4</v>
      </c>
    </row>
    <row r="558" spans="1:8">
      <c r="A558" s="107">
        <v>1</v>
      </c>
      <c r="B558" s="107">
        <v>8</v>
      </c>
      <c r="C558" s="107">
        <v>13</v>
      </c>
      <c r="D558" s="107">
        <v>3</v>
      </c>
      <c r="E558" s="107" t="s">
        <v>413</v>
      </c>
      <c r="F558" s="107" t="s">
        <v>414</v>
      </c>
      <c r="G558" s="161">
        <v>45353</v>
      </c>
      <c r="H558" s="107">
        <f t="shared" si="13"/>
        <v>4</v>
      </c>
    </row>
    <row r="559" spans="1:8">
      <c r="A559" s="107">
        <v>1</v>
      </c>
      <c r="B559" s="107">
        <v>8</v>
      </c>
      <c r="C559" s="107">
        <v>13</v>
      </c>
      <c r="D559" s="107">
        <v>4</v>
      </c>
      <c r="E559" s="107" t="s">
        <v>413</v>
      </c>
      <c r="F559" s="107" t="s">
        <v>414</v>
      </c>
      <c r="G559" s="161">
        <v>45353</v>
      </c>
      <c r="H559" s="107">
        <f t="shared" si="13"/>
        <v>4</v>
      </c>
    </row>
    <row r="560" spans="1:8">
      <c r="A560" s="107">
        <v>1</v>
      </c>
      <c r="B560" s="107">
        <v>8</v>
      </c>
      <c r="C560" s="107">
        <v>14</v>
      </c>
      <c r="D560" s="107">
        <v>1</v>
      </c>
      <c r="E560" s="107" t="s">
        <v>407</v>
      </c>
      <c r="F560" s="107" t="s">
        <v>408</v>
      </c>
      <c r="G560" s="161">
        <v>45353</v>
      </c>
      <c r="H560" s="107">
        <f t="shared" si="13"/>
        <v>4</v>
      </c>
    </row>
    <row r="561" spans="1:8">
      <c r="A561" s="107">
        <v>1</v>
      </c>
      <c r="B561" s="107">
        <v>8</v>
      </c>
      <c r="C561" s="107">
        <v>14</v>
      </c>
      <c r="D561" s="107">
        <v>2</v>
      </c>
      <c r="E561" s="107" t="s">
        <v>407</v>
      </c>
      <c r="F561" s="107" t="s">
        <v>408</v>
      </c>
      <c r="G561" s="161">
        <v>45353</v>
      </c>
      <c r="H561" s="107">
        <f t="shared" si="13"/>
        <v>4</v>
      </c>
    </row>
    <row r="562" spans="1:8">
      <c r="A562" s="107">
        <v>1</v>
      </c>
      <c r="B562" s="107">
        <v>8</v>
      </c>
      <c r="C562" s="107">
        <v>14</v>
      </c>
      <c r="D562" s="107">
        <v>3</v>
      </c>
      <c r="E562" s="107" t="s">
        <v>407</v>
      </c>
      <c r="F562" s="107" t="s">
        <v>408</v>
      </c>
      <c r="G562" s="161">
        <v>45353</v>
      </c>
      <c r="H562" s="107">
        <f t="shared" si="13"/>
        <v>4</v>
      </c>
    </row>
    <row r="563" spans="1:8">
      <c r="A563" s="107">
        <v>1</v>
      </c>
      <c r="B563" s="107">
        <v>8</v>
      </c>
      <c r="C563" s="107">
        <v>14</v>
      </c>
      <c r="D563" s="107">
        <v>4</v>
      </c>
      <c r="E563" s="107" t="s">
        <v>407</v>
      </c>
      <c r="F563" s="107" t="s">
        <v>408</v>
      </c>
      <c r="G563" s="161">
        <v>45354</v>
      </c>
      <c r="H563" s="107">
        <f t="shared" si="13"/>
        <v>5</v>
      </c>
    </row>
    <row r="564" spans="1:8">
      <c r="A564" s="107">
        <v>1</v>
      </c>
      <c r="B564" s="107">
        <v>8</v>
      </c>
      <c r="C564" s="107">
        <v>15</v>
      </c>
      <c r="D564" s="107">
        <v>1</v>
      </c>
      <c r="E564" s="107" t="s">
        <v>383</v>
      </c>
      <c r="F564" s="107" t="s">
        <v>384</v>
      </c>
      <c r="G564" s="161">
        <v>45353</v>
      </c>
      <c r="H564" s="107">
        <f t="shared" si="13"/>
        <v>4</v>
      </c>
    </row>
    <row r="565" spans="1:8">
      <c r="A565" s="107">
        <v>1</v>
      </c>
      <c r="B565" s="107">
        <v>8</v>
      </c>
      <c r="C565" s="107">
        <v>15</v>
      </c>
      <c r="D565" s="107">
        <v>2</v>
      </c>
      <c r="E565" s="107" t="s">
        <v>383</v>
      </c>
      <c r="F565" s="107" t="s">
        <v>384</v>
      </c>
      <c r="G565" s="161">
        <v>45354</v>
      </c>
      <c r="H565" s="107">
        <f t="shared" si="13"/>
        <v>5</v>
      </c>
    </row>
    <row r="566" spans="1:8">
      <c r="A566" s="107">
        <v>1</v>
      </c>
      <c r="B566" s="107">
        <v>8</v>
      </c>
      <c r="C566" s="107">
        <v>15</v>
      </c>
      <c r="D566" s="107">
        <v>3</v>
      </c>
      <c r="E566" s="107" t="s">
        <v>383</v>
      </c>
      <c r="F566" s="107" t="s">
        <v>384</v>
      </c>
      <c r="G566" s="161">
        <v>45354</v>
      </c>
      <c r="H566" s="107">
        <f t="shared" si="13"/>
        <v>5</v>
      </c>
    </row>
    <row r="567" spans="1:8">
      <c r="A567" s="107">
        <v>1</v>
      </c>
      <c r="B567" s="107">
        <v>8</v>
      </c>
      <c r="C567" s="107">
        <v>15</v>
      </c>
      <c r="D567" s="107">
        <v>4</v>
      </c>
      <c r="E567" s="107" t="s">
        <v>383</v>
      </c>
      <c r="F567" s="107" t="s">
        <v>384</v>
      </c>
      <c r="G567" s="161">
        <v>45354</v>
      </c>
      <c r="H567" s="107">
        <f t="shared" si="13"/>
        <v>5</v>
      </c>
    </row>
    <row r="568" spans="1:8">
      <c r="A568" s="107">
        <v>1</v>
      </c>
      <c r="B568" s="107">
        <v>8</v>
      </c>
      <c r="C568" s="107">
        <v>16</v>
      </c>
      <c r="D568" s="107">
        <v>1</v>
      </c>
      <c r="E568" s="107" t="s">
        <v>403</v>
      </c>
      <c r="F568" s="107" t="s">
        <v>404</v>
      </c>
      <c r="G568" s="161">
        <v>45354</v>
      </c>
      <c r="H568" s="107">
        <f t="shared" si="13"/>
        <v>5</v>
      </c>
    </row>
    <row r="569" spans="1:8">
      <c r="A569" s="107">
        <v>1</v>
      </c>
      <c r="B569" s="107">
        <v>8</v>
      </c>
      <c r="C569" s="107">
        <v>16</v>
      </c>
      <c r="D569" s="107">
        <v>2</v>
      </c>
      <c r="E569" s="107" t="s">
        <v>403</v>
      </c>
      <c r="F569" s="107" t="s">
        <v>404</v>
      </c>
      <c r="G569" s="161">
        <v>45353</v>
      </c>
      <c r="H569" s="107">
        <f t="shared" si="13"/>
        <v>4</v>
      </c>
    </row>
    <row r="570" spans="1:8">
      <c r="A570" s="107">
        <v>1</v>
      </c>
      <c r="B570" s="107">
        <v>8</v>
      </c>
      <c r="C570" s="107">
        <v>16</v>
      </c>
      <c r="D570" s="107">
        <v>3</v>
      </c>
      <c r="E570" s="107" t="s">
        <v>403</v>
      </c>
      <c r="F570" s="107" t="s">
        <v>404</v>
      </c>
      <c r="G570" s="161">
        <v>45353</v>
      </c>
      <c r="H570" s="107">
        <f t="shared" si="13"/>
        <v>4</v>
      </c>
    </row>
    <row r="571" spans="1:8">
      <c r="A571" s="107">
        <v>1</v>
      </c>
      <c r="B571" s="107">
        <v>8</v>
      </c>
      <c r="C571" s="107">
        <v>16</v>
      </c>
      <c r="D571" s="107">
        <v>4</v>
      </c>
      <c r="E571" s="107" t="s">
        <v>403</v>
      </c>
      <c r="F571" s="107" t="s">
        <v>404</v>
      </c>
      <c r="G571" s="161">
        <v>45353</v>
      </c>
      <c r="H571" s="107">
        <f t="shared" si="13"/>
        <v>4</v>
      </c>
    </row>
    <row r="572" spans="1:8">
      <c r="A572" s="107">
        <v>1</v>
      </c>
      <c r="B572" s="107">
        <v>8</v>
      </c>
      <c r="C572" s="107">
        <v>17</v>
      </c>
      <c r="D572" s="107">
        <v>1</v>
      </c>
      <c r="E572" s="107" t="s">
        <v>399</v>
      </c>
      <c r="F572" s="107" t="s">
        <v>400</v>
      </c>
      <c r="G572" s="161">
        <v>45354</v>
      </c>
      <c r="H572" s="107">
        <f t="shared" si="13"/>
        <v>5</v>
      </c>
    </row>
    <row r="573" spans="1:8">
      <c r="A573" s="107">
        <v>1</v>
      </c>
      <c r="B573" s="107">
        <v>8</v>
      </c>
      <c r="C573" s="107">
        <v>17</v>
      </c>
      <c r="D573" s="107">
        <v>2</v>
      </c>
      <c r="E573" s="107" t="s">
        <v>399</v>
      </c>
      <c r="F573" s="107" t="s">
        <v>400</v>
      </c>
      <c r="G573" s="161">
        <v>45354</v>
      </c>
      <c r="H573" s="107">
        <f t="shared" si="13"/>
        <v>5</v>
      </c>
    </row>
    <row r="574" spans="1:8">
      <c r="A574" s="107">
        <v>1</v>
      </c>
      <c r="B574" s="107">
        <v>8</v>
      </c>
      <c r="C574" s="107">
        <v>17</v>
      </c>
      <c r="D574" s="107">
        <v>3</v>
      </c>
      <c r="E574" s="107" t="s">
        <v>399</v>
      </c>
      <c r="F574" s="107" t="s">
        <v>400</v>
      </c>
      <c r="G574" s="161">
        <v>45353</v>
      </c>
      <c r="H574" s="107">
        <f t="shared" si="13"/>
        <v>4</v>
      </c>
    </row>
    <row r="575" spans="1:8">
      <c r="A575" s="107">
        <v>1</v>
      </c>
      <c r="B575" s="107">
        <v>8</v>
      </c>
      <c r="C575" s="107">
        <v>17</v>
      </c>
      <c r="D575" s="107">
        <v>4</v>
      </c>
      <c r="E575" s="107" t="s">
        <v>399</v>
      </c>
      <c r="F575" s="107" t="s">
        <v>400</v>
      </c>
      <c r="G575" s="161">
        <v>45353</v>
      </c>
      <c r="H575" s="107">
        <f t="shared" si="13"/>
        <v>4</v>
      </c>
    </row>
    <row r="576" spans="1:8">
      <c r="A576" s="107">
        <v>1</v>
      </c>
      <c r="B576" s="107">
        <v>8</v>
      </c>
      <c r="C576" s="107">
        <v>18</v>
      </c>
      <c r="D576" s="107">
        <v>1</v>
      </c>
      <c r="E576" s="107" t="s">
        <v>389</v>
      </c>
      <c r="F576" s="107" t="s">
        <v>390</v>
      </c>
      <c r="G576" s="161">
        <v>45354</v>
      </c>
      <c r="H576" s="107">
        <f t="shared" si="13"/>
        <v>5</v>
      </c>
    </row>
    <row r="577" spans="1:8">
      <c r="A577" s="107">
        <v>1</v>
      </c>
      <c r="B577" s="107">
        <v>8</v>
      </c>
      <c r="C577" s="107">
        <v>18</v>
      </c>
      <c r="D577" s="107">
        <v>2</v>
      </c>
      <c r="E577" s="107" t="s">
        <v>389</v>
      </c>
      <c r="F577" s="107" t="s">
        <v>390</v>
      </c>
      <c r="G577" s="161">
        <v>45354</v>
      </c>
      <c r="H577" s="107">
        <f t="shared" si="13"/>
        <v>5</v>
      </c>
    </row>
    <row r="578" spans="1:8">
      <c r="A578" s="107">
        <v>1</v>
      </c>
      <c r="B578" s="107">
        <v>8</v>
      </c>
      <c r="C578" s="107">
        <v>18</v>
      </c>
      <c r="D578" s="107">
        <v>3</v>
      </c>
      <c r="E578" s="107" t="s">
        <v>389</v>
      </c>
      <c r="F578" s="107" t="s">
        <v>390</v>
      </c>
      <c r="G578" s="161">
        <v>45354</v>
      </c>
      <c r="H578" s="107">
        <f t="shared" si="13"/>
        <v>5</v>
      </c>
    </row>
    <row r="579" spans="1:8">
      <c r="A579" s="107">
        <v>1</v>
      </c>
      <c r="B579" s="107">
        <v>8</v>
      </c>
      <c r="C579" s="107">
        <v>18</v>
      </c>
      <c r="D579" s="107">
        <v>4</v>
      </c>
      <c r="E579" s="107" t="s">
        <v>389</v>
      </c>
      <c r="F579" s="107" t="s">
        <v>390</v>
      </c>
      <c r="G579" s="161">
        <v>45353</v>
      </c>
      <c r="H579" s="107">
        <f t="shared" si="13"/>
        <v>4</v>
      </c>
    </row>
    <row r="580" spans="1:8">
      <c r="A580" s="107">
        <v>1</v>
      </c>
      <c r="B580" s="107">
        <v>9</v>
      </c>
      <c r="C580" s="107">
        <v>1</v>
      </c>
      <c r="D580" s="107">
        <v>1</v>
      </c>
      <c r="E580" s="107" t="s">
        <v>431</v>
      </c>
      <c r="F580" s="107" t="s">
        <v>432</v>
      </c>
      <c r="G580" s="161">
        <v>45354</v>
      </c>
      <c r="H580" s="107">
        <f t="shared" si="13"/>
        <v>5</v>
      </c>
    </row>
    <row r="581" spans="1:8">
      <c r="A581" s="107">
        <v>1</v>
      </c>
      <c r="B581" s="107">
        <v>9</v>
      </c>
      <c r="C581" s="107">
        <v>1</v>
      </c>
      <c r="D581" s="107">
        <v>2</v>
      </c>
      <c r="E581" s="107" t="s">
        <v>431</v>
      </c>
      <c r="F581" s="107" t="s">
        <v>432</v>
      </c>
      <c r="G581" s="161">
        <v>45354</v>
      </c>
      <c r="H581" s="107">
        <f t="shared" ref="H581:H644" si="14">DATEDIF($H$2,G581,"d")</f>
        <v>5</v>
      </c>
    </row>
    <row r="582" spans="1:8">
      <c r="A582" s="107">
        <v>1</v>
      </c>
      <c r="B582" s="107">
        <v>9</v>
      </c>
      <c r="C582" s="107">
        <v>1</v>
      </c>
      <c r="D582" s="107">
        <v>3</v>
      </c>
      <c r="E582" s="107" t="s">
        <v>431</v>
      </c>
      <c r="F582" s="107" t="s">
        <v>432</v>
      </c>
      <c r="G582" s="161">
        <v>45353</v>
      </c>
      <c r="H582" s="107">
        <f t="shared" si="14"/>
        <v>4</v>
      </c>
    </row>
    <row r="583" spans="1:8">
      <c r="A583" s="107">
        <v>1</v>
      </c>
      <c r="B583" s="107">
        <v>9</v>
      </c>
      <c r="C583" s="107">
        <v>1</v>
      </c>
      <c r="D583" s="107">
        <v>4</v>
      </c>
      <c r="E583" s="107" t="s">
        <v>431</v>
      </c>
      <c r="F583" s="107" t="s">
        <v>432</v>
      </c>
      <c r="G583" s="161">
        <v>45353</v>
      </c>
      <c r="H583" s="107">
        <f t="shared" si="14"/>
        <v>4</v>
      </c>
    </row>
    <row r="584" spans="1:8">
      <c r="A584" s="107">
        <v>1</v>
      </c>
      <c r="B584" s="107">
        <v>9</v>
      </c>
      <c r="C584" s="107">
        <v>2</v>
      </c>
      <c r="D584" s="107">
        <v>1</v>
      </c>
      <c r="E584" s="107" t="s">
        <v>417</v>
      </c>
      <c r="F584" s="107" t="s">
        <v>418</v>
      </c>
      <c r="G584" s="161">
        <v>45353</v>
      </c>
      <c r="H584" s="107">
        <f t="shared" si="14"/>
        <v>4</v>
      </c>
    </row>
    <row r="585" spans="1:8">
      <c r="A585" s="107">
        <v>1</v>
      </c>
      <c r="B585" s="107">
        <v>9</v>
      </c>
      <c r="C585" s="107">
        <v>2</v>
      </c>
      <c r="D585" s="107">
        <v>2</v>
      </c>
      <c r="E585" s="107" t="s">
        <v>417</v>
      </c>
      <c r="F585" s="107" t="s">
        <v>418</v>
      </c>
      <c r="G585" s="161">
        <v>45353</v>
      </c>
      <c r="H585" s="107">
        <f t="shared" si="14"/>
        <v>4</v>
      </c>
    </row>
    <row r="586" spans="1:8">
      <c r="A586" s="107">
        <v>1</v>
      </c>
      <c r="B586" s="107">
        <v>9</v>
      </c>
      <c r="C586" s="107">
        <v>2</v>
      </c>
      <c r="D586" s="107">
        <v>3</v>
      </c>
      <c r="E586" s="107" t="s">
        <v>417</v>
      </c>
      <c r="F586" s="107" t="s">
        <v>418</v>
      </c>
      <c r="G586" s="161">
        <v>45353</v>
      </c>
      <c r="H586" s="107">
        <f t="shared" si="14"/>
        <v>4</v>
      </c>
    </row>
    <row r="587" spans="1:8">
      <c r="A587" s="107">
        <v>1</v>
      </c>
      <c r="B587" s="107">
        <v>9</v>
      </c>
      <c r="C587" s="107">
        <v>2</v>
      </c>
      <c r="D587" s="107">
        <v>4</v>
      </c>
      <c r="E587" s="107" t="s">
        <v>417</v>
      </c>
      <c r="F587" s="107" t="s">
        <v>418</v>
      </c>
      <c r="G587" s="161">
        <v>45353</v>
      </c>
      <c r="H587" s="107">
        <f t="shared" si="14"/>
        <v>4</v>
      </c>
    </row>
    <row r="588" spans="1:8">
      <c r="A588" s="107">
        <v>1</v>
      </c>
      <c r="B588" s="107">
        <v>9</v>
      </c>
      <c r="C588" s="107">
        <v>3</v>
      </c>
      <c r="D588" s="107">
        <v>1</v>
      </c>
      <c r="E588" s="107" t="s">
        <v>441</v>
      </c>
      <c r="F588" s="107" t="s">
        <v>442</v>
      </c>
      <c r="G588" s="161">
        <v>45353</v>
      </c>
      <c r="H588" s="107">
        <f t="shared" si="14"/>
        <v>4</v>
      </c>
    </row>
    <row r="589" spans="1:8">
      <c r="A589" s="107">
        <v>1</v>
      </c>
      <c r="B589" s="107">
        <v>9</v>
      </c>
      <c r="C589" s="107">
        <v>3</v>
      </c>
      <c r="D589" s="107">
        <v>2</v>
      </c>
      <c r="E589" s="107" t="s">
        <v>441</v>
      </c>
      <c r="F589" s="107" t="s">
        <v>442</v>
      </c>
      <c r="G589" s="161">
        <v>45354</v>
      </c>
      <c r="H589" s="107">
        <f t="shared" si="14"/>
        <v>5</v>
      </c>
    </row>
    <row r="590" spans="1:8">
      <c r="A590" s="107">
        <v>1</v>
      </c>
      <c r="B590" s="107">
        <v>9</v>
      </c>
      <c r="C590" s="107">
        <v>3</v>
      </c>
      <c r="D590" s="107">
        <v>3</v>
      </c>
      <c r="E590" s="107" t="s">
        <v>441</v>
      </c>
      <c r="F590" s="107" t="s">
        <v>442</v>
      </c>
      <c r="G590" s="161">
        <v>45353</v>
      </c>
      <c r="H590" s="107">
        <f t="shared" si="14"/>
        <v>4</v>
      </c>
    </row>
    <row r="591" spans="1:8">
      <c r="A591" s="107">
        <v>1</v>
      </c>
      <c r="B591" s="107">
        <v>9</v>
      </c>
      <c r="C591" s="107">
        <v>3</v>
      </c>
      <c r="D591" s="107">
        <v>4</v>
      </c>
      <c r="E591" s="107" t="s">
        <v>441</v>
      </c>
      <c r="F591" s="107" t="s">
        <v>442</v>
      </c>
      <c r="G591" s="161">
        <v>45353</v>
      </c>
      <c r="H591" s="107">
        <f t="shared" si="14"/>
        <v>4</v>
      </c>
    </row>
    <row r="592" spans="1:8">
      <c r="A592" s="107">
        <v>1</v>
      </c>
      <c r="B592" s="107">
        <v>9</v>
      </c>
      <c r="C592" s="107">
        <v>4</v>
      </c>
      <c r="D592" s="107">
        <v>1</v>
      </c>
      <c r="E592" s="107" t="s">
        <v>437</v>
      </c>
      <c r="F592" s="107" t="s">
        <v>438</v>
      </c>
      <c r="G592" s="161">
        <v>45354</v>
      </c>
      <c r="H592" s="107">
        <f t="shared" si="14"/>
        <v>5</v>
      </c>
    </row>
    <row r="593" spans="1:8">
      <c r="A593" s="107">
        <v>1</v>
      </c>
      <c r="B593" s="107">
        <v>9</v>
      </c>
      <c r="C593" s="107">
        <v>4</v>
      </c>
      <c r="D593" s="107">
        <v>2</v>
      </c>
      <c r="E593" s="107" t="s">
        <v>437</v>
      </c>
      <c r="F593" s="107" t="s">
        <v>438</v>
      </c>
      <c r="G593" s="161">
        <v>45353</v>
      </c>
      <c r="H593" s="107">
        <f t="shared" si="14"/>
        <v>4</v>
      </c>
    </row>
    <row r="594" spans="1:8">
      <c r="A594" s="107">
        <v>1</v>
      </c>
      <c r="B594" s="107">
        <v>9</v>
      </c>
      <c r="C594" s="107">
        <v>4</v>
      </c>
      <c r="D594" s="107">
        <v>3</v>
      </c>
      <c r="E594" s="107" t="s">
        <v>437</v>
      </c>
      <c r="F594" s="107" t="s">
        <v>438</v>
      </c>
      <c r="G594" s="161">
        <v>45354</v>
      </c>
      <c r="H594" s="107">
        <f t="shared" si="14"/>
        <v>5</v>
      </c>
    </row>
    <row r="595" spans="1:8">
      <c r="A595" s="107">
        <v>1</v>
      </c>
      <c r="B595" s="107">
        <v>9</v>
      </c>
      <c r="C595" s="107">
        <v>4</v>
      </c>
      <c r="D595" s="107">
        <v>4</v>
      </c>
      <c r="E595" s="107" t="s">
        <v>437</v>
      </c>
      <c r="F595" s="107" t="s">
        <v>438</v>
      </c>
      <c r="G595" s="161">
        <v>45353</v>
      </c>
      <c r="H595" s="107">
        <f t="shared" si="14"/>
        <v>4</v>
      </c>
    </row>
    <row r="596" spans="1:8">
      <c r="A596" s="107">
        <v>1</v>
      </c>
      <c r="B596" s="107">
        <v>9</v>
      </c>
      <c r="C596" s="107">
        <v>5</v>
      </c>
      <c r="D596" s="107">
        <v>1</v>
      </c>
      <c r="E596" s="107" t="s">
        <v>419</v>
      </c>
      <c r="F596" s="107" t="s">
        <v>420</v>
      </c>
      <c r="G596" s="161">
        <v>45353</v>
      </c>
      <c r="H596" s="107">
        <f t="shared" si="14"/>
        <v>4</v>
      </c>
    </row>
    <row r="597" spans="1:8">
      <c r="A597" s="107">
        <v>1</v>
      </c>
      <c r="B597" s="107">
        <v>9</v>
      </c>
      <c r="C597" s="107">
        <v>5</v>
      </c>
      <c r="D597" s="107">
        <v>2</v>
      </c>
      <c r="E597" s="107" t="s">
        <v>419</v>
      </c>
      <c r="F597" s="107" t="s">
        <v>420</v>
      </c>
      <c r="G597" s="161">
        <v>45353</v>
      </c>
      <c r="H597" s="107">
        <f t="shared" si="14"/>
        <v>4</v>
      </c>
    </row>
    <row r="598" spans="1:8">
      <c r="A598" s="107">
        <v>1</v>
      </c>
      <c r="B598" s="107">
        <v>9</v>
      </c>
      <c r="C598" s="107">
        <v>5</v>
      </c>
      <c r="D598" s="107">
        <v>3</v>
      </c>
      <c r="E598" s="107" t="s">
        <v>419</v>
      </c>
      <c r="F598" s="107" t="s">
        <v>420</v>
      </c>
      <c r="G598" s="161">
        <v>45354</v>
      </c>
      <c r="H598" s="107">
        <f t="shared" si="14"/>
        <v>5</v>
      </c>
    </row>
    <row r="599" spans="1:8">
      <c r="A599" s="107">
        <v>1</v>
      </c>
      <c r="B599" s="107">
        <v>9</v>
      </c>
      <c r="C599" s="107">
        <v>5</v>
      </c>
      <c r="D599" s="107">
        <v>4</v>
      </c>
      <c r="E599" s="107" t="s">
        <v>419</v>
      </c>
      <c r="F599" s="107" t="s">
        <v>420</v>
      </c>
      <c r="G599" s="161">
        <v>45354</v>
      </c>
      <c r="H599" s="107">
        <f t="shared" si="14"/>
        <v>5</v>
      </c>
    </row>
    <row r="600" spans="1:8">
      <c r="A600" s="107">
        <v>1</v>
      </c>
      <c r="B600" s="107">
        <v>9</v>
      </c>
      <c r="C600" s="107">
        <v>6</v>
      </c>
      <c r="D600" s="107">
        <v>1</v>
      </c>
      <c r="E600" s="107" t="s">
        <v>435</v>
      </c>
      <c r="F600" s="107" t="s">
        <v>436</v>
      </c>
      <c r="G600" s="161">
        <v>45353</v>
      </c>
      <c r="H600" s="107">
        <f t="shared" si="14"/>
        <v>4</v>
      </c>
    </row>
    <row r="601" spans="1:8">
      <c r="A601" s="107">
        <v>1</v>
      </c>
      <c r="B601" s="107">
        <v>9</v>
      </c>
      <c r="C601" s="107">
        <v>6</v>
      </c>
      <c r="D601" s="107">
        <v>2</v>
      </c>
      <c r="E601" s="107" t="s">
        <v>435</v>
      </c>
      <c r="F601" s="107" t="s">
        <v>436</v>
      </c>
      <c r="G601" s="161">
        <v>45354</v>
      </c>
      <c r="H601" s="107">
        <f t="shared" si="14"/>
        <v>5</v>
      </c>
    </row>
    <row r="602" spans="1:8">
      <c r="A602" s="107">
        <v>1</v>
      </c>
      <c r="B602" s="107">
        <v>9</v>
      </c>
      <c r="C602" s="107">
        <v>6</v>
      </c>
      <c r="D602" s="107">
        <v>3</v>
      </c>
      <c r="E602" s="107" t="s">
        <v>435</v>
      </c>
      <c r="F602" s="107" t="s">
        <v>436</v>
      </c>
      <c r="G602" s="161">
        <v>45353</v>
      </c>
      <c r="H602" s="107">
        <f t="shared" si="14"/>
        <v>4</v>
      </c>
    </row>
    <row r="603" spans="1:8">
      <c r="A603" s="107">
        <v>1</v>
      </c>
      <c r="B603" s="107">
        <v>9</v>
      </c>
      <c r="C603" s="107">
        <v>6</v>
      </c>
      <c r="D603" s="107">
        <v>4</v>
      </c>
      <c r="E603" s="107" t="s">
        <v>435</v>
      </c>
      <c r="F603" s="107" t="s">
        <v>436</v>
      </c>
      <c r="G603" s="161">
        <v>45354</v>
      </c>
      <c r="H603" s="107">
        <f t="shared" si="14"/>
        <v>5</v>
      </c>
    </row>
    <row r="604" spans="1:8">
      <c r="A604" s="107">
        <v>1</v>
      </c>
      <c r="B604" s="107">
        <v>9</v>
      </c>
      <c r="C604" s="107">
        <v>7</v>
      </c>
      <c r="D604" s="107">
        <v>1</v>
      </c>
      <c r="E604" s="107" t="s">
        <v>423</v>
      </c>
      <c r="F604" s="107" t="s">
        <v>424</v>
      </c>
      <c r="G604" s="161">
        <v>45353</v>
      </c>
      <c r="H604" s="107">
        <f t="shared" si="14"/>
        <v>4</v>
      </c>
    </row>
    <row r="605" spans="1:8">
      <c r="A605" s="107">
        <v>1</v>
      </c>
      <c r="B605" s="107">
        <v>9</v>
      </c>
      <c r="C605" s="107">
        <v>7</v>
      </c>
      <c r="D605" s="107">
        <v>2</v>
      </c>
      <c r="E605" s="107" t="s">
        <v>423</v>
      </c>
      <c r="F605" s="107" t="s">
        <v>424</v>
      </c>
      <c r="G605" s="161">
        <v>45354</v>
      </c>
      <c r="H605" s="107">
        <f t="shared" si="14"/>
        <v>5</v>
      </c>
    </row>
    <row r="606" spans="1:8">
      <c r="A606" s="107">
        <v>1</v>
      </c>
      <c r="B606" s="107">
        <v>9</v>
      </c>
      <c r="C606" s="107">
        <v>7</v>
      </c>
      <c r="D606" s="107">
        <v>3</v>
      </c>
      <c r="E606" s="107" t="s">
        <v>423</v>
      </c>
      <c r="F606" s="107" t="s">
        <v>424</v>
      </c>
      <c r="G606" s="161">
        <v>45353</v>
      </c>
      <c r="H606" s="107">
        <f t="shared" si="14"/>
        <v>4</v>
      </c>
    </row>
    <row r="607" spans="1:8">
      <c r="A607" s="107">
        <v>1</v>
      </c>
      <c r="B607" s="107">
        <v>9</v>
      </c>
      <c r="C607" s="107">
        <v>7</v>
      </c>
      <c r="D607" s="107">
        <v>4</v>
      </c>
      <c r="E607" s="107" t="s">
        <v>423</v>
      </c>
      <c r="F607" s="107" t="s">
        <v>424</v>
      </c>
      <c r="G607" s="161">
        <v>45354</v>
      </c>
      <c r="H607" s="107">
        <f t="shared" si="14"/>
        <v>5</v>
      </c>
    </row>
    <row r="608" spans="1:8">
      <c r="A608" s="107">
        <v>1</v>
      </c>
      <c r="B608" s="107">
        <v>9</v>
      </c>
      <c r="C608" s="107">
        <v>8</v>
      </c>
      <c r="D608" s="107">
        <v>1</v>
      </c>
      <c r="E608" s="107" t="s">
        <v>445</v>
      </c>
      <c r="F608" s="107" t="s">
        <v>446</v>
      </c>
      <c r="G608" s="161">
        <v>45354</v>
      </c>
      <c r="H608" s="107">
        <f t="shared" si="14"/>
        <v>5</v>
      </c>
    </row>
    <row r="609" spans="1:8">
      <c r="A609" s="107">
        <v>1</v>
      </c>
      <c r="B609" s="107">
        <v>9</v>
      </c>
      <c r="C609" s="107">
        <v>8</v>
      </c>
      <c r="D609" s="107">
        <v>2</v>
      </c>
      <c r="E609" s="107" t="s">
        <v>445</v>
      </c>
      <c r="F609" s="107" t="s">
        <v>446</v>
      </c>
      <c r="G609" s="161">
        <v>45353</v>
      </c>
      <c r="H609" s="107">
        <f t="shared" si="14"/>
        <v>4</v>
      </c>
    </row>
    <row r="610" spans="1:8">
      <c r="A610" s="107">
        <v>1</v>
      </c>
      <c r="B610" s="107">
        <v>9</v>
      </c>
      <c r="C610" s="107">
        <v>8</v>
      </c>
      <c r="D610" s="107">
        <v>3</v>
      </c>
      <c r="E610" s="107" t="s">
        <v>445</v>
      </c>
      <c r="F610" s="107" t="s">
        <v>446</v>
      </c>
      <c r="G610" s="161">
        <v>45353</v>
      </c>
      <c r="H610" s="107">
        <f t="shared" si="14"/>
        <v>4</v>
      </c>
    </row>
    <row r="611" spans="1:8">
      <c r="A611" s="107">
        <v>1</v>
      </c>
      <c r="B611" s="107">
        <v>9</v>
      </c>
      <c r="C611" s="107">
        <v>8</v>
      </c>
      <c r="D611" s="107">
        <v>4</v>
      </c>
      <c r="E611" s="107" t="s">
        <v>445</v>
      </c>
      <c r="F611" s="107" t="s">
        <v>446</v>
      </c>
      <c r="G611" s="161">
        <v>45354</v>
      </c>
      <c r="H611" s="107">
        <f t="shared" si="14"/>
        <v>5</v>
      </c>
    </row>
    <row r="612" spans="1:8">
      <c r="A612" s="107">
        <v>1</v>
      </c>
      <c r="B612" s="107">
        <v>9</v>
      </c>
      <c r="C612" s="107">
        <v>9</v>
      </c>
      <c r="D612" s="107">
        <v>1</v>
      </c>
      <c r="E612" s="107" t="s">
        <v>439</v>
      </c>
      <c r="F612" s="107" t="s">
        <v>440</v>
      </c>
      <c r="G612" s="161">
        <v>45353</v>
      </c>
      <c r="H612" s="107">
        <f t="shared" si="14"/>
        <v>4</v>
      </c>
    </row>
    <row r="613" spans="1:8">
      <c r="A613" s="107">
        <v>1</v>
      </c>
      <c r="B613" s="107">
        <v>9</v>
      </c>
      <c r="C613" s="107">
        <v>9</v>
      </c>
      <c r="D613" s="107">
        <v>2</v>
      </c>
      <c r="E613" s="107" t="s">
        <v>439</v>
      </c>
      <c r="F613" s="107" t="s">
        <v>440</v>
      </c>
      <c r="G613" s="161">
        <v>45353</v>
      </c>
      <c r="H613" s="107">
        <f t="shared" si="14"/>
        <v>4</v>
      </c>
    </row>
    <row r="614" spans="1:8">
      <c r="A614" s="107">
        <v>1</v>
      </c>
      <c r="B614" s="107">
        <v>9</v>
      </c>
      <c r="C614" s="107">
        <v>9</v>
      </c>
      <c r="D614" s="107">
        <v>3</v>
      </c>
      <c r="E614" s="107" t="s">
        <v>439</v>
      </c>
      <c r="F614" s="107" t="s">
        <v>440</v>
      </c>
      <c r="G614" s="161">
        <v>45353</v>
      </c>
      <c r="H614" s="107">
        <f t="shared" si="14"/>
        <v>4</v>
      </c>
    </row>
    <row r="615" spans="1:8">
      <c r="A615" s="107">
        <v>1</v>
      </c>
      <c r="B615" s="107">
        <v>9</v>
      </c>
      <c r="C615" s="107">
        <v>9</v>
      </c>
      <c r="D615" s="107">
        <v>4</v>
      </c>
      <c r="E615" s="107" t="s">
        <v>439</v>
      </c>
      <c r="F615" s="107" t="s">
        <v>440</v>
      </c>
      <c r="G615" s="161">
        <v>45353</v>
      </c>
      <c r="H615" s="107">
        <f t="shared" si="14"/>
        <v>4</v>
      </c>
    </row>
    <row r="616" spans="1:8">
      <c r="A616" s="107">
        <v>1</v>
      </c>
      <c r="B616" s="107">
        <v>9</v>
      </c>
      <c r="C616" s="107">
        <v>10</v>
      </c>
      <c r="D616" s="107">
        <v>1</v>
      </c>
      <c r="E616" s="107" t="s">
        <v>421</v>
      </c>
      <c r="F616" s="107" t="s">
        <v>422</v>
      </c>
      <c r="G616" s="161">
        <v>45353</v>
      </c>
      <c r="H616" s="107">
        <f t="shared" si="14"/>
        <v>4</v>
      </c>
    </row>
    <row r="617" spans="1:8">
      <c r="A617" s="107">
        <v>1</v>
      </c>
      <c r="B617" s="107">
        <v>9</v>
      </c>
      <c r="C617" s="107">
        <v>10</v>
      </c>
      <c r="D617" s="107">
        <v>2</v>
      </c>
      <c r="E617" s="107" t="s">
        <v>421</v>
      </c>
      <c r="F617" s="107" t="s">
        <v>422</v>
      </c>
      <c r="G617" s="161">
        <v>45354</v>
      </c>
      <c r="H617" s="107">
        <f t="shared" si="14"/>
        <v>5</v>
      </c>
    </row>
    <row r="618" spans="1:8">
      <c r="A618" s="107">
        <v>1</v>
      </c>
      <c r="B618" s="107">
        <v>9</v>
      </c>
      <c r="C618" s="107">
        <v>10</v>
      </c>
      <c r="D618" s="107">
        <v>3</v>
      </c>
      <c r="E618" s="107" t="s">
        <v>421</v>
      </c>
      <c r="F618" s="107" t="s">
        <v>422</v>
      </c>
      <c r="G618" s="161">
        <v>45354</v>
      </c>
      <c r="H618" s="107">
        <f t="shared" si="14"/>
        <v>5</v>
      </c>
    </row>
    <row r="619" spans="1:8">
      <c r="A619" s="107">
        <v>1</v>
      </c>
      <c r="B619" s="107">
        <v>9</v>
      </c>
      <c r="C619" s="107">
        <v>10</v>
      </c>
      <c r="D619" s="107">
        <v>4</v>
      </c>
      <c r="E619" s="107" t="s">
        <v>421</v>
      </c>
      <c r="F619" s="107" t="s">
        <v>422</v>
      </c>
      <c r="G619" s="161">
        <v>45354</v>
      </c>
      <c r="H619" s="107">
        <f t="shared" si="14"/>
        <v>5</v>
      </c>
    </row>
    <row r="620" spans="1:8">
      <c r="A620" s="107">
        <v>1</v>
      </c>
      <c r="B620" s="107">
        <v>9</v>
      </c>
      <c r="C620" s="107">
        <v>11</v>
      </c>
      <c r="D620" s="107">
        <v>1</v>
      </c>
      <c r="E620" s="107" t="s">
        <v>447</v>
      </c>
      <c r="F620" s="107" t="s">
        <v>448</v>
      </c>
      <c r="G620" s="161">
        <v>45353</v>
      </c>
      <c r="H620" s="107">
        <f t="shared" si="14"/>
        <v>4</v>
      </c>
    </row>
    <row r="621" spans="1:8">
      <c r="A621" s="107">
        <v>1</v>
      </c>
      <c r="B621" s="107">
        <v>9</v>
      </c>
      <c r="C621" s="107">
        <v>11</v>
      </c>
      <c r="D621" s="107">
        <v>2</v>
      </c>
      <c r="E621" s="107" t="s">
        <v>447</v>
      </c>
      <c r="F621" s="107" t="s">
        <v>448</v>
      </c>
      <c r="G621" s="161">
        <v>45354</v>
      </c>
      <c r="H621" s="107">
        <f t="shared" si="14"/>
        <v>5</v>
      </c>
    </row>
    <row r="622" spans="1:8">
      <c r="A622" s="107">
        <v>1</v>
      </c>
      <c r="B622" s="107">
        <v>9</v>
      </c>
      <c r="C622" s="107">
        <v>11</v>
      </c>
      <c r="D622" s="107">
        <v>3</v>
      </c>
      <c r="E622" s="107" t="s">
        <v>447</v>
      </c>
      <c r="F622" s="107" t="s">
        <v>448</v>
      </c>
      <c r="G622" s="161">
        <v>45353</v>
      </c>
      <c r="H622" s="107">
        <f t="shared" si="14"/>
        <v>4</v>
      </c>
    </row>
    <row r="623" spans="1:8">
      <c r="A623" s="107">
        <v>1</v>
      </c>
      <c r="B623" s="107">
        <v>9</v>
      </c>
      <c r="C623" s="107">
        <v>11</v>
      </c>
      <c r="D623" s="107">
        <v>4</v>
      </c>
      <c r="E623" s="107" t="s">
        <v>447</v>
      </c>
      <c r="F623" s="107" t="s">
        <v>448</v>
      </c>
      <c r="G623" s="161">
        <v>45354</v>
      </c>
      <c r="H623" s="107">
        <f t="shared" si="14"/>
        <v>5</v>
      </c>
    </row>
    <row r="624" spans="1:8">
      <c r="A624" s="107">
        <v>1</v>
      </c>
      <c r="B624" s="107">
        <v>9</v>
      </c>
      <c r="C624" s="107">
        <v>12</v>
      </c>
      <c r="D624" s="107">
        <v>1</v>
      </c>
      <c r="E624" s="107" t="s">
        <v>443</v>
      </c>
      <c r="F624" s="107" t="s">
        <v>444</v>
      </c>
      <c r="G624" s="161">
        <v>45353</v>
      </c>
      <c r="H624" s="107">
        <f t="shared" si="14"/>
        <v>4</v>
      </c>
    </row>
    <row r="625" spans="1:8">
      <c r="A625" s="107">
        <v>1</v>
      </c>
      <c r="B625" s="107">
        <v>9</v>
      </c>
      <c r="C625" s="107">
        <v>12</v>
      </c>
      <c r="D625" s="107">
        <v>2</v>
      </c>
      <c r="E625" s="107" t="s">
        <v>443</v>
      </c>
      <c r="F625" s="107" t="s">
        <v>444</v>
      </c>
      <c r="G625" s="161">
        <v>45353</v>
      </c>
      <c r="H625" s="107">
        <f t="shared" si="14"/>
        <v>4</v>
      </c>
    </row>
    <row r="626" spans="1:8">
      <c r="A626" s="107">
        <v>1</v>
      </c>
      <c r="B626" s="107">
        <v>9</v>
      </c>
      <c r="C626" s="107">
        <v>12</v>
      </c>
      <c r="D626" s="107">
        <v>3</v>
      </c>
      <c r="E626" s="107" t="s">
        <v>443</v>
      </c>
      <c r="F626" s="107" t="s">
        <v>444</v>
      </c>
      <c r="G626" s="161">
        <v>45353</v>
      </c>
      <c r="H626" s="107">
        <f t="shared" si="14"/>
        <v>4</v>
      </c>
    </row>
    <row r="627" spans="1:8">
      <c r="A627" s="107">
        <v>1</v>
      </c>
      <c r="B627" s="107">
        <v>9</v>
      </c>
      <c r="C627" s="107">
        <v>12</v>
      </c>
      <c r="D627" s="107">
        <v>4</v>
      </c>
      <c r="E627" s="107" t="s">
        <v>443</v>
      </c>
      <c r="F627" s="107" t="s">
        <v>444</v>
      </c>
      <c r="G627" s="161">
        <v>45353</v>
      </c>
      <c r="H627" s="107">
        <f t="shared" si="14"/>
        <v>4</v>
      </c>
    </row>
    <row r="628" spans="1:8">
      <c r="A628" s="107">
        <v>1</v>
      </c>
      <c r="B628" s="107">
        <v>9</v>
      </c>
      <c r="C628" s="107">
        <v>13</v>
      </c>
      <c r="D628" s="107">
        <v>1</v>
      </c>
      <c r="E628" s="107" t="s">
        <v>425</v>
      </c>
      <c r="F628" s="107" t="s">
        <v>426</v>
      </c>
      <c r="G628" s="161">
        <v>45354</v>
      </c>
      <c r="H628" s="107">
        <f t="shared" si="14"/>
        <v>5</v>
      </c>
    </row>
    <row r="629" spans="1:8">
      <c r="A629" s="107">
        <v>1</v>
      </c>
      <c r="B629" s="107">
        <v>9</v>
      </c>
      <c r="C629" s="107">
        <v>13</v>
      </c>
      <c r="D629" s="107">
        <v>2</v>
      </c>
      <c r="E629" s="107" t="s">
        <v>425</v>
      </c>
      <c r="F629" s="107" t="s">
        <v>426</v>
      </c>
      <c r="G629" s="161">
        <v>45353</v>
      </c>
      <c r="H629" s="107">
        <f t="shared" si="14"/>
        <v>4</v>
      </c>
    </row>
    <row r="630" spans="1:8">
      <c r="A630" s="107">
        <v>1</v>
      </c>
      <c r="B630" s="107">
        <v>9</v>
      </c>
      <c r="C630" s="107">
        <v>13</v>
      </c>
      <c r="D630" s="107">
        <v>3</v>
      </c>
      <c r="E630" s="107" t="s">
        <v>425</v>
      </c>
      <c r="F630" s="107" t="s">
        <v>426</v>
      </c>
      <c r="G630" s="161">
        <v>45354</v>
      </c>
      <c r="H630" s="107">
        <f t="shared" si="14"/>
        <v>5</v>
      </c>
    </row>
    <row r="631" spans="1:8">
      <c r="A631" s="107">
        <v>1</v>
      </c>
      <c r="B631" s="107">
        <v>9</v>
      </c>
      <c r="C631" s="107">
        <v>13</v>
      </c>
      <c r="D631" s="107">
        <v>4</v>
      </c>
      <c r="E631" s="107" t="s">
        <v>425</v>
      </c>
      <c r="F631" s="107" t="s">
        <v>426</v>
      </c>
      <c r="G631" s="161">
        <v>45354</v>
      </c>
      <c r="H631" s="107">
        <f t="shared" si="14"/>
        <v>5</v>
      </c>
    </row>
    <row r="632" spans="1:8">
      <c r="A632" s="107">
        <v>1</v>
      </c>
      <c r="B632" s="107">
        <v>9</v>
      </c>
      <c r="C632" s="107">
        <v>14</v>
      </c>
      <c r="D632" s="107">
        <v>1</v>
      </c>
      <c r="E632" s="107" t="s">
        <v>451</v>
      </c>
      <c r="F632" s="107" t="s">
        <v>452</v>
      </c>
      <c r="G632" s="161">
        <v>45353</v>
      </c>
      <c r="H632" s="107">
        <f t="shared" si="14"/>
        <v>4</v>
      </c>
    </row>
    <row r="633" spans="1:8">
      <c r="A633" s="107">
        <v>1</v>
      </c>
      <c r="B633" s="107">
        <v>9</v>
      </c>
      <c r="C633" s="107">
        <v>14</v>
      </c>
      <c r="D633" s="107">
        <v>2</v>
      </c>
      <c r="E633" s="107" t="s">
        <v>451</v>
      </c>
      <c r="F633" s="107" t="s">
        <v>452</v>
      </c>
      <c r="G633" s="161">
        <v>45353</v>
      </c>
      <c r="H633" s="107">
        <f t="shared" si="14"/>
        <v>4</v>
      </c>
    </row>
    <row r="634" spans="1:8">
      <c r="A634" s="107">
        <v>1</v>
      </c>
      <c r="B634" s="107">
        <v>9</v>
      </c>
      <c r="C634" s="107">
        <v>14</v>
      </c>
      <c r="D634" s="107">
        <v>3</v>
      </c>
      <c r="E634" s="107" t="s">
        <v>451</v>
      </c>
      <c r="F634" s="107" t="s">
        <v>452</v>
      </c>
      <c r="G634" s="161">
        <v>45353</v>
      </c>
      <c r="H634" s="107">
        <f t="shared" si="14"/>
        <v>4</v>
      </c>
    </row>
    <row r="635" spans="1:8">
      <c r="A635" s="107">
        <v>1</v>
      </c>
      <c r="B635" s="107">
        <v>9</v>
      </c>
      <c r="C635" s="107">
        <v>14</v>
      </c>
      <c r="D635" s="107">
        <v>4</v>
      </c>
      <c r="E635" s="107" t="s">
        <v>451</v>
      </c>
      <c r="F635" s="107" t="s">
        <v>452</v>
      </c>
      <c r="G635" s="161">
        <v>45354</v>
      </c>
      <c r="H635" s="107">
        <f t="shared" si="14"/>
        <v>5</v>
      </c>
    </row>
    <row r="636" spans="1:8">
      <c r="A636" s="107">
        <v>1</v>
      </c>
      <c r="B636" s="107">
        <v>9</v>
      </c>
      <c r="C636" s="107">
        <v>15</v>
      </c>
      <c r="D636" s="107">
        <v>1</v>
      </c>
      <c r="E636" s="107" t="s">
        <v>427</v>
      </c>
      <c r="F636" s="107" t="s">
        <v>428</v>
      </c>
      <c r="G636" s="161">
        <v>45353</v>
      </c>
      <c r="H636" s="107">
        <f t="shared" si="14"/>
        <v>4</v>
      </c>
    </row>
    <row r="637" spans="1:8">
      <c r="A637" s="107">
        <v>1</v>
      </c>
      <c r="B637" s="107">
        <v>9</v>
      </c>
      <c r="C637" s="107">
        <v>15</v>
      </c>
      <c r="D637" s="107">
        <v>2</v>
      </c>
      <c r="E637" s="107" t="s">
        <v>427</v>
      </c>
      <c r="F637" s="107" t="s">
        <v>428</v>
      </c>
      <c r="G637" s="161">
        <v>45354</v>
      </c>
      <c r="H637" s="107">
        <f t="shared" si="14"/>
        <v>5</v>
      </c>
    </row>
    <row r="638" spans="1:8">
      <c r="A638" s="107">
        <v>1</v>
      </c>
      <c r="B638" s="107">
        <v>9</v>
      </c>
      <c r="C638" s="107">
        <v>15</v>
      </c>
      <c r="D638" s="107">
        <v>3</v>
      </c>
      <c r="E638" s="107" t="s">
        <v>427</v>
      </c>
      <c r="F638" s="107" t="s">
        <v>428</v>
      </c>
      <c r="G638" s="161">
        <v>45353</v>
      </c>
      <c r="H638" s="107">
        <f t="shared" si="14"/>
        <v>4</v>
      </c>
    </row>
    <row r="639" spans="1:8">
      <c r="A639" s="107">
        <v>1</v>
      </c>
      <c r="B639" s="107">
        <v>9</v>
      </c>
      <c r="C639" s="107">
        <v>15</v>
      </c>
      <c r="D639" s="107">
        <v>4</v>
      </c>
      <c r="E639" s="107" t="s">
        <v>427</v>
      </c>
      <c r="F639" s="107" t="s">
        <v>428</v>
      </c>
      <c r="G639" s="161">
        <v>45354</v>
      </c>
      <c r="H639" s="107">
        <f t="shared" si="14"/>
        <v>5</v>
      </c>
    </row>
    <row r="640" spans="1:8">
      <c r="A640" s="107">
        <v>1</v>
      </c>
      <c r="B640" s="107">
        <v>9</v>
      </c>
      <c r="C640" s="107">
        <v>16</v>
      </c>
      <c r="D640" s="107">
        <v>1</v>
      </c>
      <c r="E640" s="107" t="s">
        <v>429</v>
      </c>
      <c r="F640" s="107" t="s">
        <v>430</v>
      </c>
      <c r="G640" s="161">
        <v>45353</v>
      </c>
      <c r="H640" s="107">
        <f t="shared" si="14"/>
        <v>4</v>
      </c>
    </row>
    <row r="641" spans="1:8">
      <c r="A641" s="107">
        <v>1</v>
      </c>
      <c r="B641" s="107">
        <v>9</v>
      </c>
      <c r="C641" s="107">
        <v>16</v>
      </c>
      <c r="D641" s="107">
        <v>2</v>
      </c>
      <c r="E641" s="107" t="s">
        <v>429</v>
      </c>
      <c r="F641" s="107" t="s">
        <v>430</v>
      </c>
      <c r="G641" s="161">
        <v>45354</v>
      </c>
      <c r="H641" s="107">
        <f t="shared" si="14"/>
        <v>5</v>
      </c>
    </row>
    <row r="642" spans="1:8">
      <c r="A642" s="107">
        <v>1</v>
      </c>
      <c r="B642" s="107">
        <v>9</v>
      </c>
      <c r="C642" s="107">
        <v>16</v>
      </c>
      <c r="D642" s="107">
        <v>3</v>
      </c>
      <c r="E642" s="107" t="s">
        <v>429</v>
      </c>
      <c r="F642" s="107" t="s">
        <v>430</v>
      </c>
      <c r="G642" s="161">
        <v>45354</v>
      </c>
      <c r="H642" s="107">
        <f t="shared" si="14"/>
        <v>5</v>
      </c>
    </row>
    <row r="643" spans="1:8">
      <c r="A643" s="107">
        <v>1</v>
      </c>
      <c r="B643" s="107">
        <v>9</v>
      </c>
      <c r="C643" s="107">
        <v>16</v>
      </c>
      <c r="D643" s="107">
        <v>4</v>
      </c>
      <c r="E643" s="107" t="s">
        <v>429</v>
      </c>
      <c r="F643" s="107" t="s">
        <v>430</v>
      </c>
      <c r="G643" s="161">
        <v>45353</v>
      </c>
      <c r="H643" s="107">
        <f t="shared" si="14"/>
        <v>4</v>
      </c>
    </row>
    <row r="644" spans="1:8">
      <c r="A644" s="107">
        <v>1</v>
      </c>
      <c r="B644" s="107">
        <v>9</v>
      </c>
      <c r="C644" s="107">
        <v>17</v>
      </c>
      <c r="D644" s="107">
        <v>1</v>
      </c>
      <c r="E644" s="107" t="s">
        <v>449</v>
      </c>
      <c r="F644" s="107" t="s">
        <v>450</v>
      </c>
      <c r="G644" s="161">
        <v>45353</v>
      </c>
      <c r="H644" s="107">
        <f t="shared" si="14"/>
        <v>4</v>
      </c>
    </row>
    <row r="645" spans="1:8">
      <c r="A645" s="107">
        <v>1</v>
      </c>
      <c r="B645" s="107">
        <v>9</v>
      </c>
      <c r="C645" s="107">
        <v>17</v>
      </c>
      <c r="D645" s="107">
        <v>2</v>
      </c>
      <c r="E645" s="107" t="s">
        <v>449</v>
      </c>
      <c r="F645" s="107" t="s">
        <v>450</v>
      </c>
      <c r="G645" s="161">
        <v>45353</v>
      </c>
      <c r="H645" s="107">
        <f t="shared" ref="H645:H708" si="15">DATEDIF($H$2,G645,"d")</f>
        <v>4</v>
      </c>
    </row>
    <row r="646" spans="1:8">
      <c r="A646" s="107">
        <v>1</v>
      </c>
      <c r="B646" s="107">
        <v>9</v>
      </c>
      <c r="C646" s="107">
        <v>17</v>
      </c>
      <c r="D646" s="107">
        <v>3</v>
      </c>
      <c r="E646" s="107" t="s">
        <v>449</v>
      </c>
      <c r="F646" s="107" t="s">
        <v>450</v>
      </c>
      <c r="G646" s="161">
        <v>45353</v>
      </c>
      <c r="H646" s="107">
        <f t="shared" si="15"/>
        <v>4</v>
      </c>
    </row>
    <row r="647" spans="1:8">
      <c r="A647" s="107">
        <v>1</v>
      </c>
      <c r="B647" s="107">
        <v>9</v>
      </c>
      <c r="C647" s="107">
        <v>17</v>
      </c>
      <c r="D647" s="107">
        <v>4</v>
      </c>
      <c r="E647" s="107" t="s">
        <v>449</v>
      </c>
      <c r="F647" s="107" t="s">
        <v>450</v>
      </c>
      <c r="G647" s="161">
        <v>45353</v>
      </c>
      <c r="H647" s="107">
        <f t="shared" si="15"/>
        <v>4</v>
      </c>
    </row>
    <row r="648" spans="1:8">
      <c r="A648" s="107">
        <v>1</v>
      </c>
      <c r="B648" s="107">
        <v>9</v>
      </c>
      <c r="C648" s="107">
        <v>18</v>
      </c>
      <c r="D648" s="107">
        <v>1</v>
      </c>
      <c r="E648" s="107" t="s">
        <v>433</v>
      </c>
      <c r="F648" s="107" t="s">
        <v>434</v>
      </c>
      <c r="G648" s="161">
        <v>45353</v>
      </c>
      <c r="H648" s="107">
        <f t="shared" si="15"/>
        <v>4</v>
      </c>
    </row>
    <row r="649" spans="1:8">
      <c r="A649" s="107">
        <v>1</v>
      </c>
      <c r="B649" s="107">
        <v>9</v>
      </c>
      <c r="C649" s="107">
        <v>18</v>
      </c>
      <c r="D649" s="107">
        <v>2</v>
      </c>
      <c r="E649" s="107" t="s">
        <v>433</v>
      </c>
      <c r="F649" s="107" t="s">
        <v>434</v>
      </c>
      <c r="G649" s="161">
        <v>45353</v>
      </c>
      <c r="H649" s="107">
        <f t="shared" si="15"/>
        <v>4</v>
      </c>
    </row>
    <row r="650" spans="1:8">
      <c r="A650" s="107">
        <v>1</v>
      </c>
      <c r="B650" s="107">
        <v>9</v>
      </c>
      <c r="C650" s="107">
        <v>18</v>
      </c>
      <c r="D650" s="107">
        <v>3</v>
      </c>
      <c r="E650" s="107" t="s">
        <v>433</v>
      </c>
      <c r="F650" s="107" t="s">
        <v>434</v>
      </c>
      <c r="G650" s="161">
        <v>45353</v>
      </c>
      <c r="H650" s="107">
        <f t="shared" si="15"/>
        <v>4</v>
      </c>
    </row>
    <row r="651" spans="1:8">
      <c r="A651" s="107">
        <v>1</v>
      </c>
      <c r="B651" s="107">
        <v>9</v>
      </c>
      <c r="C651" s="107">
        <v>18</v>
      </c>
      <c r="D651" s="107">
        <v>4</v>
      </c>
      <c r="E651" s="107" t="s">
        <v>433</v>
      </c>
      <c r="F651" s="107" t="s">
        <v>434</v>
      </c>
      <c r="G651" s="161">
        <v>45353</v>
      </c>
      <c r="H651" s="107">
        <f t="shared" si="15"/>
        <v>4</v>
      </c>
    </row>
    <row r="652" spans="1:8">
      <c r="A652" s="107">
        <v>1</v>
      </c>
      <c r="B652" s="107">
        <v>10</v>
      </c>
      <c r="C652" s="107">
        <v>1</v>
      </c>
      <c r="D652" s="107">
        <v>1</v>
      </c>
      <c r="E652" s="107" t="s">
        <v>477</v>
      </c>
      <c r="F652" s="107" t="s">
        <v>478</v>
      </c>
      <c r="G652" s="161">
        <v>45353</v>
      </c>
      <c r="H652" s="107">
        <f t="shared" si="15"/>
        <v>4</v>
      </c>
    </row>
    <row r="653" spans="1:8">
      <c r="A653" s="107">
        <v>1</v>
      </c>
      <c r="B653" s="107">
        <v>10</v>
      </c>
      <c r="C653" s="107">
        <v>1</v>
      </c>
      <c r="D653" s="107">
        <v>2</v>
      </c>
      <c r="E653" s="107" t="s">
        <v>477</v>
      </c>
      <c r="F653" s="107" t="s">
        <v>478</v>
      </c>
      <c r="G653" s="161">
        <v>45354</v>
      </c>
      <c r="H653" s="107">
        <f t="shared" si="15"/>
        <v>5</v>
      </c>
    </row>
    <row r="654" spans="1:8">
      <c r="A654" s="107">
        <v>1</v>
      </c>
      <c r="B654" s="107">
        <v>10</v>
      </c>
      <c r="C654" s="107">
        <v>1</v>
      </c>
      <c r="D654" s="107">
        <v>3</v>
      </c>
      <c r="E654" s="107" t="s">
        <v>477</v>
      </c>
      <c r="F654" s="107" t="s">
        <v>478</v>
      </c>
      <c r="G654" s="161">
        <v>45354</v>
      </c>
      <c r="H654" s="107">
        <f t="shared" si="15"/>
        <v>5</v>
      </c>
    </row>
    <row r="655" spans="1:8">
      <c r="A655" s="107">
        <v>1</v>
      </c>
      <c r="B655" s="107">
        <v>10</v>
      </c>
      <c r="C655" s="107">
        <v>1</v>
      </c>
      <c r="D655" s="107">
        <v>4</v>
      </c>
      <c r="E655" s="107" t="s">
        <v>477</v>
      </c>
      <c r="F655" s="107" t="s">
        <v>478</v>
      </c>
      <c r="G655" s="161">
        <v>45353</v>
      </c>
      <c r="H655" s="107">
        <f t="shared" si="15"/>
        <v>4</v>
      </c>
    </row>
    <row r="656" spans="1:8">
      <c r="A656" s="107">
        <v>1</v>
      </c>
      <c r="B656" s="107">
        <v>10</v>
      </c>
      <c r="C656" s="107">
        <v>2</v>
      </c>
      <c r="D656" s="107">
        <v>1</v>
      </c>
      <c r="E656" s="107" t="s">
        <v>453</v>
      </c>
      <c r="F656" s="107" t="s">
        <v>454</v>
      </c>
      <c r="G656" s="161">
        <v>45353</v>
      </c>
      <c r="H656" s="107">
        <f t="shared" si="15"/>
        <v>4</v>
      </c>
    </row>
    <row r="657" spans="1:8">
      <c r="A657" s="107">
        <v>1</v>
      </c>
      <c r="B657" s="107">
        <v>10</v>
      </c>
      <c r="C657" s="107">
        <v>2</v>
      </c>
      <c r="D657" s="107">
        <v>2</v>
      </c>
      <c r="E657" s="107" t="s">
        <v>453</v>
      </c>
      <c r="F657" s="107" t="s">
        <v>454</v>
      </c>
      <c r="G657" s="161">
        <v>45353</v>
      </c>
      <c r="H657" s="107">
        <f t="shared" si="15"/>
        <v>4</v>
      </c>
    </row>
    <row r="658" spans="1:8">
      <c r="A658" s="107">
        <v>1</v>
      </c>
      <c r="B658" s="107">
        <v>10</v>
      </c>
      <c r="C658" s="107">
        <v>2</v>
      </c>
      <c r="D658" s="107">
        <v>3</v>
      </c>
      <c r="E658" s="107" t="s">
        <v>453</v>
      </c>
      <c r="F658" s="107" t="s">
        <v>454</v>
      </c>
      <c r="G658" s="161">
        <v>45353</v>
      </c>
      <c r="H658" s="107">
        <f t="shared" si="15"/>
        <v>4</v>
      </c>
    </row>
    <row r="659" spans="1:8">
      <c r="A659" s="107">
        <v>1</v>
      </c>
      <c r="B659" s="107">
        <v>10</v>
      </c>
      <c r="C659" s="107">
        <v>2</v>
      </c>
      <c r="D659" s="107">
        <v>4</v>
      </c>
      <c r="E659" s="107" t="s">
        <v>453</v>
      </c>
      <c r="F659" s="107" t="s">
        <v>454</v>
      </c>
      <c r="G659" s="161">
        <v>45354</v>
      </c>
      <c r="H659" s="107">
        <f t="shared" si="15"/>
        <v>5</v>
      </c>
    </row>
    <row r="660" spans="1:8">
      <c r="A660" s="107">
        <v>1</v>
      </c>
      <c r="B660" s="107">
        <v>10</v>
      </c>
      <c r="C660" s="107">
        <v>3</v>
      </c>
      <c r="D660" s="107">
        <v>1</v>
      </c>
      <c r="E660" s="107" t="s">
        <v>465</v>
      </c>
      <c r="F660" s="107" t="s">
        <v>466</v>
      </c>
      <c r="G660" s="161">
        <v>45353</v>
      </c>
      <c r="H660" s="107">
        <f t="shared" si="15"/>
        <v>4</v>
      </c>
    </row>
    <row r="661" spans="1:8">
      <c r="A661" s="107">
        <v>1</v>
      </c>
      <c r="B661" s="107">
        <v>10</v>
      </c>
      <c r="C661" s="107">
        <v>3</v>
      </c>
      <c r="D661" s="107">
        <v>2</v>
      </c>
      <c r="E661" s="107" t="s">
        <v>465</v>
      </c>
      <c r="F661" s="107" t="s">
        <v>466</v>
      </c>
      <c r="G661" s="161">
        <v>45354</v>
      </c>
      <c r="H661" s="107">
        <f t="shared" si="15"/>
        <v>5</v>
      </c>
    </row>
    <row r="662" spans="1:8">
      <c r="A662" s="107">
        <v>1</v>
      </c>
      <c r="B662" s="107">
        <v>10</v>
      </c>
      <c r="C662" s="107">
        <v>3</v>
      </c>
      <c r="D662" s="107">
        <v>3</v>
      </c>
      <c r="E662" s="107" t="s">
        <v>465</v>
      </c>
      <c r="F662" s="107" t="s">
        <v>466</v>
      </c>
      <c r="G662" s="161">
        <v>45353</v>
      </c>
      <c r="H662" s="107">
        <f t="shared" si="15"/>
        <v>4</v>
      </c>
    </row>
    <row r="663" spans="1:8">
      <c r="A663" s="107">
        <v>1</v>
      </c>
      <c r="B663" s="107">
        <v>10</v>
      </c>
      <c r="C663" s="107">
        <v>3</v>
      </c>
      <c r="D663" s="107">
        <v>4</v>
      </c>
      <c r="E663" s="107" t="s">
        <v>465</v>
      </c>
      <c r="F663" s="107" t="s">
        <v>466</v>
      </c>
      <c r="G663" s="161">
        <v>45354</v>
      </c>
      <c r="H663" s="107">
        <f t="shared" si="15"/>
        <v>5</v>
      </c>
    </row>
    <row r="664" spans="1:8">
      <c r="A664" s="107">
        <v>1</v>
      </c>
      <c r="B664" s="107">
        <v>10</v>
      </c>
      <c r="C664" s="107">
        <v>4</v>
      </c>
      <c r="D664" s="107">
        <v>1</v>
      </c>
      <c r="E664" s="107" t="s">
        <v>483</v>
      </c>
      <c r="F664" s="107" t="s">
        <v>484</v>
      </c>
      <c r="G664" s="161">
        <v>45354</v>
      </c>
      <c r="H664" s="107">
        <f t="shared" si="15"/>
        <v>5</v>
      </c>
    </row>
    <row r="665" spans="1:8">
      <c r="A665" s="107">
        <v>1</v>
      </c>
      <c r="B665" s="107">
        <v>10</v>
      </c>
      <c r="C665" s="107">
        <v>4</v>
      </c>
      <c r="D665" s="107">
        <v>2</v>
      </c>
      <c r="E665" s="107" t="s">
        <v>483</v>
      </c>
      <c r="F665" s="107" t="s">
        <v>484</v>
      </c>
      <c r="G665" s="161">
        <v>45355</v>
      </c>
      <c r="H665" s="107">
        <f t="shared" si="15"/>
        <v>6</v>
      </c>
    </row>
    <row r="666" spans="1:8">
      <c r="A666" s="107">
        <v>1</v>
      </c>
      <c r="B666" s="107">
        <v>10</v>
      </c>
      <c r="C666" s="107">
        <v>4</v>
      </c>
      <c r="D666" s="107">
        <v>3</v>
      </c>
      <c r="E666" s="107" t="s">
        <v>483</v>
      </c>
      <c r="F666" s="107" t="s">
        <v>484</v>
      </c>
      <c r="G666" s="161">
        <v>45355</v>
      </c>
      <c r="H666" s="107">
        <f t="shared" si="15"/>
        <v>6</v>
      </c>
    </row>
    <row r="667" spans="1:8">
      <c r="A667" s="107">
        <v>1</v>
      </c>
      <c r="B667" s="107">
        <v>10</v>
      </c>
      <c r="C667" s="107">
        <v>4</v>
      </c>
      <c r="D667" s="107">
        <v>4</v>
      </c>
      <c r="E667" s="107" t="s">
        <v>483</v>
      </c>
      <c r="F667" s="107" t="s">
        <v>484</v>
      </c>
      <c r="G667" s="161">
        <v>45354</v>
      </c>
      <c r="H667" s="107">
        <f t="shared" si="15"/>
        <v>5</v>
      </c>
    </row>
    <row r="668" spans="1:8">
      <c r="A668" s="107">
        <v>1</v>
      </c>
      <c r="B668" s="107">
        <v>10</v>
      </c>
      <c r="C668" s="107">
        <v>5</v>
      </c>
      <c r="D668" s="107">
        <v>1</v>
      </c>
      <c r="E668" s="107" t="s">
        <v>467</v>
      </c>
      <c r="F668" s="107" t="s">
        <v>468</v>
      </c>
      <c r="G668" s="161">
        <v>45354</v>
      </c>
      <c r="H668" s="107">
        <f t="shared" si="15"/>
        <v>5</v>
      </c>
    </row>
    <row r="669" spans="1:8">
      <c r="A669" s="107">
        <v>1</v>
      </c>
      <c r="B669" s="107">
        <v>10</v>
      </c>
      <c r="C669" s="107">
        <v>5</v>
      </c>
      <c r="D669" s="107">
        <v>2</v>
      </c>
      <c r="E669" s="107" t="s">
        <v>467</v>
      </c>
      <c r="F669" s="107" t="s">
        <v>468</v>
      </c>
      <c r="G669" s="161">
        <v>45354</v>
      </c>
      <c r="H669" s="107">
        <f t="shared" si="15"/>
        <v>5</v>
      </c>
    </row>
    <row r="670" spans="1:8">
      <c r="A670" s="107">
        <v>1</v>
      </c>
      <c r="B670" s="107">
        <v>10</v>
      </c>
      <c r="C670" s="107">
        <v>5</v>
      </c>
      <c r="D670" s="107">
        <v>3</v>
      </c>
      <c r="E670" s="107" t="s">
        <v>467</v>
      </c>
      <c r="F670" s="107" t="s">
        <v>468</v>
      </c>
      <c r="G670" s="161">
        <v>45354</v>
      </c>
      <c r="H670" s="107">
        <f t="shared" si="15"/>
        <v>5</v>
      </c>
    </row>
    <row r="671" spans="1:8">
      <c r="A671" s="107">
        <v>1</v>
      </c>
      <c r="B671" s="107">
        <v>10</v>
      </c>
      <c r="C671" s="107">
        <v>5</v>
      </c>
      <c r="D671" s="107">
        <v>4</v>
      </c>
      <c r="E671" s="107" t="s">
        <v>467</v>
      </c>
      <c r="F671" s="107" t="s">
        <v>468</v>
      </c>
      <c r="G671" s="161">
        <v>45354</v>
      </c>
      <c r="H671" s="107">
        <f t="shared" si="15"/>
        <v>5</v>
      </c>
    </row>
    <row r="672" spans="1:8">
      <c r="A672" s="107">
        <v>1</v>
      </c>
      <c r="B672" s="107">
        <v>10</v>
      </c>
      <c r="C672" s="107">
        <v>6</v>
      </c>
      <c r="D672" s="107">
        <v>1</v>
      </c>
      <c r="E672" s="107" t="s">
        <v>459</v>
      </c>
      <c r="F672" s="107" t="s">
        <v>460</v>
      </c>
      <c r="G672" s="161">
        <v>45354</v>
      </c>
      <c r="H672" s="107">
        <f t="shared" si="15"/>
        <v>5</v>
      </c>
    </row>
    <row r="673" spans="1:8">
      <c r="A673" s="107">
        <v>1</v>
      </c>
      <c r="B673" s="107">
        <v>10</v>
      </c>
      <c r="C673" s="107">
        <v>6</v>
      </c>
      <c r="D673" s="107">
        <v>2</v>
      </c>
      <c r="E673" s="107" t="s">
        <v>459</v>
      </c>
      <c r="F673" s="107" t="s">
        <v>460</v>
      </c>
      <c r="G673" s="161">
        <v>45354</v>
      </c>
      <c r="H673" s="107">
        <f t="shared" si="15"/>
        <v>5</v>
      </c>
    </row>
    <row r="674" spans="1:8">
      <c r="A674" s="107">
        <v>1</v>
      </c>
      <c r="B674" s="107">
        <v>10</v>
      </c>
      <c r="C674" s="107">
        <v>6</v>
      </c>
      <c r="D674" s="107">
        <v>3</v>
      </c>
      <c r="E674" s="107" t="s">
        <v>459</v>
      </c>
      <c r="F674" s="107" t="s">
        <v>460</v>
      </c>
      <c r="G674" s="161">
        <v>45353</v>
      </c>
      <c r="H674" s="107">
        <f t="shared" si="15"/>
        <v>4</v>
      </c>
    </row>
    <row r="675" spans="1:8">
      <c r="A675" s="107">
        <v>1</v>
      </c>
      <c r="B675" s="107">
        <v>10</v>
      </c>
      <c r="C675" s="107">
        <v>6</v>
      </c>
      <c r="D675" s="107">
        <v>4</v>
      </c>
      <c r="E675" s="107" t="s">
        <v>459</v>
      </c>
      <c r="F675" s="107" t="s">
        <v>460</v>
      </c>
      <c r="G675" s="161">
        <v>45354</v>
      </c>
      <c r="H675" s="107">
        <f t="shared" si="15"/>
        <v>5</v>
      </c>
    </row>
    <row r="676" spans="1:8">
      <c r="A676" s="107">
        <v>1</v>
      </c>
      <c r="B676" s="107">
        <v>10</v>
      </c>
      <c r="C676" s="107">
        <v>7</v>
      </c>
      <c r="D676" s="107">
        <v>1</v>
      </c>
      <c r="E676" s="107" t="s">
        <v>469</v>
      </c>
      <c r="F676" s="107" t="s">
        <v>470</v>
      </c>
      <c r="G676" s="161">
        <v>45354</v>
      </c>
      <c r="H676" s="107">
        <f t="shared" si="15"/>
        <v>5</v>
      </c>
    </row>
    <row r="677" spans="1:8">
      <c r="A677" s="107">
        <v>1</v>
      </c>
      <c r="B677" s="107">
        <v>10</v>
      </c>
      <c r="C677" s="107">
        <v>7</v>
      </c>
      <c r="D677" s="107">
        <v>2</v>
      </c>
      <c r="E677" s="107" t="s">
        <v>469</v>
      </c>
      <c r="F677" s="107" t="s">
        <v>470</v>
      </c>
      <c r="G677" s="161">
        <v>45353</v>
      </c>
      <c r="H677" s="107">
        <f t="shared" si="15"/>
        <v>4</v>
      </c>
    </row>
    <row r="678" spans="1:8">
      <c r="A678" s="107">
        <v>1</v>
      </c>
      <c r="B678" s="107">
        <v>10</v>
      </c>
      <c r="C678" s="107">
        <v>7</v>
      </c>
      <c r="D678" s="107">
        <v>3</v>
      </c>
      <c r="E678" s="107" t="s">
        <v>469</v>
      </c>
      <c r="F678" s="107" t="s">
        <v>470</v>
      </c>
      <c r="G678" s="161">
        <v>45353</v>
      </c>
      <c r="H678" s="107">
        <f t="shared" si="15"/>
        <v>4</v>
      </c>
    </row>
    <row r="679" spans="1:8">
      <c r="A679" s="107">
        <v>1</v>
      </c>
      <c r="B679" s="107">
        <v>10</v>
      </c>
      <c r="C679" s="107">
        <v>7</v>
      </c>
      <c r="D679" s="107">
        <v>4</v>
      </c>
      <c r="E679" s="107" t="s">
        <v>469</v>
      </c>
      <c r="F679" s="107" t="s">
        <v>470</v>
      </c>
      <c r="G679" s="161">
        <v>45353</v>
      </c>
      <c r="H679" s="107">
        <f t="shared" si="15"/>
        <v>4</v>
      </c>
    </row>
    <row r="680" spans="1:8">
      <c r="A680" s="107">
        <v>1</v>
      </c>
      <c r="B680" s="107">
        <v>10</v>
      </c>
      <c r="C680" s="107">
        <v>8</v>
      </c>
      <c r="D680" s="107">
        <v>1</v>
      </c>
      <c r="E680" s="107" t="s">
        <v>461</v>
      </c>
      <c r="F680" s="107" t="s">
        <v>462</v>
      </c>
      <c r="G680" s="161">
        <v>45353</v>
      </c>
      <c r="H680" s="107">
        <f t="shared" si="15"/>
        <v>4</v>
      </c>
    </row>
    <row r="681" spans="1:8">
      <c r="A681" s="107">
        <v>1</v>
      </c>
      <c r="B681" s="107">
        <v>10</v>
      </c>
      <c r="C681" s="107">
        <v>8</v>
      </c>
      <c r="D681" s="107">
        <v>2</v>
      </c>
      <c r="E681" s="107" t="s">
        <v>461</v>
      </c>
      <c r="F681" s="107" t="s">
        <v>462</v>
      </c>
      <c r="G681" s="161">
        <v>45353</v>
      </c>
      <c r="H681" s="107">
        <f t="shared" si="15"/>
        <v>4</v>
      </c>
    </row>
    <row r="682" spans="1:8">
      <c r="A682" s="107">
        <v>1</v>
      </c>
      <c r="B682" s="107">
        <v>10</v>
      </c>
      <c r="C682" s="107">
        <v>8</v>
      </c>
      <c r="D682" s="107">
        <v>3</v>
      </c>
      <c r="E682" s="107" t="s">
        <v>461</v>
      </c>
      <c r="F682" s="107" t="s">
        <v>462</v>
      </c>
      <c r="G682" s="161">
        <v>45353</v>
      </c>
      <c r="H682" s="107">
        <f t="shared" si="15"/>
        <v>4</v>
      </c>
    </row>
    <row r="683" spans="1:8">
      <c r="A683" s="107">
        <v>1</v>
      </c>
      <c r="B683" s="107">
        <v>10</v>
      </c>
      <c r="C683" s="107">
        <v>8</v>
      </c>
      <c r="D683" s="107">
        <v>4</v>
      </c>
      <c r="E683" s="107" t="s">
        <v>461</v>
      </c>
      <c r="F683" s="107" t="s">
        <v>462</v>
      </c>
      <c r="G683" s="161">
        <v>45353</v>
      </c>
      <c r="H683" s="107">
        <f t="shared" si="15"/>
        <v>4</v>
      </c>
    </row>
    <row r="684" spans="1:8">
      <c r="A684" s="107">
        <v>1</v>
      </c>
      <c r="B684" s="107">
        <v>10</v>
      </c>
      <c r="C684" s="107">
        <v>9</v>
      </c>
      <c r="D684" s="107">
        <v>1</v>
      </c>
      <c r="E684" s="107" t="s">
        <v>487</v>
      </c>
      <c r="F684" s="107" t="s">
        <v>488</v>
      </c>
      <c r="G684" s="161">
        <v>45354</v>
      </c>
      <c r="H684" s="107">
        <f t="shared" si="15"/>
        <v>5</v>
      </c>
    </row>
    <row r="685" spans="1:8">
      <c r="A685" s="107">
        <v>1</v>
      </c>
      <c r="B685" s="107">
        <v>10</v>
      </c>
      <c r="C685" s="107">
        <v>9</v>
      </c>
      <c r="D685" s="107">
        <v>2</v>
      </c>
      <c r="E685" s="107" t="s">
        <v>487</v>
      </c>
      <c r="F685" s="107" t="s">
        <v>488</v>
      </c>
      <c r="G685" s="161">
        <v>45354</v>
      </c>
      <c r="H685" s="107">
        <f t="shared" si="15"/>
        <v>5</v>
      </c>
    </row>
    <row r="686" spans="1:8">
      <c r="A686" s="107">
        <v>1</v>
      </c>
      <c r="B686" s="107">
        <v>10</v>
      </c>
      <c r="C686" s="107">
        <v>9</v>
      </c>
      <c r="D686" s="107">
        <v>3</v>
      </c>
      <c r="E686" s="107" t="s">
        <v>487</v>
      </c>
      <c r="F686" s="107" t="s">
        <v>488</v>
      </c>
      <c r="G686" s="161">
        <v>45353</v>
      </c>
      <c r="H686" s="107">
        <f t="shared" si="15"/>
        <v>4</v>
      </c>
    </row>
    <row r="687" spans="1:8">
      <c r="A687" s="107">
        <v>1</v>
      </c>
      <c r="B687" s="107">
        <v>10</v>
      </c>
      <c r="C687" s="107">
        <v>9</v>
      </c>
      <c r="D687" s="107">
        <v>4</v>
      </c>
      <c r="E687" s="107" t="s">
        <v>487</v>
      </c>
      <c r="F687" s="107" t="s">
        <v>488</v>
      </c>
      <c r="G687" s="161">
        <v>45353</v>
      </c>
      <c r="H687" s="107">
        <f t="shared" si="15"/>
        <v>4</v>
      </c>
    </row>
    <row r="688" spans="1:8">
      <c r="A688" s="107">
        <v>1</v>
      </c>
      <c r="B688" s="107">
        <v>10</v>
      </c>
      <c r="C688" s="107">
        <v>10</v>
      </c>
      <c r="D688" s="107">
        <v>1</v>
      </c>
      <c r="E688" s="107" t="s">
        <v>473</v>
      </c>
      <c r="F688" s="107" t="s">
        <v>474</v>
      </c>
      <c r="G688" s="161">
        <v>45353</v>
      </c>
      <c r="H688" s="107">
        <f t="shared" si="15"/>
        <v>4</v>
      </c>
    </row>
    <row r="689" spans="1:8">
      <c r="A689" s="107">
        <v>1</v>
      </c>
      <c r="B689" s="107">
        <v>10</v>
      </c>
      <c r="C689" s="107">
        <v>10</v>
      </c>
      <c r="D689" s="107">
        <v>2</v>
      </c>
      <c r="E689" s="107" t="s">
        <v>473</v>
      </c>
      <c r="F689" s="107" t="s">
        <v>474</v>
      </c>
      <c r="G689" s="161">
        <v>45353</v>
      </c>
      <c r="H689" s="107">
        <f t="shared" si="15"/>
        <v>4</v>
      </c>
    </row>
    <row r="690" spans="1:8">
      <c r="A690" s="107">
        <v>1</v>
      </c>
      <c r="B690" s="107">
        <v>10</v>
      </c>
      <c r="C690" s="107">
        <v>10</v>
      </c>
      <c r="D690" s="107">
        <v>3</v>
      </c>
      <c r="E690" s="107" t="s">
        <v>473</v>
      </c>
      <c r="F690" s="107" t="s">
        <v>474</v>
      </c>
      <c r="G690" s="161">
        <v>45354</v>
      </c>
      <c r="H690" s="107">
        <f t="shared" si="15"/>
        <v>5</v>
      </c>
    </row>
    <row r="691" spans="1:8">
      <c r="A691" s="107">
        <v>1</v>
      </c>
      <c r="B691" s="107">
        <v>10</v>
      </c>
      <c r="C691" s="107">
        <v>10</v>
      </c>
      <c r="D691" s="107">
        <v>4</v>
      </c>
      <c r="E691" s="107" t="s">
        <v>473</v>
      </c>
      <c r="F691" s="107" t="s">
        <v>474</v>
      </c>
      <c r="G691" s="161">
        <v>45353</v>
      </c>
      <c r="H691" s="107">
        <f t="shared" si="15"/>
        <v>4</v>
      </c>
    </row>
    <row r="692" spans="1:8">
      <c r="A692" s="107">
        <v>1</v>
      </c>
      <c r="B692" s="107">
        <v>10</v>
      </c>
      <c r="C692" s="107">
        <v>11</v>
      </c>
      <c r="D692" s="107">
        <v>1</v>
      </c>
      <c r="E692" s="107" t="s">
        <v>479</v>
      </c>
      <c r="F692" s="107" t="s">
        <v>480</v>
      </c>
      <c r="G692" s="161">
        <v>45354</v>
      </c>
      <c r="H692" s="107">
        <f t="shared" si="15"/>
        <v>5</v>
      </c>
    </row>
    <row r="693" spans="1:8">
      <c r="A693" s="107">
        <v>1</v>
      </c>
      <c r="B693" s="107">
        <v>10</v>
      </c>
      <c r="C693" s="107">
        <v>11</v>
      </c>
      <c r="D693" s="107">
        <v>2</v>
      </c>
      <c r="E693" s="107" t="s">
        <v>479</v>
      </c>
      <c r="F693" s="107" t="s">
        <v>480</v>
      </c>
      <c r="G693" s="161">
        <v>45355</v>
      </c>
      <c r="H693" s="107">
        <f t="shared" si="15"/>
        <v>6</v>
      </c>
    </row>
    <row r="694" spans="1:8">
      <c r="A694" s="107">
        <v>1</v>
      </c>
      <c r="B694" s="107">
        <v>10</v>
      </c>
      <c r="C694" s="107">
        <v>11</v>
      </c>
      <c r="D694" s="107">
        <v>3</v>
      </c>
      <c r="E694" s="107" t="s">
        <v>479</v>
      </c>
      <c r="F694" s="107" t="s">
        <v>480</v>
      </c>
      <c r="G694" s="161">
        <v>45354</v>
      </c>
      <c r="H694" s="107">
        <f t="shared" si="15"/>
        <v>5</v>
      </c>
    </row>
    <row r="695" spans="1:8">
      <c r="A695" s="107">
        <v>1</v>
      </c>
      <c r="B695" s="107">
        <v>10</v>
      </c>
      <c r="C695" s="107">
        <v>11</v>
      </c>
      <c r="D695" s="107">
        <v>4</v>
      </c>
      <c r="E695" s="107" t="s">
        <v>479</v>
      </c>
      <c r="F695" s="107" t="s">
        <v>480</v>
      </c>
      <c r="G695" s="161">
        <v>45354</v>
      </c>
      <c r="H695" s="107">
        <f t="shared" si="15"/>
        <v>5</v>
      </c>
    </row>
    <row r="696" spans="1:8">
      <c r="A696" s="107">
        <v>1</v>
      </c>
      <c r="B696" s="107">
        <v>10</v>
      </c>
      <c r="C696" s="107">
        <v>12</v>
      </c>
      <c r="D696" s="107">
        <v>1</v>
      </c>
      <c r="E696" s="107" t="s">
        <v>457</v>
      </c>
      <c r="F696" s="107" t="s">
        <v>458</v>
      </c>
      <c r="G696" s="161">
        <v>45354</v>
      </c>
      <c r="H696" s="107">
        <f t="shared" si="15"/>
        <v>5</v>
      </c>
    </row>
    <row r="697" spans="1:8">
      <c r="A697" s="107">
        <v>1</v>
      </c>
      <c r="B697" s="107">
        <v>10</v>
      </c>
      <c r="C697" s="107">
        <v>12</v>
      </c>
      <c r="D697" s="107">
        <v>2</v>
      </c>
      <c r="E697" s="107" t="s">
        <v>457</v>
      </c>
      <c r="F697" s="107" t="s">
        <v>458</v>
      </c>
      <c r="G697" s="107"/>
      <c r="H697" s="107"/>
    </row>
    <row r="698" spans="1:8">
      <c r="A698" s="107">
        <v>1</v>
      </c>
      <c r="B698" s="107">
        <v>10</v>
      </c>
      <c r="C698" s="107">
        <v>12</v>
      </c>
      <c r="D698" s="107">
        <v>3</v>
      </c>
      <c r="E698" s="107" t="s">
        <v>457</v>
      </c>
      <c r="F698" s="107" t="s">
        <v>458</v>
      </c>
      <c r="G698" s="161">
        <v>45353</v>
      </c>
      <c r="H698" s="107">
        <f t="shared" si="15"/>
        <v>4</v>
      </c>
    </row>
    <row r="699" spans="1:8">
      <c r="A699" s="107">
        <v>1</v>
      </c>
      <c r="B699" s="107">
        <v>10</v>
      </c>
      <c r="C699" s="107">
        <v>12</v>
      </c>
      <c r="D699" s="107">
        <v>4</v>
      </c>
      <c r="E699" s="107" t="s">
        <v>457</v>
      </c>
      <c r="F699" s="107" t="s">
        <v>458</v>
      </c>
      <c r="G699" s="107"/>
      <c r="H699" s="107"/>
    </row>
    <row r="700" spans="1:8">
      <c r="A700" s="107">
        <v>1</v>
      </c>
      <c r="B700" s="107">
        <v>10</v>
      </c>
      <c r="C700" s="107">
        <v>13</v>
      </c>
      <c r="D700" s="107">
        <v>1</v>
      </c>
      <c r="E700" s="107" t="s">
        <v>481</v>
      </c>
      <c r="F700" s="107" t="s">
        <v>482</v>
      </c>
      <c r="G700" s="161">
        <v>45354</v>
      </c>
      <c r="H700" s="107">
        <f t="shared" si="15"/>
        <v>5</v>
      </c>
    </row>
    <row r="701" spans="1:8">
      <c r="A701" s="107">
        <v>1</v>
      </c>
      <c r="B701" s="107">
        <v>10</v>
      </c>
      <c r="C701" s="107">
        <v>13</v>
      </c>
      <c r="D701" s="107">
        <v>2</v>
      </c>
      <c r="E701" s="107" t="s">
        <v>481</v>
      </c>
      <c r="F701" s="107" t="s">
        <v>482</v>
      </c>
      <c r="G701" s="161">
        <v>45354</v>
      </c>
      <c r="H701" s="107">
        <f t="shared" si="15"/>
        <v>5</v>
      </c>
    </row>
    <row r="702" spans="1:8">
      <c r="A702" s="107">
        <v>1</v>
      </c>
      <c r="B702" s="107">
        <v>10</v>
      </c>
      <c r="C702" s="107">
        <v>13</v>
      </c>
      <c r="D702" s="107">
        <v>3</v>
      </c>
      <c r="E702" s="107" t="s">
        <v>481</v>
      </c>
      <c r="F702" s="107" t="s">
        <v>482</v>
      </c>
      <c r="G702" s="161">
        <v>45354</v>
      </c>
      <c r="H702" s="107">
        <f t="shared" si="15"/>
        <v>5</v>
      </c>
    </row>
    <row r="703" spans="1:8">
      <c r="A703" s="107">
        <v>1</v>
      </c>
      <c r="B703" s="107">
        <v>10</v>
      </c>
      <c r="C703" s="107">
        <v>13</v>
      </c>
      <c r="D703" s="107">
        <v>4</v>
      </c>
      <c r="E703" s="107" t="s">
        <v>481</v>
      </c>
      <c r="F703" s="107" t="s">
        <v>482</v>
      </c>
      <c r="G703" s="161">
        <v>45353</v>
      </c>
      <c r="H703" s="107">
        <f t="shared" si="15"/>
        <v>4</v>
      </c>
    </row>
    <row r="704" spans="1:8">
      <c r="A704" s="107">
        <v>1</v>
      </c>
      <c r="B704" s="107">
        <v>10</v>
      </c>
      <c r="C704" s="107">
        <v>14</v>
      </c>
      <c r="D704" s="107">
        <v>1</v>
      </c>
      <c r="E704" s="107" t="s">
        <v>475</v>
      </c>
      <c r="F704" s="107" t="s">
        <v>476</v>
      </c>
      <c r="G704" s="161">
        <v>45354</v>
      </c>
      <c r="H704" s="107">
        <f t="shared" si="15"/>
        <v>5</v>
      </c>
    </row>
    <row r="705" spans="1:8">
      <c r="A705" s="107">
        <v>1</v>
      </c>
      <c r="B705" s="107">
        <v>10</v>
      </c>
      <c r="C705" s="107">
        <v>14</v>
      </c>
      <c r="D705" s="107">
        <v>2</v>
      </c>
      <c r="E705" s="107" t="s">
        <v>475</v>
      </c>
      <c r="F705" s="107" t="s">
        <v>476</v>
      </c>
      <c r="G705" s="161">
        <v>45353</v>
      </c>
      <c r="H705" s="107">
        <f t="shared" si="15"/>
        <v>4</v>
      </c>
    </row>
    <row r="706" spans="1:8">
      <c r="A706" s="107">
        <v>1</v>
      </c>
      <c r="B706" s="107">
        <v>10</v>
      </c>
      <c r="C706" s="107">
        <v>14</v>
      </c>
      <c r="D706" s="107">
        <v>3</v>
      </c>
      <c r="E706" s="107" t="s">
        <v>475</v>
      </c>
      <c r="F706" s="107" t="s">
        <v>476</v>
      </c>
      <c r="G706" s="161">
        <v>45354</v>
      </c>
      <c r="H706" s="107">
        <f t="shared" si="15"/>
        <v>5</v>
      </c>
    </row>
    <row r="707" spans="1:8">
      <c r="A707" s="107">
        <v>1</v>
      </c>
      <c r="B707" s="107">
        <v>10</v>
      </c>
      <c r="C707" s="107">
        <v>14</v>
      </c>
      <c r="D707" s="107">
        <v>4</v>
      </c>
      <c r="E707" s="107" t="s">
        <v>475</v>
      </c>
      <c r="F707" s="107" t="s">
        <v>476</v>
      </c>
      <c r="G707" s="161">
        <v>45355</v>
      </c>
      <c r="H707" s="107">
        <f t="shared" si="15"/>
        <v>6</v>
      </c>
    </row>
    <row r="708" spans="1:8">
      <c r="A708" s="107">
        <v>1</v>
      </c>
      <c r="B708" s="107">
        <v>10</v>
      </c>
      <c r="C708" s="107">
        <v>15</v>
      </c>
      <c r="D708" s="107">
        <v>1</v>
      </c>
      <c r="E708" s="107" t="s">
        <v>485</v>
      </c>
      <c r="F708" s="107" t="s">
        <v>486</v>
      </c>
      <c r="G708" s="161">
        <v>45354</v>
      </c>
      <c r="H708" s="107">
        <f t="shared" si="15"/>
        <v>5</v>
      </c>
    </row>
    <row r="709" spans="1:8">
      <c r="A709" s="107">
        <v>1</v>
      </c>
      <c r="B709" s="107">
        <v>10</v>
      </c>
      <c r="C709" s="107">
        <v>15</v>
      </c>
      <c r="D709" s="107">
        <v>2</v>
      </c>
      <c r="E709" s="107" t="s">
        <v>485</v>
      </c>
      <c r="F709" s="107" t="s">
        <v>486</v>
      </c>
      <c r="G709" s="161">
        <v>45354</v>
      </c>
      <c r="H709" s="107">
        <f t="shared" ref="H709:H772" si="16">DATEDIF($H$2,G709,"d")</f>
        <v>5</v>
      </c>
    </row>
    <row r="710" spans="1:8">
      <c r="A710" s="107">
        <v>1</v>
      </c>
      <c r="B710" s="107">
        <v>10</v>
      </c>
      <c r="C710" s="107">
        <v>15</v>
      </c>
      <c r="D710" s="107">
        <v>3</v>
      </c>
      <c r="E710" s="107" t="s">
        <v>485</v>
      </c>
      <c r="F710" s="107" t="s">
        <v>486</v>
      </c>
      <c r="G710" s="161">
        <v>45354</v>
      </c>
      <c r="H710" s="107">
        <f t="shared" si="16"/>
        <v>5</v>
      </c>
    </row>
    <row r="711" spans="1:8">
      <c r="A711" s="107">
        <v>1</v>
      </c>
      <c r="B711" s="107">
        <v>10</v>
      </c>
      <c r="C711" s="107">
        <v>15</v>
      </c>
      <c r="D711" s="107">
        <v>4</v>
      </c>
      <c r="E711" s="107" t="s">
        <v>485</v>
      </c>
      <c r="F711" s="107" t="s">
        <v>486</v>
      </c>
      <c r="G711" s="161">
        <v>45354</v>
      </c>
      <c r="H711" s="107">
        <f t="shared" si="16"/>
        <v>5</v>
      </c>
    </row>
    <row r="712" spans="1:8">
      <c r="A712" s="107">
        <v>1</v>
      </c>
      <c r="B712" s="107">
        <v>10</v>
      </c>
      <c r="C712" s="107">
        <v>16</v>
      </c>
      <c r="D712" s="107">
        <v>1</v>
      </c>
      <c r="E712" s="107" t="s">
        <v>463</v>
      </c>
      <c r="F712" s="107" t="s">
        <v>464</v>
      </c>
      <c r="G712" s="161">
        <v>45354</v>
      </c>
      <c r="H712" s="107">
        <f t="shared" si="16"/>
        <v>5</v>
      </c>
    </row>
    <row r="713" spans="1:8">
      <c r="A713" s="107">
        <v>1</v>
      </c>
      <c r="B713" s="107">
        <v>10</v>
      </c>
      <c r="C713" s="107">
        <v>16</v>
      </c>
      <c r="D713" s="107">
        <v>2</v>
      </c>
      <c r="E713" s="107" t="s">
        <v>463</v>
      </c>
      <c r="F713" s="107" t="s">
        <v>464</v>
      </c>
      <c r="G713" s="161">
        <v>45353</v>
      </c>
      <c r="H713" s="107">
        <f t="shared" si="16"/>
        <v>4</v>
      </c>
    </row>
    <row r="714" spans="1:8">
      <c r="A714" s="107">
        <v>1</v>
      </c>
      <c r="B714" s="107">
        <v>10</v>
      </c>
      <c r="C714" s="107">
        <v>16</v>
      </c>
      <c r="D714" s="107">
        <v>3</v>
      </c>
      <c r="E714" s="107" t="s">
        <v>463</v>
      </c>
      <c r="F714" s="107" t="s">
        <v>464</v>
      </c>
      <c r="G714" s="161">
        <v>45354</v>
      </c>
      <c r="H714" s="107">
        <f t="shared" si="16"/>
        <v>5</v>
      </c>
    </row>
    <row r="715" spans="1:8">
      <c r="A715" s="107">
        <v>1</v>
      </c>
      <c r="B715" s="107">
        <v>10</v>
      </c>
      <c r="C715" s="107">
        <v>16</v>
      </c>
      <c r="D715" s="107">
        <v>4</v>
      </c>
      <c r="E715" s="107" t="s">
        <v>463</v>
      </c>
      <c r="F715" s="107" t="s">
        <v>464</v>
      </c>
      <c r="G715" s="161">
        <v>45354</v>
      </c>
      <c r="H715" s="107">
        <f t="shared" si="16"/>
        <v>5</v>
      </c>
    </row>
    <row r="716" spans="1:8">
      <c r="A716" s="107">
        <v>1</v>
      </c>
      <c r="B716" s="107">
        <v>10</v>
      </c>
      <c r="C716" s="107">
        <v>17</v>
      </c>
      <c r="D716" s="107">
        <v>1</v>
      </c>
      <c r="E716" s="107" t="s">
        <v>471</v>
      </c>
      <c r="F716" s="107" t="s">
        <v>472</v>
      </c>
      <c r="G716" s="161">
        <v>45353</v>
      </c>
      <c r="H716" s="107">
        <f t="shared" si="16"/>
        <v>4</v>
      </c>
    </row>
    <row r="717" spans="1:8">
      <c r="A717" s="107">
        <v>1</v>
      </c>
      <c r="B717" s="107">
        <v>10</v>
      </c>
      <c r="C717" s="107">
        <v>17</v>
      </c>
      <c r="D717" s="107">
        <v>2</v>
      </c>
      <c r="E717" s="107" t="s">
        <v>471</v>
      </c>
      <c r="F717" s="107" t="s">
        <v>472</v>
      </c>
      <c r="G717" s="161">
        <v>45356</v>
      </c>
      <c r="H717" s="107">
        <f t="shared" si="16"/>
        <v>7</v>
      </c>
    </row>
    <row r="718" spans="1:8">
      <c r="A718" s="107">
        <v>1</v>
      </c>
      <c r="B718" s="107">
        <v>10</v>
      </c>
      <c r="C718" s="107">
        <v>17</v>
      </c>
      <c r="D718" s="107">
        <v>3</v>
      </c>
      <c r="E718" s="107" t="s">
        <v>471</v>
      </c>
      <c r="F718" s="107" t="s">
        <v>472</v>
      </c>
      <c r="G718" s="161">
        <v>45353</v>
      </c>
      <c r="H718" s="107">
        <f t="shared" si="16"/>
        <v>4</v>
      </c>
    </row>
    <row r="719" spans="1:8">
      <c r="A719" s="107">
        <v>1</v>
      </c>
      <c r="B719" s="107">
        <v>10</v>
      </c>
      <c r="C719" s="107">
        <v>17</v>
      </c>
      <c r="D719" s="107">
        <v>4</v>
      </c>
      <c r="E719" s="107" t="s">
        <v>471</v>
      </c>
      <c r="F719" s="107" t="s">
        <v>472</v>
      </c>
      <c r="G719" s="161">
        <v>45354</v>
      </c>
      <c r="H719" s="107">
        <f t="shared" si="16"/>
        <v>5</v>
      </c>
    </row>
    <row r="720" spans="1:8">
      <c r="A720" s="107">
        <v>1</v>
      </c>
      <c r="B720" s="107">
        <v>10</v>
      </c>
      <c r="C720" s="107">
        <v>18</v>
      </c>
      <c r="D720" s="107">
        <v>1</v>
      </c>
      <c r="E720" s="107" t="s">
        <v>455</v>
      </c>
      <c r="F720" s="107" t="s">
        <v>456</v>
      </c>
      <c r="G720" s="161">
        <v>45354</v>
      </c>
      <c r="H720" s="107">
        <f t="shared" si="16"/>
        <v>5</v>
      </c>
    </row>
    <row r="721" spans="1:8">
      <c r="A721" s="107">
        <v>1</v>
      </c>
      <c r="B721" s="107">
        <v>10</v>
      </c>
      <c r="C721" s="107">
        <v>18</v>
      </c>
      <c r="D721" s="107">
        <v>2</v>
      </c>
      <c r="E721" s="107" t="s">
        <v>455</v>
      </c>
      <c r="F721" s="107" t="s">
        <v>456</v>
      </c>
      <c r="G721" s="161">
        <v>45354</v>
      </c>
      <c r="H721" s="107">
        <f t="shared" si="16"/>
        <v>5</v>
      </c>
    </row>
    <row r="722" spans="1:8">
      <c r="A722" s="107">
        <v>1</v>
      </c>
      <c r="B722" s="107">
        <v>10</v>
      </c>
      <c r="C722" s="107">
        <v>18</v>
      </c>
      <c r="D722" s="107">
        <v>3</v>
      </c>
      <c r="E722" s="107" t="s">
        <v>455</v>
      </c>
      <c r="F722" s="107" t="s">
        <v>456</v>
      </c>
      <c r="G722" s="161">
        <v>45353</v>
      </c>
      <c r="H722" s="107">
        <f t="shared" si="16"/>
        <v>4</v>
      </c>
    </row>
    <row r="723" spans="1:8">
      <c r="A723" s="107">
        <v>1</v>
      </c>
      <c r="B723" s="107">
        <v>10</v>
      </c>
      <c r="C723" s="107">
        <v>18</v>
      </c>
      <c r="D723" s="107">
        <v>4</v>
      </c>
      <c r="E723" s="107" t="s">
        <v>455</v>
      </c>
      <c r="F723" s="107" t="s">
        <v>456</v>
      </c>
      <c r="G723" s="161">
        <v>45353</v>
      </c>
      <c r="H723" s="107">
        <f t="shared" si="16"/>
        <v>4</v>
      </c>
    </row>
    <row r="724" spans="1:8">
      <c r="A724" s="107">
        <v>1</v>
      </c>
      <c r="B724" s="107">
        <v>11</v>
      </c>
      <c r="C724" s="107">
        <v>1</v>
      </c>
      <c r="D724" s="107">
        <v>1</v>
      </c>
      <c r="E724" s="107" t="s">
        <v>506</v>
      </c>
      <c r="F724" s="107" t="s">
        <v>507</v>
      </c>
      <c r="G724" s="161">
        <v>45353</v>
      </c>
      <c r="H724" s="107">
        <f t="shared" si="16"/>
        <v>4</v>
      </c>
    </row>
    <row r="725" spans="1:8">
      <c r="A725" s="107">
        <v>1</v>
      </c>
      <c r="B725" s="107">
        <v>11</v>
      </c>
      <c r="C725" s="107">
        <v>1</v>
      </c>
      <c r="D725" s="107">
        <v>2</v>
      </c>
      <c r="E725" s="107" t="s">
        <v>506</v>
      </c>
      <c r="F725" s="107" t="s">
        <v>507</v>
      </c>
      <c r="G725" s="161">
        <v>45353</v>
      </c>
      <c r="H725" s="107">
        <f t="shared" si="16"/>
        <v>4</v>
      </c>
    </row>
    <row r="726" spans="1:8">
      <c r="A726" s="107">
        <v>1</v>
      </c>
      <c r="B726" s="107">
        <v>11</v>
      </c>
      <c r="C726" s="107">
        <v>1</v>
      </c>
      <c r="D726" s="107">
        <v>3</v>
      </c>
      <c r="E726" s="107" t="s">
        <v>506</v>
      </c>
      <c r="F726" s="107" t="s">
        <v>507</v>
      </c>
      <c r="G726" s="161">
        <v>45353</v>
      </c>
      <c r="H726" s="107">
        <f t="shared" si="16"/>
        <v>4</v>
      </c>
    </row>
    <row r="727" spans="1:8">
      <c r="A727" s="107">
        <v>1</v>
      </c>
      <c r="B727" s="107">
        <v>11</v>
      </c>
      <c r="C727" s="107">
        <v>1</v>
      </c>
      <c r="D727" s="107">
        <v>4</v>
      </c>
      <c r="E727" s="107" t="s">
        <v>506</v>
      </c>
      <c r="F727" s="107" t="s">
        <v>507</v>
      </c>
      <c r="G727" s="161">
        <v>45353</v>
      </c>
      <c r="H727" s="107">
        <f t="shared" si="16"/>
        <v>4</v>
      </c>
    </row>
    <row r="728" spans="1:8">
      <c r="A728" s="107">
        <v>1</v>
      </c>
      <c r="B728" s="107">
        <v>11</v>
      </c>
      <c r="C728" s="107">
        <v>2</v>
      </c>
      <c r="D728" s="107">
        <v>1</v>
      </c>
      <c r="E728" s="107" t="s">
        <v>508</v>
      </c>
      <c r="F728" s="107" t="s">
        <v>509</v>
      </c>
      <c r="G728" s="161">
        <v>45353</v>
      </c>
      <c r="H728" s="107">
        <f t="shared" si="16"/>
        <v>4</v>
      </c>
    </row>
    <row r="729" spans="1:8">
      <c r="A729" s="107">
        <v>1</v>
      </c>
      <c r="B729" s="107">
        <v>11</v>
      </c>
      <c r="C729" s="107">
        <v>2</v>
      </c>
      <c r="D729" s="107">
        <v>2</v>
      </c>
      <c r="E729" s="107" t="s">
        <v>508</v>
      </c>
      <c r="F729" s="107" t="s">
        <v>509</v>
      </c>
      <c r="G729" s="161">
        <v>45354</v>
      </c>
      <c r="H729" s="107">
        <f t="shared" si="16"/>
        <v>5</v>
      </c>
    </row>
    <row r="730" spans="1:8">
      <c r="A730" s="107">
        <v>1</v>
      </c>
      <c r="B730" s="107">
        <v>11</v>
      </c>
      <c r="C730" s="107">
        <v>2</v>
      </c>
      <c r="D730" s="107">
        <v>3</v>
      </c>
      <c r="E730" s="107" t="s">
        <v>508</v>
      </c>
      <c r="F730" s="107" t="s">
        <v>509</v>
      </c>
      <c r="G730" s="161">
        <v>45353</v>
      </c>
      <c r="H730" s="107">
        <f t="shared" si="16"/>
        <v>4</v>
      </c>
    </row>
    <row r="731" spans="1:8">
      <c r="A731" s="107">
        <v>1</v>
      </c>
      <c r="B731" s="107">
        <v>11</v>
      </c>
      <c r="C731" s="107">
        <v>2</v>
      </c>
      <c r="D731" s="107">
        <v>4</v>
      </c>
      <c r="E731" s="107" t="s">
        <v>508</v>
      </c>
      <c r="F731" s="107" t="s">
        <v>509</v>
      </c>
      <c r="G731" s="161">
        <v>45353</v>
      </c>
      <c r="H731" s="107">
        <f t="shared" si="16"/>
        <v>4</v>
      </c>
    </row>
    <row r="732" spans="1:8">
      <c r="A732" s="107">
        <v>1</v>
      </c>
      <c r="B732" s="107">
        <v>11</v>
      </c>
      <c r="C732" s="107">
        <v>3</v>
      </c>
      <c r="D732" s="107">
        <v>1</v>
      </c>
      <c r="E732" s="107" t="s">
        <v>500</v>
      </c>
      <c r="F732" s="107" t="s">
        <v>501</v>
      </c>
      <c r="G732" s="161">
        <v>45353</v>
      </c>
      <c r="H732" s="107">
        <f t="shared" si="16"/>
        <v>4</v>
      </c>
    </row>
    <row r="733" spans="1:8">
      <c r="A733" s="107">
        <v>1</v>
      </c>
      <c r="B733" s="107">
        <v>11</v>
      </c>
      <c r="C733" s="107">
        <v>3</v>
      </c>
      <c r="D733" s="107">
        <v>2</v>
      </c>
      <c r="E733" s="107" t="s">
        <v>500</v>
      </c>
      <c r="F733" s="107" t="s">
        <v>501</v>
      </c>
      <c r="G733" s="161">
        <v>45353</v>
      </c>
      <c r="H733" s="107">
        <f t="shared" si="16"/>
        <v>4</v>
      </c>
    </row>
    <row r="734" spans="1:8">
      <c r="A734" s="107">
        <v>1</v>
      </c>
      <c r="B734" s="107">
        <v>11</v>
      </c>
      <c r="C734" s="107">
        <v>3</v>
      </c>
      <c r="D734" s="107">
        <v>3</v>
      </c>
      <c r="E734" s="107" t="s">
        <v>500</v>
      </c>
      <c r="F734" s="107" t="s">
        <v>501</v>
      </c>
      <c r="G734" s="161">
        <v>45353</v>
      </c>
      <c r="H734" s="107">
        <f t="shared" si="16"/>
        <v>4</v>
      </c>
    </row>
    <row r="735" spans="1:8">
      <c r="A735" s="107">
        <v>1</v>
      </c>
      <c r="B735" s="107">
        <v>11</v>
      </c>
      <c r="C735" s="107">
        <v>3</v>
      </c>
      <c r="D735" s="107">
        <v>4</v>
      </c>
      <c r="E735" s="107" t="s">
        <v>500</v>
      </c>
      <c r="F735" s="107" t="s">
        <v>501</v>
      </c>
      <c r="G735" s="161">
        <v>45353</v>
      </c>
      <c r="H735" s="107">
        <f t="shared" si="16"/>
        <v>4</v>
      </c>
    </row>
    <row r="736" spans="1:8">
      <c r="A736" s="107">
        <v>1</v>
      </c>
      <c r="B736" s="107">
        <v>11</v>
      </c>
      <c r="C736" s="107">
        <v>4</v>
      </c>
      <c r="D736" s="107">
        <v>1</v>
      </c>
      <c r="E736" s="107" t="s">
        <v>491</v>
      </c>
      <c r="F736" s="107" t="s">
        <v>492</v>
      </c>
      <c r="G736" s="161">
        <v>45354</v>
      </c>
      <c r="H736" s="107">
        <f t="shared" si="16"/>
        <v>5</v>
      </c>
    </row>
    <row r="737" spans="1:8">
      <c r="A737" s="107">
        <v>1</v>
      </c>
      <c r="B737" s="107">
        <v>11</v>
      </c>
      <c r="C737" s="107">
        <v>4</v>
      </c>
      <c r="D737" s="107">
        <v>2</v>
      </c>
      <c r="E737" s="107" t="s">
        <v>491</v>
      </c>
      <c r="F737" s="107" t="s">
        <v>492</v>
      </c>
      <c r="G737" s="161">
        <v>45353</v>
      </c>
      <c r="H737" s="107">
        <f t="shared" si="16"/>
        <v>4</v>
      </c>
    </row>
    <row r="738" spans="1:8">
      <c r="A738" s="107">
        <v>1</v>
      </c>
      <c r="B738" s="107">
        <v>11</v>
      </c>
      <c r="C738" s="107">
        <v>4</v>
      </c>
      <c r="D738" s="107">
        <v>3</v>
      </c>
      <c r="E738" s="107" t="s">
        <v>491</v>
      </c>
      <c r="F738" s="107" t="s">
        <v>492</v>
      </c>
      <c r="G738" s="161">
        <v>45354</v>
      </c>
      <c r="H738" s="107">
        <f t="shared" si="16"/>
        <v>5</v>
      </c>
    </row>
    <row r="739" spans="1:8">
      <c r="A739" s="107">
        <v>1</v>
      </c>
      <c r="B739" s="107">
        <v>11</v>
      </c>
      <c r="C739" s="107">
        <v>4</v>
      </c>
      <c r="D739" s="107">
        <v>4</v>
      </c>
      <c r="E739" s="107" t="s">
        <v>491</v>
      </c>
      <c r="F739" s="107" t="s">
        <v>492</v>
      </c>
      <c r="G739" s="161">
        <v>45355</v>
      </c>
      <c r="H739" s="107">
        <f t="shared" si="16"/>
        <v>6</v>
      </c>
    </row>
    <row r="740" spans="1:8">
      <c r="A740" s="107">
        <v>1</v>
      </c>
      <c r="B740" s="107">
        <v>11</v>
      </c>
      <c r="C740" s="107">
        <v>5</v>
      </c>
      <c r="D740" s="107">
        <v>1</v>
      </c>
      <c r="E740" s="107" t="s">
        <v>493</v>
      </c>
      <c r="F740" s="107" t="s">
        <v>494</v>
      </c>
      <c r="G740" s="161">
        <v>45354</v>
      </c>
      <c r="H740" s="107">
        <f t="shared" si="16"/>
        <v>5</v>
      </c>
    </row>
    <row r="741" spans="1:8">
      <c r="A741" s="107">
        <v>1</v>
      </c>
      <c r="B741" s="107">
        <v>11</v>
      </c>
      <c r="C741" s="107">
        <v>5</v>
      </c>
      <c r="D741" s="107">
        <v>2</v>
      </c>
      <c r="E741" s="107" t="s">
        <v>493</v>
      </c>
      <c r="F741" s="107" t="s">
        <v>494</v>
      </c>
      <c r="G741" s="161">
        <v>45354</v>
      </c>
      <c r="H741" s="107">
        <f t="shared" si="16"/>
        <v>5</v>
      </c>
    </row>
    <row r="742" spans="1:8">
      <c r="A742" s="107">
        <v>1</v>
      </c>
      <c r="B742" s="107">
        <v>11</v>
      </c>
      <c r="C742" s="107">
        <v>5</v>
      </c>
      <c r="D742" s="107">
        <v>3</v>
      </c>
      <c r="E742" s="107" t="s">
        <v>493</v>
      </c>
      <c r="F742" s="107" t="s">
        <v>494</v>
      </c>
      <c r="G742" s="161">
        <v>45355</v>
      </c>
      <c r="H742" s="107">
        <f t="shared" si="16"/>
        <v>6</v>
      </c>
    </row>
    <row r="743" spans="1:8">
      <c r="A743" s="107">
        <v>1</v>
      </c>
      <c r="B743" s="107">
        <v>11</v>
      </c>
      <c r="C743" s="107">
        <v>5</v>
      </c>
      <c r="D743" s="107">
        <v>4</v>
      </c>
      <c r="E743" s="107" t="s">
        <v>493</v>
      </c>
      <c r="F743" s="107" t="s">
        <v>494</v>
      </c>
      <c r="G743" s="161">
        <v>45354</v>
      </c>
      <c r="H743" s="107">
        <f t="shared" si="16"/>
        <v>5</v>
      </c>
    </row>
    <row r="744" spans="1:8">
      <c r="A744" s="107">
        <v>1</v>
      </c>
      <c r="B744" s="107">
        <v>11</v>
      </c>
      <c r="C744" s="107">
        <v>6</v>
      </c>
      <c r="D744" s="107">
        <v>1</v>
      </c>
      <c r="E744" s="107" t="s">
        <v>504</v>
      </c>
      <c r="F744" s="107" t="s">
        <v>505</v>
      </c>
      <c r="G744" s="161">
        <v>45354</v>
      </c>
      <c r="H744" s="107">
        <f t="shared" si="16"/>
        <v>5</v>
      </c>
    </row>
    <row r="745" spans="1:8">
      <c r="A745" s="107">
        <v>1</v>
      </c>
      <c r="B745" s="107">
        <v>11</v>
      </c>
      <c r="C745" s="107">
        <v>6</v>
      </c>
      <c r="D745" s="107">
        <v>2</v>
      </c>
      <c r="E745" s="107" t="s">
        <v>504</v>
      </c>
      <c r="F745" s="107" t="s">
        <v>505</v>
      </c>
      <c r="G745" s="161">
        <v>45353</v>
      </c>
      <c r="H745" s="107">
        <f t="shared" si="16"/>
        <v>4</v>
      </c>
    </row>
    <row r="746" spans="1:8">
      <c r="A746" s="107">
        <v>1</v>
      </c>
      <c r="B746" s="107">
        <v>11</v>
      </c>
      <c r="C746" s="107">
        <v>6</v>
      </c>
      <c r="D746" s="107">
        <v>3</v>
      </c>
      <c r="E746" s="107" t="s">
        <v>504</v>
      </c>
      <c r="F746" s="107" t="s">
        <v>505</v>
      </c>
      <c r="G746" s="161">
        <v>45353</v>
      </c>
      <c r="H746" s="107">
        <f t="shared" si="16"/>
        <v>4</v>
      </c>
    </row>
    <row r="747" spans="1:8">
      <c r="A747" s="107">
        <v>1</v>
      </c>
      <c r="B747" s="107">
        <v>11</v>
      </c>
      <c r="C747" s="107">
        <v>6</v>
      </c>
      <c r="D747" s="107">
        <v>4</v>
      </c>
      <c r="E747" s="107" t="s">
        <v>504</v>
      </c>
      <c r="F747" s="107" t="s">
        <v>505</v>
      </c>
      <c r="G747" s="161">
        <v>45353</v>
      </c>
      <c r="H747" s="107">
        <f t="shared" si="16"/>
        <v>4</v>
      </c>
    </row>
    <row r="748" spans="1:8">
      <c r="A748" s="107">
        <v>1</v>
      </c>
      <c r="B748" s="107">
        <v>11</v>
      </c>
      <c r="C748" s="107">
        <v>7</v>
      </c>
      <c r="D748" s="107">
        <v>1</v>
      </c>
      <c r="E748" s="107" t="s">
        <v>517</v>
      </c>
      <c r="F748" s="107" t="s">
        <v>518</v>
      </c>
      <c r="G748" s="161">
        <v>45353</v>
      </c>
      <c r="H748" s="107">
        <f t="shared" si="16"/>
        <v>4</v>
      </c>
    </row>
    <row r="749" spans="1:8">
      <c r="A749" s="107">
        <v>1</v>
      </c>
      <c r="B749" s="107">
        <v>11</v>
      </c>
      <c r="C749" s="107">
        <v>7</v>
      </c>
      <c r="D749" s="107">
        <v>2</v>
      </c>
      <c r="E749" s="107" t="s">
        <v>517</v>
      </c>
      <c r="F749" s="107" t="s">
        <v>518</v>
      </c>
      <c r="G749" s="161">
        <v>45353</v>
      </c>
      <c r="H749" s="107">
        <f t="shared" si="16"/>
        <v>4</v>
      </c>
    </row>
    <row r="750" spans="1:8">
      <c r="A750" s="107">
        <v>1</v>
      </c>
      <c r="B750" s="107">
        <v>11</v>
      </c>
      <c r="C750" s="107">
        <v>7</v>
      </c>
      <c r="D750" s="107">
        <v>3</v>
      </c>
      <c r="E750" s="107" t="s">
        <v>517</v>
      </c>
      <c r="F750" s="107" t="s">
        <v>518</v>
      </c>
      <c r="G750" s="161">
        <v>45354</v>
      </c>
      <c r="H750" s="107">
        <f t="shared" si="16"/>
        <v>5</v>
      </c>
    </row>
    <row r="751" spans="1:8">
      <c r="A751" s="107">
        <v>1</v>
      </c>
      <c r="B751" s="107">
        <v>11</v>
      </c>
      <c r="C751" s="107">
        <v>7</v>
      </c>
      <c r="D751" s="107">
        <v>4</v>
      </c>
      <c r="E751" s="107" t="s">
        <v>517</v>
      </c>
      <c r="F751" s="107" t="s">
        <v>518</v>
      </c>
      <c r="G751" s="161">
        <v>45353</v>
      </c>
      <c r="H751" s="107">
        <f t="shared" si="16"/>
        <v>4</v>
      </c>
    </row>
    <row r="752" spans="1:8">
      <c r="A752" s="107">
        <v>1</v>
      </c>
      <c r="B752" s="107">
        <v>11</v>
      </c>
      <c r="C752" s="107">
        <v>8</v>
      </c>
      <c r="D752" s="107">
        <v>1</v>
      </c>
      <c r="E752" s="107" t="s">
        <v>511</v>
      </c>
      <c r="F752" s="107" t="s">
        <v>512</v>
      </c>
      <c r="G752" s="161">
        <v>45354</v>
      </c>
      <c r="H752" s="107">
        <f t="shared" si="16"/>
        <v>5</v>
      </c>
    </row>
    <row r="753" spans="1:8">
      <c r="A753" s="107">
        <v>1</v>
      </c>
      <c r="B753" s="107">
        <v>11</v>
      </c>
      <c r="C753" s="107">
        <v>8</v>
      </c>
      <c r="D753" s="107">
        <v>2</v>
      </c>
      <c r="E753" s="107" t="s">
        <v>511</v>
      </c>
      <c r="F753" s="107" t="s">
        <v>512</v>
      </c>
      <c r="G753" s="161">
        <v>45354</v>
      </c>
      <c r="H753" s="107">
        <f t="shared" si="16"/>
        <v>5</v>
      </c>
    </row>
    <row r="754" spans="1:8">
      <c r="A754" s="107">
        <v>1</v>
      </c>
      <c r="B754" s="107">
        <v>11</v>
      </c>
      <c r="C754" s="107">
        <v>8</v>
      </c>
      <c r="D754" s="107">
        <v>3</v>
      </c>
      <c r="E754" s="107" t="s">
        <v>511</v>
      </c>
      <c r="F754" s="107" t="s">
        <v>512</v>
      </c>
      <c r="G754" s="161">
        <v>45354</v>
      </c>
      <c r="H754" s="107">
        <f t="shared" si="16"/>
        <v>5</v>
      </c>
    </row>
    <row r="755" spans="1:8">
      <c r="A755" s="107">
        <v>1</v>
      </c>
      <c r="B755" s="107">
        <v>11</v>
      </c>
      <c r="C755" s="107">
        <v>8</v>
      </c>
      <c r="D755" s="107">
        <v>4</v>
      </c>
      <c r="E755" s="107" t="s">
        <v>511</v>
      </c>
      <c r="F755" s="107" t="s">
        <v>512</v>
      </c>
      <c r="G755" s="161">
        <v>45354</v>
      </c>
      <c r="H755" s="107">
        <f t="shared" si="16"/>
        <v>5</v>
      </c>
    </row>
    <row r="756" spans="1:8">
      <c r="A756" s="107">
        <v>1</v>
      </c>
      <c r="B756" s="107">
        <v>11</v>
      </c>
      <c r="C756" s="107">
        <v>9</v>
      </c>
      <c r="D756" s="107">
        <v>1</v>
      </c>
      <c r="E756" s="107" t="s">
        <v>519</v>
      </c>
      <c r="F756" s="107" t="s">
        <v>503</v>
      </c>
      <c r="G756" s="161">
        <v>45353</v>
      </c>
      <c r="H756" s="107">
        <f t="shared" si="16"/>
        <v>4</v>
      </c>
    </row>
    <row r="757" spans="1:8">
      <c r="A757" s="107">
        <v>1</v>
      </c>
      <c r="B757" s="107">
        <v>11</v>
      </c>
      <c r="C757" s="107">
        <v>9</v>
      </c>
      <c r="D757" s="107">
        <v>2</v>
      </c>
      <c r="E757" s="107" t="s">
        <v>519</v>
      </c>
      <c r="F757" s="107" t="s">
        <v>503</v>
      </c>
      <c r="G757" s="161">
        <v>45354</v>
      </c>
      <c r="H757" s="107">
        <f t="shared" si="16"/>
        <v>5</v>
      </c>
    </row>
    <row r="758" spans="1:8">
      <c r="A758" s="107">
        <v>1</v>
      </c>
      <c r="B758" s="107">
        <v>11</v>
      </c>
      <c r="C758" s="107">
        <v>9</v>
      </c>
      <c r="D758" s="107">
        <v>3</v>
      </c>
      <c r="E758" s="107" t="s">
        <v>519</v>
      </c>
      <c r="F758" s="107" t="s">
        <v>503</v>
      </c>
      <c r="G758" s="161">
        <v>45353</v>
      </c>
      <c r="H758" s="107">
        <f t="shared" si="16"/>
        <v>4</v>
      </c>
    </row>
    <row r="759" spans="1:8">
      <c r="A759" s="107">
        <v>1</v>
      </c>
      <c r="B759" s="107">
        <v>11</v>
      </c>
      <c r="C759" s="107">
        <v>9</v>
      </c>
      <c r="D759" s="107">
        <v>4</v>
      </c>
      <c r="E759" s="107" t="s">
        <v>519</v>
      </c>
      <c r="F759" s="107" t="s">
        <v>503</v>
      </c>
      <c r="G759" s="161">
        <v>45353</v>
      </c>
      <c r="H759" s="107">
        <f t="shared" si="16"/>
        <v>4</v>
      </c>
    </row>
    <row r="760" spans="1:8">
      <c r="A760" s="107">
        <v>1</v>
      </c>
      <c r="B760" s="107">
        <v>11</v>
      </c>
      <c r="C760" s="107">
        <v>10</v>
      </c>
      <c r="D760" s="107">
        <v>1</v>
      </c>
      <c r="E760" s="107" t="s">
        <v>502</v>
      </c>
      <c r="F760" s="107" t="s">
        <v>503</v>
      </c>
      <c r="G760" s="161">
        <v>45353</v>
      </c>
      <c r="H760" s="107">
        <f t="shared" si="16"/>
        <v>4</v>
      </c>
    </row>
    <row r="761" spans="1:8">
      <c r="A761" s="107">
        <v>1</v>
      </c>
      <c r="B761" s="107">
        <v>11</v>
      </c>
      <c r="C761" s="107">
        <v>10</v>
      </c>
      <c r="D761" s="107">
        <v>2</v>
      </c>
      <c r="E761" s="107" t="s">
        <v>502</v>
      </c>
      <c r="F761" s="107" t="s">
        <v>503</v>
      </c>
      <c r="G761" s="161">
        <v>45353</v>
      </c>
      <c r="H761" s="107">
        <f t="shared" si="16"/>
        <v>4</v>
      </c>
    </row>
    <row r="762" spans="1:8">
      <c r="A762" s="107">
        <v>1</v>
      </c>
      <c r="B762" s="107">
        <v>11</v>
      </c>
      <c r="C762" s="107">
        <v>10</v>
      </c>
      <c r="D762" s="107">
        <v>3</v>
      </c>
      <c r="E762" s="107" t="s">
        <v>502</v>
      </c>
      <c r="F762" s="107" t="s">
        <v>503</v>
      </c>
      <c r="G762" s="161">
        <v>45353</v>
      </c>
      <c r="H762" s="107">
        <f t="shared" si="16"/>
        <v>4</v>
      </c>
    </row>
    <row r="763" spans="1:8">
      <c r="A763" s="107">
        <v>1</v>
      </c>
      <c r="B763" s="107">
        <v>11</v>
      </c>
      <c r="C763" s="107">
        <v>10</v>
      </c>
      <c r="D763" s="107">
        <v>4</v>
      </c>
      <c r="E763" s="107" t="s">
        <v>502</v>
      </c>
      <c r="F763" s="107" t="s">
        <v>503</v>
      </c>
      <c r="G763" s="161">
        <v>45353</v>
      </c>
      <c r="H763" s="107">
        <f t="shared" si="16"/>
        <v>4</v>
      </c>
    </row>
    <row r="764" spans="1:8">
      <c r="A764" s="107">
        <v>1</v>
      </c>
      <c r="B764" s="107">
        <v>11</v>
      </c>
      <c r="C764" s="107">
        <v>11</v>
      </c>
      <c r="D764" s="107">
        <v>1</v>
      </c>
      <c r="E764" s="107" t="s">
        <v>495</v>
      </c>
      <c r="F764" s="107" t="s">
        <v>496</v>
      </c>
      <c r="G764" s="161">
        <v>45354</v>
      </c>
      <c r="H764" s="107">
        <f t="shared" si="16"/>
        <v>5</v>
      </c>
    </row>
    <row r="765" spans="1:8">
      <c r="A765" s="107">
        <v>1</v>
      </c>
      <c r="B765" s="107">
        <v>11</v>
      </c>
      <c r="C765" s="107">
        <v>11</v>
      </c>
      <c r="D765" s="107">
        <v>2</v>
      </c>
      <c r="E765" s="107" t="s">
        <v>495</v>
      </c>
      <c r="F765" s="107" t="s">
        <v>496</v>
      </c>
      <c r="G765" s="161">
        <v>45354</v>
      </c>
      <c r="H765" s="107">
        <f t="shared" si="16"/>
        <v>5</v>
      </c>
    </row>
    <row r="766" spans="1:8">
      <c r="A766" s="107">
        <v>1</v>
      </c>
      <c r="B766" s="107">
        <v>11</v>
      </c>
      <c r="C766" s="107">
        <v>11</v>
      </c>
      <c r="D766" s="107">
        <v>3</v>
      </c>
      <c r="E766" s="107" t="s">
        <v>495</v>
      </c>
      <c r="F766" s="107" t="s">
        <v>496</v>
      </c>
      <c r="G766" s="161">
        <v>45354</v>
      </c>
      <c r="H766" s="107">
        <f t="shared" si="16"/>
        <v>5</v>
      </c>
    </row>
    <row r="767" spans="1:8">
      <c r="A767" s="107">
        <v>1</v>
      </c>
      <c r="B767" s="107">
        <v>11</v>
      </c>
      <c r="C767" s="107">
        <v>11</v>
      </c>
      <c r="D767" s="107">
        <v>4</v>
      </c>
      <c r="E767" s="107" t="s">
        <v>495</v>
      </c>
      <c r="F767" s="107" t="s">
        <v>496</v>
      </c>
      <c r="G767" s="161">
        <v>45354</v>
      </c>
      <c r="H767" s="107">
        <f t="shared" si="16"/>
        <v>5</v>
      </c>
    </row>
    <row r="768" spans="1:8">
      <c r="A768" s="107">
        <v>1</v>
      </c>
      <c r="B768" s="107">
        <v>11</v>
      </c>
      <c r="C768" s="107">
        <v>12</v>
      </c>
      <c r="D768" s="107">
        <v>1</v>
      </c>
      <c r="E768" s="107" t="s">
        <v>516</v>
      </c>
      <c r="F768" s="107" t="s">
        <v>503</v>
      </c>
      <c r="G768" s="161">
        <v>45353</v>
      </c>
      <c r="H768" s="107">
        <f t="shared" si="16"/>
        <v>4</v>
      </c>
    </row>
    <row r="769" spans="1:8">
      <c r="A769" s="107">
        <v>1</v>
      </c>
      <c r="B769" s="107">
        <v>11</v>
      </c>
      <c r="C769" s="107">
        <v>12</v>
      </c>
      <c r="D769" s="107">
        <v>2</v>
      </c>
      <c r="E769" s="107" t="s">
        <v>516</v>
      </c>
      <c r="F769" s="107" t="s">
        <v>503</v>
      </c>
      <c r="G769" s="161">
        <v>45353</v>
      </c>
      <c r="H769" s="107">
        <f t="shared" si="16"/>
        <v>4</v>
      </c>
    </row>
    <row r="770" spans="1:8">
      <c r="A770" s="107">
        <v>1</v>
      </c>
      <c r="B770" s="107">
        <v>11</v>
      </c>
      <c r="C770" s="107">
        <v>12</v>
      </c>
      <c r="D770" s="107">
        <v>3</v>
      </c>
      <c r="E770" s="107" t="s">
        <v>516</v>
      </c>
      <c r="F770" s="107" t="s">
        <v>503</v>
      </c>
      <c r="G770" s="161">
        <v>45353</v>
      </c>
      <c r="H770" s="107">
        <f t="shared" si="16"/>
        <v>4</v>
      </c>
    </row>
    <row r="771" spans="1:8">
      <c r="A771" s="107">
        <v>1</v>
      </c>
      <c r="B771" s="107">
        <v>11</v>
      </c>
      <c r="C771" s="107">
        <v>12</v>
      </c>
      <c r="D771" s="107">
        <v>4</v>
      </c>
      <c r="E771" s="107" t="s">
        <v>516</v>
      </c>
      <c r="F771" s="107" t="s">
        <v>503</v>
      </c>
      <c r="G771" s="161">
        <v>45353</v>
      </c>
      <c r="H771" s="107">
        <f t="shared" si="16"/>
        <v>4</v>
      </c>
    </row>
    <row r="772" spans="1:8">
      <c r="A772" s="107">
        <v>1</v>
      </c>
      <c r="B772" s="107">
        <v>11</v>
      </c>
      <c r="C772" s="107">
        <v>13</v>
      </c>
      <c r="D772" s="107">
        <v>1</v>
      </c>
      <c r="E772" s="107" t="s">
        <v>514</v>
      </c>
      <c r="F772" s="107" t="s">
        <v>515</v>
      </c>
      <c r="G772" s="161">
        <v>45353</v>
      </c>
      <c r="H772" s="107">
        <f t="shared" si="16"/>
        <v>4</v>
      </c>
    </row>
    <row r="773" spans="1:8">
      <c r="A773" s="107">
        <v>1</v>
      </c>
      <c r="B773" s="107">
        <v>11</v>
      </c>
      <c r="C773" s="107">
        <v>13</v>
      </c>
      <c r="D773" s="107">
        <v>2</v>
      </c>
      <c r="E773" s="107" t="s">
        <v>514</v>
      </c>
      <c r="F773" s="107" t="s">
        <v>515</v>
      </c>
      <c r="G773" s="161">
        <v>45354</v>
      </c>
      <c r="H773" s="107">
        <f t="shared" ref="H773:H836" si="17">DATEDIF($H$2,G773,"d")</f>
        <v>5</v>
      </c>
    </row>
    <row r="774" spans="1:8">
      <c r="A774" s="107">
        <v>1</v>
      </c>
      <c r="B774" s="107">
        <v>11</v>
      </c>
      <c r="C774" s="107">
        <v>13</v>
      </c>
      <c r="D774" s="107">
        <v>3</v>
      </c>
      <c r="E774" s="107" t="s">
        <v>514</v>
      </c>
      <c r="F774" s="107" t="s">
        <v>515</v>
      </c>
      <c r="G774" s="161">
        <v>45353</v>
      </c>
      <c r="H774" s="107">
        <f t="shared" si="17"/>
        <v>4</v>
      </c>
    </row>
    <row r="775" spans="1:8">
      <c r="A775" s="107">
        <v>1</v>
      </c>
      <c r="B775" s="107">
        <v>11</v>
      </c>
      <c r="C775" s="107">
        <v>13</v>
      </c>
      <c r="D775" s="107">
        <v>4</v>
      </c>
      <c r="E775" s="107" t="s">
        <v>514</v>
      </c>
      <c r="F775" s="107" t="s">
        <v>515</v>
      </c>
      <c r="G775" s="161">
        <v>45354</v>
      </c>
      <c r="H775" s="107">
        <f t="shared" si="17"/>
        <v>5</v>
      </c>
    </row>
    <row r="776" spans="1:8">
      <c r="A776" s="107">
        <v>1</v>
      </c>
      <c r="B776" s="107">
        <v>11</v>
      </c>
      <c r="C776" s="107">
        <v>14</v>
      </c>
      <c r="D776" s="107">
        <v>1</v>
      </c>
      <c r="E776" s="107" t="s">
        <v>510</v>
      </c>
      <c r="F776" s="107" t="s">
        <v>503</v>
      </c>
      <c r="G776" s="161">
        <v>45354</v>
      </c>
      <c r="H776" s="107">
        <f t="shared" si="17"/>
        <v>5</v>
      </c>
    </row>
    <row r="777" spans="1:8">
      <c r="A777" s="107">
        <v>1</v>
      </c>
      <c r="B777" s="107">
        <v>11</v>
      </c>
      <c r="C777" s="107">
        <v>14</v>
      </c>
      <c r="D777" s="107">
        <v>2</v>
      </c>
      <c r="E777" s="107" t="s">
        <v>510</v>
      </c>
      <c r="F777" s="107" t="s">
        <v>503</v>
      </c>
      <c r="G777" s="161">
        <v>45353</v>
      </c>
      <c r="H777" s="107">
        <f t="shared" si="17"/>
        <v>4</v>
      </c>
    </row>
    <row r="778" spans="1:8">
      <c r="A778" s="107">
        <v>1</v>
      </c>
      <c r="B778" s="107">
        <v>11</v>
      </c>
      <c r="C778" s="107">
        <v>14</v>
      </c>
      <c r="D778" s="107">
        <v>3</v>
      </c>
      <c r="E778" s="107" t="s">
        <v>510</v>
      </c>
      <c r="F778" s="107" t="s">
        <v>503</v>
      </c>
      <c r="G778" s="161">
        <v>45354</v>
      </c>
      <c r="H778" s="107">
        <f t="shared" si="17"/>
        <v>5</v>
      </c>
    </row>
    <row r="779" spans="1:8">
      <c r="A779" s="107">
        <v>1</v>
      </c>
      <c r="B779" s="107">
        <v>11</v>
      </c>
      <c r="C779" s="107">
        <v>14</v>
      </c>
      <c r="D779" s="107">
        <v>4</v>
      </c>
      <c r="E779" s="107" t="s">
        <v>510</v>
      </c>
      <c r="F779" s="107" t="s">
        <v>503</v>
      </c>
      <c r="G779" s="161">
        <v>45353</v>
      </c>
      <c r="H779" s="107">
        <f t="shared" si="17"/>
        <v>4</v>
      </c>
    </row>
    <row r="780" spans="1:8">
      <c r="A780" s="107">
        <v>1</v>
      </c>
      <c r="B780" s="107">
        <v>11</v>
      </c>
      <c r="C780" s="107">
        <v>15</v>
      </c>
      <c r="D780" s="107">
        <v>1</v>
      </c>
      <c r="E780" s="107" t="s">
        <v>489</v>
      </c>
      <c r="F780" s="107" t="s">
        <v>490</v>
      </c>
      <c r="G780" s="161">
        <v>45353</v>
      </c>
      <c r="H780" s="107">
        <f t="shared" si="17"/>
        <v>4</v>
      </c>
    </row>
    <row r="781" spans="1:8">
      <c r="A781" s="107">
        <v>1</v>
      </c>
      <c r="B781" s="107">
        <v>11</v>
      </c>
      <c r="C781" s="107">
        <v>15</v>
      </c>
      <c r="D781" s="107">
        <v>2</v>
      </c>
      <c r="E781" s="107" t="s">
        <v>489</v>
      </c>
      <c r="F781" s="107" t="s">
        <v>490</v>
      </c>
      <c r="G781" s="161">
        <v>45353</v>
      </c>
      <c r="H781" s="107">
        <f t="shared" si="17"/>
        <v>4</v>
      </c>
    </row>
    <row r="782" spans="1:8">
      <c r="A782" s="107">
        <v>1</v>
      </c>
      <c r="B782" s="107">
        <v>11</v>
      </c>
      <c r="C782" s="107">
        <v>15</v>
      </c>
      <c r="D782" s="107">
        <v>3</v>
      </c>
      <c r="E782" s="107" t="s">
        <v>489</v>
      </c>
      <c r="F782" s="107" t="s">
        <v>490</v>
      </c>
      <c r="G782" s="161">
        <v>45353</v>
      </c>
      <c r="H782" s="107">
        <f t="shared" si="17"/>
        <v>4</v>
      </c>
    </row>
    <row r="783" spans="1:8">
      <c r="A783" s="107">
        <v>1</v>
      </c>
      <c r="B783" s="107">
        <v>11</v>
      </c>
      <c r="C783" s="107">
        <v>15</v>
      </c>
      <c r="D783" s="107">
        <v>4</v>
      </c>
      <c r="E783" s="107" t="s">
        <v>489</v>
      </c>
      <c r="F783" s="107" t="s">
        <v>490</v>
      </c>
      <c r="G783" s="161">
        <v>45354</v>
      </c>
      <c r="H783" s="107">
        <f t="shared" si="17"/>
        <v>5</v>
      </c>
    </row>
    <row r="784" spans="1:8">
      <c r="A784" s="107">
        <v>1</v>
      </c>
      <c r="B784" s="107">
        <v>11</v>
      </c>
      <c r="C784" s="107">
        <v>16</v>
      </c>
      <c r="D784" s="107">
        <v>1</v>
      </c>
      <c r="E784" s="107" t="s">
        <v>498</v>
      </c>
      <c r="F784" s="107" t="s">
        <v>499</v>
      </c>
      <c r="G784" s="161">
        <v>45353</v>
      </c>
      <c r="H784" s="107">
        <f t="shared" si="17"/>
        <v>4</v>
      </c>
    </row>
    <row r="785" spans="1:8">
      <c r="A785" s="107">
        <v>1</v>
      </c>
      <c r="B785" s="107">
        <v>11</v>
      </c>
      <c r="C785" s="107">
        <v>16</v>
      </c>
      <c r="D785" s="107">
        <v>2</v>
      </c>
      <c r="E785" s="107" t="s">
        <v>498</v>
      </c>
      <c r="F785" s="107" t="s">
        <v>499</v>
      </c>
      <c r="G785" s="161">
        <v>45353</v>
      </c>
      <c r="H785" s="107">
        <f t="shared" si="17"/>
        <v>4</v>
      </c>
    </row>
    <row r="786" spans="1:8">
      <c r="A786" s="107">
        <v>1</v>
      </c>
      <c r="B786" s="107">
        <v>11</v>
      </c>
      <c r="C786" s="107">
        <v>16</v>
      </c>
      <c r="D786" s="107">
        <v>3</v>
      </c>
      <c r="E786" s="107" t="s">
        <v>498</v>
      </c>
      <c r="F786" s="107" t="s">
        <v>499</v>
      </c>
      <c r="G786" s="161">
        <v>45353</v>
      </c>
      <c r="H786" s="107">
        <f t="shared" si="17"/>
        <v>4</v>
      </c>
    </row>
    <row r="787" spans="1:8">
      <c r="A787" s="107">
        <v>1</v>
      </c>
      <c r="B787" s="107">
        <v>11</v>
      </c>
      <c r="C787" s="107">
        <v>16</v>
      </c>
      <c r="D787" s="107">
        <v>4</v>
      </c>
      <c r="E787" s="107" t="s">
        <v>498</v>
      </c>
      <c r="F787" s="107" t="s">
        <v>499</v>
      </c>
      <c r="G787" s="161">
        <v>45353</v>
      </c>
      <c r="H787" s="107">
        <f t="shared" si="17"/>
        <v>4</v>
      </c>
    </row>
    <row r="788" spans="1:8">
      <c r="A788" s="107">
        <v>1</v>
      </c>
      <c r="B788" s="107">
        <v>11</v>
      </c>
      <c r="C788" s="107">
        <v>17</v>
      </c>
      <c r="D788" s="107">
        <v>1</v>
      </c>
      <c r="E788" s="107" t="s">
        <v>497</v>
      </c>
      <c r="F788" s="107" t="s">
        <v>496</v>
      </c>
      <c r="G788" s="161">
        <v>45353</v>
      </c>
      <c r="H788" s="107">
        <f t="shared" si="17"/>
        <v>4</v>
      </c>
    </row>
    <row r="789" spans="1:8">
      <c r="A789" s="107">
        <v>1</v>
      </c>
      <c r="B789" s="107">
        <v>11</v>
      </c>
      <c r="C789" s="107">
        <v>17</v>
      </c>
      <c r="D789" s="107">
        <v>2</v>
      </c>
      <c r="E789" s="107" t="s">
        <v>497</v>
      </c>
      <c r="F789" s="107" t="s">
        <v>496</v>
      </c>
      <c r="G789" s="161">
        <v>45354</v>
      </c>
      <c r="H789" s="107">
        <f t="shared" si="17"/>
        <v>5</v>
      </c>
    </row>
    <row r="790" spans="1:8">
      <c r="A790" s="107">
        <v>1</v>
      </c>
      <c r="B790" s="107">
        <v>11</v>
      </c>
      <c r="C790" s="107">
        <v>17</v>
      </c>
      <c r="D790" s="107">
        <v>3</v>
      </c>
      <c r="E790" s="107" t="s">
        <v>497</v>
      </c>
      <c r="F790" s="107" t="s">
        <v>496</v>
      </c>
      <c r="G790" s="161">
        <v>45354</v>
      </c>
      <c r="H790" s="107">
        <f t="shared" si="17"/>
        <v>5</v>
      </c>
    </row>
    <row r="791" spans="1:8">
      <c r="A791" s="107">
        <v>1</v>
      </c>
      <c r="B791" s="107">
        <v>11</v>
      </c>
      <c r="C791" s="107">
        <v>17</v>
      </c>
      <c r="D791" s="107">
        <v>4</v>
      </c>
      <c r="E791" s="107" t="s">
        <v>497</v>
      </c>
      <c r="F791" s="107" t="s">
        <v>496</v>
      </c>
      <c r="G791" s="161">
        <v>45353</v>
      </c>
      <c r="H791" s="107">
        <f t="shared" si="17"/>
        <v>4</v>
      </c>
    </row>
    <row r="792" spans="1:8">
      <c r="A792" s="107">
        <v>1</v>
      </c>
      <c r="B792" s="107">
        <v>11</v>
      </c>
      <c r="C792" s="107">
        <v>18</v>
      </c>
      <c r="D792" s="107">
        <v>1</v>
      </c>
      <c r="E792" s="107" t="s">
        <v>513</v>
      </c>
      <c r="F792" s="107" t="s">
        <v>505</v>
      </c>
      <c r="G792" s="161">
        <v>45353</v>
      </c>
      <c r="H792" s="107">
        <f t="shared" si="17"/>
        <v>4</v>
      </c>
    </row>
    <row r="793" spans="1:8">
      <c r="A793" s="107">
        <v>1</v>
      </c>
      <c r="B793" s="107">
        <v>11</v>
      </c>
      <c r="C793" s="107">
        <v>18</v>
      </c>
      <c r="D793" s="107">
        <v>2</v>
      </c>
      <c r="E793" s="107" t="s">
        <v>513</v>
      </c>
      <c r="F793" s="107" t="s">
        <v>505</v>
      </c>
      <c r="G793" s="161">
        <v>45353</v>
      </c>
      <c r="H793" s="107">
        <f t="shared" si="17"/>
        <v>4</v>
      </c>
    </row>
    <row r="794" spans="1:8">
      <c r="A794" s="107">
        <v>1</v>
      </c>
      <c r="B794" s="107">
        <v>11</v>
      </c>
      <c r="C794" s="107">
        <v>18</v>
      </c>
      <c r="D794" s="107">
        <v>3</v>
      </c>
      <c r="E794" s="107" t="s">
        <v>513</v>
      </c>
      <c r="F794" s="107" t="s">
        <v>505</v>
      </c>
      <c r="G794" s="161">
        <v>45353</v>
      </c>
      <c r="H794" s="107">
        <f t="shared" si="17"/>
        <v>4</v>
      </c>
    </row>
    <row r="795" spans="1:8">
      <c r="A795" s="107">
        <v>1</v>
      </c>
      <c r="B795" s="107">
        <v>11</v>
      </c>
      <c r="C795" s="107">
        <v>18</v>
      </c>
      <c r="D795" s="107">
        <v>4</v>
      </c>
      <c r="E795" s="107" t="s">
        <v>513</v>
      </c>
      <c r="F795" s="107" t="s">
        <v>505</v>
      </c>
      <c r="G795" s="161">
        <v>45353</v>
      </c>
      <c r="H795" s="107">
        <f t="shared" si="17"/>
        <v>4</v>
      </c>
    </row>
    <row r="796" spans="1:8">
      <c r="A796" s="107">
        <v>1</v>
      </c>
      <c r="B796" s="107">
        <v>12</v>
      </c>
      <c r="C796" s="107">
        <v>1</v>
      </c>
      <c r="D796" s="107">
        <v>1</v>
      </c>
      <c r="E796" s="107" t="s">
        <v>526</v>
      </c>
      <c r="F796" s="107" t="s">
        <v>527</v>
      </c>
      <c r="G796" s="161">
        <v>45353</v>
      </c>
      <c r="H796" s="107">
        <f t="shared" si="17"/>
        <v>4</v>
      </c>
    </row>
    <row r="797" spans="1:8">
      <c r="A797" s="107">
        <v>1</v>
      </c>
      <c r="B797" s="107">
        <v>12</v>
      </c>
      <c r="C797" s="107">
        <v>1</v>
      </c>
      <c r="D797" s="107">
        <v>2</v>
      </c>
      <c r="E797" s="107" t="s">
        <v>526</v>
      </c>
      <c r="F797" s="107" t="s">
        <v>527</v>
      </c>
      <c r="G797" s="161">
        <v>45353</v>
      </c>
      <c r="H797" s="107">
        <f t="shared" si="17"/>
        <v>4</v>
      </c>
    </row>
    <row r="798" spans="1:8">
      <c r="A798" s="107">
        <v>1</v>
      </c>
      <c r="B798" s="107">
        <v>12</v>
      </c>
      <c r="C798" s="107">
        <v>1</v>
      </c>
      <c r="D798" s="107">
        <v>3</v>
      </c>
      <c r="E798" s="107" t="s">
        <v>526</v>
      </c>
      <c r="F798" s="107" t="s">
        <v>527</v>
      </c>
      <c r="G798" s="161">
        <v>45353</v>
      </c>
      <c r="H798" s="107">
        <f t="shared" si="17"/>
        <v>4</v>
      </c>
    </row>
    <row r="799" spans="1:8">
      <c r="A799" s="107">
        <v>1</v>
      </c>
      <c r="B799" s="107">
        <v>12</v>
      </c>
      <c r="C799" s="107">
        <v>1</v>
      </c>
      <c r="D799" s="107">
        <v>4</v>
      </c>
      <c r="E799" s="107" t="s">
        <v>526</v>
      </c>
      <c r="F799" s="107" t="s">
        <v>527</v>
      </c>
      <c r="G799" s="161">
        <v>45354</v>
      </c>
      <c r="H799" s="107">
        <f t="shared" si="17"/>
        <v>5</v>
      </c>
    </row>
    <row r="800" spans="1:8">
      <c r="A800" s="107">
        <v>1</v>
      </c>
      <c r="B800" s="107">
        <v>12</v>
      </c>
      <c r="C800" s="107">
        <v>2</v>
      </c>
      <c r="D800" s="107">
        <v>1</v>
      </c>
      <c r="E800" s="107" t="s">
        <v>540</v>
      </c>
      <c r="F800" s="107" t="s">
        <v>541</v>
      </c>
      <c r="G800" s="161">
        <v>45353</v>
      </c>
      <c r="H800" s="107">
        <f t="shared" si="17"/>
        <v>4</v>
      </c>
    </row>
    <row r="801" spans="1:8">
      <c r="A801" s="107">
        <v>1</v>
      </c>
      <c r="B801" s="107">
        <v>12</v>
      </c>
      <c r="C801" s="107">
        <v>2</v>
      </c>
      <c r="D801" s="107">
        <v>2</v>
      </c>
      <c r="E801" s="107" t="s">
        <v>540</v>
      </c>
      <c r="F801" s="107" t="s">
        <v>541</v>
      </c>
      <c r="G801" s="161">
        <v>45353</v>
      </c>
      <c r="H801" s="107">
        <f t="shared" si="17"/>
        <v>4</v>
      </c>
    </row>
    <row r="802" spans="1:8">
      <c r="A802" s="107">
        <v>1</v>
      </c>
      <c r="B802" s="107">
        <v>12</v>
      </c>
      <c r="C802" s="107">
        <v>2</v>
      </c>
      <c r="D802" s="107">
        <v>3</v>
      </c>
      <c r="E802" s="107" t="s">
        <v>540</v>
      </c>
      <c r="F802" s="107" t="s">
        <v>541</v>
      </c>
      <c r="G802" s="161">
        <v>45354</v>
      </c>
      <c r="H802" s="107">
        <f t="shared" si="17"/>
        <v>5</v>
      </c>
    </row>
    <row r="803" spans="1:8">
      <c r="A803" s="107">
        <v>1</v>
      </c>
      <c r="B803" s="107">
        <v>12</v>
      </c>
      <c r="C803" s="107">
        <v>2</v>
      </c>
      <c r="D803" s="107">
        <v>4</v>
      </c>
      <c r="E803" s="107" t="s">
        <v>540</v>
      </c>
      <c r="F803" s="107" t="s">
        <v>541</v>
      </c>
      <c r="G803" s="161">
        <v>45354</v>
      </c>
      <c r="H803" s="107">
        <f t="shared" si="17"/>
        <v>5</v>
      </c>
    </row>
    <row r="804" spans="1:8">
      <c r="A804" s="107">
        <v>1</v>
      </c>
      <c r="B804" s="107">
        <v>12</v>
      </c>
      <c r="C804" s="107">
        <v>3</v>
      </c>
      <c r="D804" s="107">
        <v>1</v>
      </c>
      <c r="E804" s="107" t="s">
        <v>529</v>
      </c>
      <c r="F804" s="107" t="s">
        <v>503</v>
      </c>
      <c r="G804" s="161">
        <v>45353</v>
      </c>
      <c r="H804" s="107">
        <f t="shared" si="17"/>
        <v>4</v>
      </c>
    </row>
    <row r="805" spans="1:8">
      <c r="A805" s="107">
        <v>1</v>
      </c>
      <c r="B805" s="107">
        <v>12</v>
      </c>
      <c r="C805" s="107">
        <v>3</v>
      </c>
      <c r="D805" s="107">
        <v>2</v>
      </c>
      <c r="E805" s="107" t="s">
        <v>529</v>
      </c>
      <c r="F805" s="107" t="s">
        <v>503</v>
      </c>
      <c r="G805" s="161">
        <v>45354</v>
      </c>
      <c r="H805" s="107">
        <f t="shared" si="17"/>
        <v>5</v>
      </c>
    </row>
    <row r="806" spans="1:8">
      <c r="A806" s="107">
        <v>1</v>
      </c>
      <c r="B806" s="107">
        <v>12</v>
      </c>
      <c r="C806" s="107">
        <v>3</v>
      </c>
      <c r="D806" s="107">
        <v>3</v>
      </c>
      <c r="E806" s="107" t="s">
        <v>529</v>
      </c>
      <c r="F806" s="107" t="s">
        <v>503</v>
      </c>
      <c r="G806" s="161">
        <v>45353</v>
      </c>
      <c r="H806" s="107">
        <f t="shared" si="17"/>
        <v>4</v>
      </c>
    </row>
    <row r="807" spans="1:8">
      <c r="A807" s="107">
        <v>1</v>
      </c>
      <c r="B807" s="107">
        <v>12</v>
      </c>
      <c r="C807" s="107">
        <v>3</v>
      </c>
      <c r="D807" s="107">
        <v>4</v>
      </c>
      <c r="E807" s="107" t="s">
        <v>529</v>
      </c>
      <c r="F807" s="107" t="s">
        <v>503</v>
      </c>
      <c r="G807" s="161">
        <v>45354</v>
      </c>
      <c r="H807" s="107">
        <f t="shared" si="17"/>
        <v>5</v>
      </c>
    </row>
    <row r="808" spans="1:8">
      <c r="A808" s="107">
        <v>1</v>
      </c>
      <c r="B808" s="107">
        <v>12</v>
      </c>
      <c r="C808" s="107">
        <v>4</v>
      </c>
      <c r="D808" s="107">
        <v>1</v>
      </c>
      <c r="E808" s="107" t="s">
        <v>542</v>
      </c>
      <c r="F808" s="107" t="s">
        <v>539</v>
      </c>
      <c r="G808" s="161">
        <v>45353</v>
      </c>
      <c r="H808" s="107">
        <f t="shared" si="17"/>
        <v>4</v>
      </c>
    </row>
    <row r="809" spans="1:8">
      <c r="A809" s="107">
        <v>1</v>
      </c>
      <c r="B809" s="107">
        <v>12</v>
      </c>
      <c r="C809" s="107">
        <v>4</v>
      </c>
      <c r="D809" s="107">
        <v>2</v>
      </c>
      <c r="E809" s="107" t="s">
        <v>542</v>
      </c>
      <c r="F809" s="107" t="s">
        <v>539</v>
      </c>
      <c r="G809" s="161">
        <v>45354</v>
      </c>
      <c r="H809" s="107">
        <f t="shared" si="17"/>
        <v>5</v>
      </c>
    </row>
    <row r="810" spans="1:8">
      <c r="A810" s="107">
        <v>1</v>
      </c>
      <c r="B810" s="107">
        <v>12</v>
      </c>
      <c r="C810" s="107">
        <v>4</v>
      </c>
      <c r="D810" s="107">
        <v>3</v>
      </c>
      <c r="E810" s="107" t="s">
        <v>542</v>
      </c>
      <c r="F810" s="107" t="s">
        <v>539</v>
      </c>
      <c r="G810" s="161">
        <v>45353</v>
      </c>
      <c r="H810" s="107">
        <f t="shared" si="17"/>
        <v>4</v>
      </c>
    </row>
    <row r="811" spans="1:8">
      <c r="A811" s="107">
        <v>1</v>
      </c>
      <c r="B811" s="107">
        <v>12</v>
      </c>
      <c r="C811" s="107">
        <v>4</v>
      </c>
      <c r="D811" s="107">
        <v>4</v>
      </c>
      <c r="E811" s="107" t="s">
        <v>542</v>
      </c>
      <c r="F811" s="107" t="s">
        <v>539</v>
      </c>
      <c r="G811" s="161">
        <v>45353</v>
      </c>
      <c r="H811" s="107">
        <f t="shared" si="17"/>
        <v>4</v>
      </c>
    </row>
    <row r="812" spans="1:8">
      <c r="A812" s="107">
        <v>1</v>
      </c>
      <c r="B812" s="107">
        <v>12</v>
      </c>
      <c r="C812" s="107">
        <v>5</v>
      </c>
      <c r="D812" s="107">
        <v>1</v>
      </c>
      <c r="E812" s="107" t="s">
        <v>538</v>
      </c>
      <c r="F812" s="107" t="s">
        <v>539</v>
      </c>
      <c r="G812" s="161">
        <v>45354</v>
      </c>
      <c r="H812" s="107">
        <f t="shared" si="17"/>
        <v>5</v>
      </c>
    </row>
    <row r="813" spans="1:8">
      <c r="A813" s="107">
        <v>1</v>
      </c>
      <c r="B813" s="107">
        <v>12</v>
      </c>
      <c r="C813" s="107">
        <v>5</v>
      </c>
      <c r="D813" s="107">
        <v>2</v>
      </c>
      <c r="E813" s="107" t="s">
        <v>538</v>
      </c>
      <c r="F813" s="107" t="s">
        <v>539</v>
      </c>
      <c r="G813" s="161">
        <v>45353</v>
      </c>
      <c r="H813" s="107">
        <f t="shared" si="17"/>
        <v>4</v>
      </c>
    </row>
    <row r="814" spans="1:8">
      <c r="A814" s="107">
        <v>1</v>
      </c>
      <c r="B814" s="107">
        <v>12</v>
      </c>
      <c r="C814" s="107">
        <v>5</v>
      </c>
      <c r="D814" s="107">
        <v>3</v>
      </c>
      <c r="E814" s="107" t="s">
        <v>538</v>
      </c>
      <c r="F814" s="107" t="s">
        <v>539</v>
      </c>
      <c r="G814" s="161">
        <v>45354</v>
      </c>
      <c r="H814" s="107">
        <f t="shared" si="17"/>
        <v>5</v>
      </c>
    </row>
    <row r="815" spans="1:8">
      <c r="A815" s="107">
        <v>1</v>
      </c>
      <c r="B815" s="107">
        <v>12</v>
      </c>
      <c r="C815" s="107">
        <v>5</v>
      </c>
      <c r="D815" s="107">
        <v>4</v>
      </c>
      <c r="E815" s="107" t="s">
        <v>538</v>
      </c>
      <c r="F815" s="107" t="s">
        <v>539</v>
      </c>
      <c r="G815" s="161">
        <v>45353</v>
      </c>
      <c r="H815" s="107">
        <f t="shared" si="17"/>
        <v>4</v>
      </c>
    </row>
    <row r="816" spans="1:8">
      <c r="A816" s="107">
        <v>1</v>
      </c>
      <c r="B816" s="107">
        <v>12</v>
      </c>
      <c r="C816" s="107">
        <v>6</v>
      </c>
      <c r="D816" s="107">
        <v>1</v>
      </c>
      <c r="E816" s="107" t="s">
        <v>522</v>
      </c>
      <c r="F816" s="107" t="s">
        <v>503</v>
      </c>
      <c r="G816" s="161">
        <v>45354</v>
      </c>
      <c r="H816" s="107">
        <f t="shared" si="17"/>
        <v>5</v>
      </c>
    </row>
    <row r="817" spans="1:8">
      <c r="A817" s="107">
        <v>1</v>
      </c>
      <c r="B817" s="107">
        <v>12</v>
      </c>
      <c r="C817" s="107">
        <v>6</v>
      </c>
      <c r="D817" s="107">
        <v>2</v>
      </c>
      <c r="E817" s="107" t="s">
        <v>522</v>
      </c>
      <c r="F817" s="107" t="s">
        <v>503</v>
      </c>
      <c r="G817" s="161">
        <v>45354</v>
      </c>
      <c r="H817" s="107">
        <f t="shared" si="17"/>
        <v>5</v>
      </c>
    </row>
    <row r="818" spans="1:8">
      <c r="A818" s="107">
        <v>1</v>
      </c>
      <c r="B818" s="107">
        <v>12</v>
      </c>
      <c r="C818" s="107">
        <v>6</v>
      </c>
      <c r="D818" s="107">
        <v>3</v>
      </c>
      <c r="E818" s="107" t="s">
        <v>522</v>
      </c>
      <c r="F818" s="107" t="s">
        <v>503</v>
      </c>
      <c r="G818" s="161">
        <v>45353</v>
      </c>
      <c r="H818" s="107">
        <f t="shared" si="17"/>
        <v>4</v>
      </c>
    </row>
    <row r="819" spans="1:8">
      <c r="A819" s="107">
        <v>1</v>
      </c>
      <c r="B819" s="107">
        <v>12</v>
      </c>
      <c r="C819" s="107">
        <v>6</v>
      </c>
      <c r="D819" s="107">
        <v>4</v>
      </c>
      <c r="E819" s="107" t="s">
        <v>522</v>
      </c>
      <c r="F819" s="107" t="s">
        <v>503</v>
      </c>
      <c r="G819" s="161">
        <v>45353</v>
      </c>
      <c r="H819" s="107">
        <f t="shared" si="17"/>
        <v>4</v>
      </c>
    </row>
    <row r="820" spans="1:8">
      <c r="A820" s="107">
        <v>1</v>
      </c>
      <c r="B820" s="107">
        <v>12</v>
      </c>
      <c r="C820" s="107">
        <v>7</v>
      </c>
      <c r="D820" s="107">
        <v>1</v>
      </c>
      <c r="E820" s="107" t="s">
        <v>531</v>
      </c>
      <c r="F820" s="107" t="s">
        <v>503</v>
      </c>
      <c r="G820" s="161">
        <v>45354</v>
      </c>
      <c r="H820" s="107">
        <f t="shared" si="17"/>
        <v>5</v>
      </c>
    </row>
    <row r="821" spans="1:8">
      <c r="A821" s="107">
        <v>1</v>
      </c>
      <c r="B821" s="107">
        <v>12</v>
      </c>
      <c r="C821" s="107">
        <v>7</v>
      </c>
      <c r="D821" s="107">
        <v>2</v>
      </c>
      <c r="E821" s="107" t="s">
        <v>531</v>
      </c>
      <c r="F821" s="107" t="s">
        <v>503</v>
      </c>
      <c r="G821" s="161">
        <v>45353</v>
      </c>
      <c r="H821" s="107">
        <f t="shared" si="17"/>
        <v>4</v>
      </c>
    </row>
    <row r="822" spans="1:8">
      <c r="A822" s="107">
        <v>1</v>
      </c>
      <c r="B822" s="107">
        <v>12</v>
      </c>
      <c r="C822" s="107">
        <v>7</v>
      </c>
      <c r="D822" s="107">
        <v>3</v>
      </c>
      <c r="E822" s="107" t="s">
        <v>531</v>
      </c>
      <c r="F822" s="107" t="s">
        <v>503</v>
      </c>
      <c r="G822" s="161">
        <v>45353</v>
      </c>
      <c r="H822" s="107">
        <f t="shared" si="17"/>
        <v>4</v>
      </c>
    </row>
    <row r="823" spans="1:8">
      <c r="A823" s="107">
        <v>1</v>
      </c>
      <c r="B823" s="107">
        <v>12</v>
      </c>
      <c r="C823" s="107">
        <v>7</v>
      </c>
      <c r="D823" s="107">
        <v>4</v>
      </c>
      <c r="E823" s="107" t="s">
        <v>531</v>
      </c>
      <c r="F823" s="107" t="s">
        <v>503</v>
      </c>
      <c r="G823" s="161">
        <v>45354</v>
      </c>
      <c r="H823" s="107">
        <f t="shared" si="17"/>
        <v>5</v>
      </c>
    </row>
    <row r="824" spans="1:8">
      <c r="A824" s="107">
        <v>1</v>
      </c>
      <c r="B824" s="107">
        <v>12</v>
      </c>
      <c r="C824" s="107">
        <v>8</v>
      </c>
      <c r="D824" s="107">
        <v>1</v>
      </c>
      <c r="E824" s="107" t="s">
        <v>533</v>
      </c>
      <c r="F824" s="107" t="s">
        <v>534</v>
      </c>
      <c r="G824" s="161">
        <v>45353</v>
      </c>
      <c r="H824" s="107">
        <f t="shared" si="17"/>
        <v>4</v>
      </c>
    </row>
    <row r="825" spans="1:8">
      <c r="A825" s="107">
        <v>1</v>
      </c>
      <c r="B825" s="107">
        <v>12</v>
      </c>
      <c r="C825" s="107">
        <v>8</v>
      </c>
      <c r="D825" s="107">
        <v>2</v>
      </c>
      <c r="E825" s="107" t="s">
        <v>533</v>
      </c>
      <c r="F825" s="107" t="s">
        <v>534</v>
      </c>
      <c r="G825" s="161">
        <v>45354</v>
      </c>
      <c r="H825" s="107">
        <f t="shared" si="17"/>
        <v>5</v>
      </c>
    </row>
    <row r="826" spans="1:8">
      <c r="A826" s="107">
        <v>1</v>
      </c>
      <c r="B826" s="107">
        <v>12</v>
      </c>
      <c r="C826" s="107">
        <v>8</v>
      </c>
      <c r="D826" s="107">
        <v>3</v>
      </c>
      <c r="E826" s="107" t="s">
        <v>533</v>
      </c>
      <c r="F826" s="107" t="s">
        <v>534</v>
      </c>
      <c r="G826" s="161">
        <v>45354</v>
      </c>
      <c r="H826" s="107">
        <f t="shared" si="17"/>
        <v>5</v>
      </c>
    </row>
    <row r="827" spans="1:8">
      <c r="A827" s="107">
        <v>1</v>
      </c>
      <c r="B827" s="107">
        <v>12</v>
      </c>
      <c r="C827" s="107">
        <v>8</v>
      </c>
      <c r="D827" s="107">
        <v>4</v>
      </c>
      <c r="E827" s="107" t="s">
        <v>533</v>
      </c>
      <c r="F827" s="107" t="s">
        <v>534</v>
      </c>
      <c r="G827" s="161">
        <v>45353</v>
      </c>
      <c r="H827" s="107">
        <f t="shared" si="17"/>
        <v>4</v>
      </c>
    </row>
    <row r="828" spans="1:8">
      <c r="A828" s="107">
        <v>1</v>
      </c>
      <c r="B828" s="107">
        <v>12</v>
      </c>
      <c r="C828" s="107">
        <v>9</v>
      </c>
      <c r="D828" s="107">
        <v>1</v>
      </c>
      <c r="E828" s="107" t="s">
        <v>530</v>
      </c>
      <c r="F828" s="107" t="s">
        <v>518</v>
      </c>
      <c r="G828" s="161">
        <v>45353</v>
      </c>
      <c r="H828" s="107">
        <f t="shared" si="17"/>
        <v>4</v>
      </c>
    </row>
    <row r="829" spans="1:8">
      <c r="A829" s="107">
        <v>1</v>
      </c>
      <c r="B829" s="107">
        <v>12</v>
      </c>
      <c r="C829" s="107">
        <v>9</v>
      </c>
      <c r="D829" s="107">
        <v>2</v>
      </c>
      <c r="E829" s="107" t="s">
        <v>530</v>
      </c>
      <c r="F829" s="107" t="s">
        <v>518</v>
      </c>
      <c r="G829" s="161">
        <v>45354</v>
      </c>
      <c r="H829" s="107">
        <f t="shared" si="17"/>
        <v>5</v>
      </c>
    </row>
    <row r="830" spans="1:8">
      <c r="A830" s="107">
        <v>1</v>
      </c>
      <c r="B830" s="107">
        <v>12</v>
      </c>
      <c r="C830" s="107">
        <v>9</v>
      </c>
      <c r="D830" s="107">
        <v>3</v>
      </c>
      <c r="E830" s="107" t="s">
        <v>530</v>
      </c>
      <c r="F830" s="107" t="s">
        <v>518</v>
      </c>
      <c r="G830" s="161">
        <v>45353</v>
      </c>
      <c r="H830" s="107">
        <f t="shared" si="17"/>
        <v>4</v>
      </c>
    </row>
    <row r="831" spans="1:8">
      <c r="A831" s="107">
        <v>1</v>
      </c>
      <c r="B831" s="107">
        <v>12</v>
      </c>
      <c r="C831" s="107">
        <v>9</v>
      </c>
      <c r="D831" s="107">
        <v>4</v>
      </c>
      <c r="E831" s="107" t="s">
        <v>530</v>
      </c>
      <c r="F831" s="107" t="s">
        <v>518</v>
      </c>
      <c r="G831" s="161">
        <v>45353</v>
      </c>
      <c r="H831" s="107">
        <f t="shared" si="17"/>
        <v>4</v>
      </c>
    </row>
    <row r="832" spans="1:8">
      <c r="A832" s="107">
        <v>1</v>
      </c>
      <c r="B832" s="107">
        <v>12</v>
      </c>
      <c r="C832" s="107">
        <v>10</v>
      </c>
      <c r="D832" s="107">
        <v>1</v>
      </c>
      <c r="E832" s="107" t="s">
        <v>525</v>
      </c>
      <c r="F832" s="107" t="s">
        <v>503</v>
      </c>
      <c r="G832" s="161">
        <v>45355</v>
      </c>
      <c r="H832" s="107">
        <f t="shared" si="17"/>
        <v>6</v>
      </c>
    </row>
    <row r="833" spans="1:8">
      <c r="A833" s="107">
        <v>1</v>
      </c>
      <c r="B833" s="107">
        <v>12</v>
      </c>
      <c r="C833" s="107">
        <v>10</v>
      </c>
      <c r="D833" s="107">
        <v>2</v>
      </c>
      <c r="E833" s="107" t="s">
        <v>525</v>
      </c>
      <c r="F833" s="107" t="s">
        <v>503</v>
      </c>
      <c r="G833" s="161">
        <v>45354</v>
      </c>
      <c r="H833" s="107">
        <f t="shared" si="17"/>
        <v>5</v>
      </c>
    </row>
    <row r="834" spans="1:8">
      <c r="A834" s="107">
        <v>1</v>
      </c>
      <c r="B834" s="107">
        <v>12</v>
      </c>
      <c r="C834" s="107">
        <v>10</v>
      </c>
      <c r="D834" s="107">
        <v>3</v>
      </c>
      <c r="E834" s="107" t="s">
        <v>525</v>
      </c>
      <c r="F834" s="107" t="s">
        <v>503</v>
      </c>
      <c r="G834" s="161">
        <v>45353</v>
      </c>
      <c r="H834" s="107">
        <f t="shared" si="17"/>
        <v>4</v>
      </c>
    </row>
    <row r="835" spans="1:8">
      <c r="A835" s="107">
        <v>1</v>
      </c>
      <c r="B835" s="107">
        <v>12</v>
      </c>
      <c r="C835" s="107">
        <v>10</v>
      </c>
      <c r="D835" s="107">
        <v>4</v>
      </c>
      <c r="E835" s="107" t="s">
        <v>525</v>
      </c>
      <c r="F835" s="107" t="s">
        <v>503</v>
      </c>
      <c r="G835" s="161">
        <v>45354</v>
      </c>
      <c r="H835" s="107">
        <f t="shared" si="17"/>
        <v>5</v>
      </c>
    </row>
    <row r="836" spans="1:8">
      <c r="A836" s="107">
        <v>1</v>
      </c>
      <c r="B836" s="107">
        <v>12</v>
      </c>
      <c r="C836" s="107">
        <v>11</v>
      </c>
      <c r="D836" s="107">
        <v>1</v>
      </c>
      <c r="E836" s="107" t="s">
        <v>524</v>
      </c>
      <c r="F836" s="107" t="s">
        <v>503</v>
      </c>
      <c r="G836" s="161">
        <v>45354</v>
      </c>
      <c r="H836" s="107">
        <f t="shared" si="17"/>
        <v>5</v>
      </c>
    </row>
    <row r="837" spans="1:8">
      <c r="A837" s="107">
        <v>1</v>
      </c>
      <c r="B837" s="107">
        <v>12</v>
      </c>
      <c r="C837" s="107">
        <v>11</v>
      </c>
      <c r="D837" s="107">
        <v>2</v>
      </c>
      <c r="E837" s="107" t="s">
        <v>524</v>
      </c>
      <c r="F837" s="107" t="s">
        <v>503</v>
      </c>
      <c r="G837" s="161">
        <v>45354</v>
      </c>
      <c r="H837" s="107">
        <f t="shared" ref="H837:H900" si="18">DATEDIF($H$2,G837,"d")</f>
        <v>5</v>
      </c>
    </row>
    <row r="838" spans="1:8">
      <c r="A838" s="107">
        <v>1</v>
      </c>
      <c r="B838" s="107">
        <v>12</v>
      </c>
      <c r="C838" s="107">
        <v>11</v>
      </c>
      <c r="D838" s="107">
        <v>3</v>
      </c>
      <c r="E838" s="107" t="s">
        <v>524</v>
      </c>
      <c r="F838" s="107" t="s">
        <v>503</v>
      </c>
      <c r="G838" s="161">
        <v>45354</v>
      </c>
      <c r="H838" s="107">
        <f t="shared" si="18"/>
        <v>5</v>
      </c>
    </row>
    <row r="839" spans="1:8">
      <c r="A839" s="107">
        <v>1</v>
      </c>
      <c r="B839" s="107">
        <v>12</v>
      </c>
      <c r="C839" s="107">
        <v>11</v>
      </c>
      <c r="D839" s="107">
        <v>4</v>
      </c>
      <c r="E839" s="107" t="s">
        <v>524</v>
      </c>
      <c r="F839" s="107" t="s">
        <v>503</v>
      </c>
      <c r="G839" s="161">
        <v>45354</v>
      </c>
      <c r="H839" s="107">
        <f t="shared" si="18"/>
        <v>5</v>
      </c>
    </row>
    <row r="840" spans="1:8">
      <c r="A840" s="107">
        <v>1</v>
      </c>
      <c r="B840" s="107">
        <v>12</v>
      </c>
      <c r="C840" s="107">
        <v>12</v>
      </c>
      <c r="D840" s="107">
        <v>1</v>
      </c>
      <c r="E840" s="107" t="s">
        <v>532</v>
      </c>
      <c r="F840" s="107" t="s">
        <v>503</v>
      </c>
      <c r="G840" s="161">
        <v>45353</v>
      </c>
      <c r="H840" s="107">
        <f t="shared" si="18"/>
        <v>4</v>
      </c>
    </row>
    <row r="841" spans="1:8">
      <c r="A841" s="107">
        <v>1</v>
      </c>
      <c r="B841" s="107">
        <v>12</v>
      </c>
      <c r="C841" s="107">
        <v>12</v>
      </c>
      <c r="D841" s="107">
        <v>2</v>
      </c>
      <c r="E841" s="107" t="s">
        <v>532</v>
      </c>
      <c r="F841" s="107" t="s">
        <v>503</v>
      </c>
      <c r="G841" s="161">
        <v>45354</v>
      </c>
      <c r="H841" s="107">
        <f t="shared" si="18"/>
        <v>5</v>
      </c>
    </row>
    <row r="842" spans="1:8">
      <c r="A842" s="107">
        <v>1</v>
      </c>
      <c r="B842" s="107">
        <v>12</v>
      </c>
      <c r="C842" s="107">
        <v>12</v>
      </c>
      <c r="D842" s="107">
        <v>3</v>
      </c>
      <c r="E842" s="107" t="s">
        <v>532</v>
      </c>
      <c r="F842" s="107" t="s">
        <v>503</v>
      </c>
      <c r="G842" s="161">
        <v>45353</v>
      </c>
      <c r="H842" s="107">
        <f t="shared" si="18"/>
        <v>4</v>
      </c>
    </row>
    <row r="843" spans="1:8">
      <c r="A843" s="107">
        <v>1</v>
      </c>
      <c r="B843" s="107">
        <v>12</v>
      </c>
      <c r="C843" s="107">
        <v>12</v>
      </c>
      <c r="D843" s="107">
        <v>4</v>
      </c>
      <c r="E843" s="107" t="s">
        <v>532</v>
      </c>
      <c r="F843" s="107" t="s">
        <v>503</v>
      </c>
      <c r="G843" s="161">
        <v>45353</v>
      </c>
      <c r="H843" s="107">
        <f t="shared" si="18"/>
        <v>4</v>
      </c>
    </row>
    <row r="844" spans="1:8">
      <c r="A844" s="107">
        <v>1</v>
      </c>
      <c r="B844" s="107">
        <v>12</v>
      </c>
      <c r="C844" s="107">
        <v>13</v>
      </c>
      <c r="D844" s="107">
        <v>1</v>
      </c>
      <c r="E844" s="107" t="s">
        <v>523</v>
      </c>
      <c r="F844" s="107" t="s">
        <v>503</v>
      </c>
      <c r="G844" s="161">
        <v>45354</v>
      </c>
      <c r="H844" s="107">
        <f t="shared" si="18"/>
        <v>5</v>
      </c>
    </row>
    <row r="845" spans="1:8">
      <c r="A845" s="107">
        <v>1</v>
      </c>
      <c r="B845" s="107">
        <v>12</v>
      </c>
      <c r="C845" s="107">
        <v>13</v>
      </c>
      <c r="D845" s="107">
        <v>2</v>
      </c>
      <c r="E845" s="107" t="s">
        <v>523</v>
      </c>
      <c r="F845" s="107" t="s">
        <v>503</v>
      </c>
      <c r="G845" s="161">
        <v>45354</v>
      </c>
      <c r="H845" s="107">
        <f t="shared" si="18"/>
        <v>5</v>
      </c>
    </row>
    <row r="846" spans="1:8">
      <c r="A846" s="107">
        <v>1</v>
      </c>
      <c r="B846" s="107">
        <v>12</v>
      </c>
      <c r="C846" s="107">
        <v>13</v>
      </c>
      <c r="D846" s="107">
        <v>3</v>
      </c>
      <c r="E846" s="107" t="s">
        <v>523</v>
      </c>
      <c r="F846" s="107" t="s">
        <v>503</v>
      </c>
      <c r="G846" s="161">
        <v>45354</v>
      </c>
      <c r="H846" s="107">
        <f t="shared" si="18"/>
        <v>5</v>
      </c>
    </row>
    <row r="847" spans="1:8">
      <c r="A847" s="107">
        <v>1</v>
      </c>
      <c r="B847" s="107">
        <v>12</v>
      </c>
      <c r="C847" s="107">
        <v>13</v>
      </c>
      <c r="D847" s="107">
        <v>4</v>
      </c>
      <c r="E847" s="107" t="s">
        <v>523</v>
      </c>
      <c r="F847" s="107" t="s">
        <v>503</v>
      </c>
      <c r="G847" s="161">
        <v>45354</v>
      </c>
      <c r="H847" s="107">
        <f t="shared" si="18"/>
        <v>5</v>
      </c>
    </row>
    <row r="848" spans="1:8">
      <c r="A848" s="107">
        <v>1</v>
      </c>
      <c r="B848" s="107">
        <v>12</v>
      </c>
      <c r="C848" s="107">
        <v>14</v>
      </c>
      <c r="D848" s="107">
        <v>1</v>
      </c>
      <c r="E848" s="107" t="s">
        <v>521</v>
      </c>
      <c r="F848" s="107" t="s">
        <v>503</v>
      </c>
      <c r="G848" s="161">
        <v>45354</v>
      </c>
      <c r="H848" s="107">
        <f t="shared" si="18"/>
        <v>5</v>
      </c>
    </row>
    <row r="849" spans="1:8">
      <c r="A849" s="107">
        <v>1</v>
      </c>
      <c r="B849" s="107">
        <v>12</v>
      </c>
      <c r="C849" s="107">
        <v>14</v>
      </c>
      <c r="D849" s="107">
        <v>2</v>
      </c>
      <c r="E849" s="107" t="s">
        <v>521</v>
      </c>
      <c r="F849" s="107" t="s">
        <v>503</v>
      </c>
      <c r="G849" s="161">
        <v>45353</v>
      </c>
      <c r="H849" s="107">
        <f t="shared" si="18"/>
        <v>4</v>
      </c>
    </row>
    <row r="850" spans="1:8">
      <c r="A850" s="107">
        <v>1</v>
      </c>
      <c r="B850" s="107">
        <v>12</v>
      </c>
      <c r="C850" s="107">
        <v>14</v>
      </c>
      <c r="D850" s="107">
        <v>3</v>
      </c>
      <c r="E850" s="107" t="s">
        <v>521</v>
      </c>
      <c r="F850" s="107" t="s">
        <v>503</v>
      </c>
      <c r="G850" s="161">
        <v>45353</v>
      </c>
      <c r="H850" s="107">
        <f t="shared" si="18"/>
        <v>4</v>
      </c>
    </row>
    <row r="851" spans="1:8">
      <c r="A851" s="107">
        <v>1</v>
      </c>
      <c r="B851" s="107">
        <v>12</v>
      </c>
      <c r="C851" s="107">
        <v>14</v>
      </c>
      <c r="D851" s="107">
        <v>4</v>
      </c>
      <c r="E851" s="107" t="s">
        <v>521</v>
      </c>
      <c r="F851" s="107" t="s">
        <v>503</v>
      </c>
      <c r="G851" s="161">
        <v>45353</v>
      </c>
      <c r="H851" s="107">
        <f t="shared" si="18"/>
        <v>4</v>
      </c>
    </row>
    <row r="852" spans="1:8">
      <c r="A852" s="107">
        <v>1</v>
      </c>
      <c r="B852" s="107">
        <v>12</v>
      </c>
      <c r="C852" s="107">
        <v>15</v>
      </c>
      <c r="D852" s="107">
        <v>1</v>
      </c>
      <c r="E852" s="107" t="s">
        <v>528</v>
      </c>
      <c r="F852" s="107" t="s">
        <v>503</v>
      </c>
      <c r="G852" s="161">
        <v>45354</v>
      </c>
      <c r="H852" s="107">
        <f t="shared" si="18"/>
        <v>5</v>
      </c>
    </row>
    <row r="853" spans="1:8">
      <c r="A853" s="107">
        <v>1</v>
      </c>
      <c r="B853" s="107">
        <v>12</v>
      </c>
      <c r="C853" s="107">
        <v>15</v>
      </c>
      <c r="D853" s="107">
        <v>2</v>
      </c>
      <c r="E853" s="107" t="s">
        <v>528</v>
      </c>
      <c r="F853" s="107" t="s">
        <v>503</v>
      </c>
      <c r="G853" s="161">
        <v>45353</v>
      </c>
      <c r="H853" s="107">
        <f t="shared" si="18"/>
        <v>4</v>
      </c>
    </row>
    <row r="854" spans="1:8">
      <c r="A854" s="107">
        <v>1</v>
      </c>
      <c r="B854" s="107">
        <v>12</v>
      </c>
      <c r="C854" s="107">
        <v>15</v>
      </c>
      <c r="D854" s="107">
        <v>3</v>
      </c>
      <c r="E854" s="107" t="s">
        <v>528</v>
      </c>
      <c r="F854" s="107" t="s">
        <v>503</v>
      </c>
      <c r="G854" s="161">
        <v>45353</v>
      </c>
      <c r="H854" s="107">
        <f t="shared" si="18"/>
        <v>4</v>
      </c>
    </row>
    <row r="855" spans="1:8">
      <c r="A855" s="107">
        <v>1</v>
      </c>
      <c r="B855" s="107">
        <v>12</v>
      </c>
      <c r="C855" s="107">
        <v>15</v>
      </c>
      <c r="D855" s="107">
        <v>4</v>
      </c>
      <c r="E855" s="107" t="s">
        <v>528</v>
      </c>
      <c r="F855" s="107" t="s">
        <v>503</v>
      </c>
      <c r="G855" s="161">
        <v>45353</v>
      </c>
      <c r="H855" s="107">
        <f t="shared" si="18"/>
        <v>4</v>
      </c>
    </row>
    <row r="856" spans="1:8">
      <c r="A856" s="107">
        <v>1</v>
      </c>
      <c r="B856" s="107">
        <v>12</v>
      </c>
      <c r="C856" s="107">
        <v>16</v>
      </c>
      <c r="D856" s="107">
        <v>1</v>
      </c>
      <c r="E856" s="107" t="s">
        <v>535</v>
      </c>
      <c r="F856" s="107" t="s">
        <v>536</v>
      </c>
      <c r="G856" s="161">
        <v>45354</v>
      </c>
      <c r="H856" s="107">
        <f t="shared" si="18"/>
        <v>5</v>
      </c>
    </row>
    <row r="857" spans="1:8">
      <c r="A857" s="107">
        <v>1</v>
      </c>
      <c r="B857" s="107">
        <v>12</v>
      </c>
      <c r="C857" s="107">
        <v>16</v>
      </c>
      <c r="D857" s="107">
        <v>2</v>
      </c>
      <c r="E857" s="107" t="s">
        <v>535</v>
      </c>
      <c r="F857" s="107" t="s">
        <v>536</v>
      </c>
      <c r="G857" s="161">
        <v>45354</v>
      </c>
      <c r="H857" s="107">
        <f t="shared" si="18"/>
        <v>5</v>
      </c>
    </row>
    <row r="858" spans="1:8">
      <c r="A858" s="107">
        <v>1</v>
      </c>
      <c r="B858" s="107">
        <v>12</v>
      </c>
      <c r="C858" s="107">
        <v>16</v>
      </c>
      <c r="D858" s="107">
        <v>3</v>
      </c>
      <c r="E858" s="107" t="s">
        <v>535</v>
      </c>
      <c r="F858" s="107" t="s">
        <v>536</v>
      </c>
      <c r="G858" s="161">
        <v>45353</v>
      </c>
      <c r="H858" s="107">
        <f t="shared" si="18"/>
        <v>4</v>
      </c>
    </row>
    <row r="859" spans="1:8">
      <c r="A859" s="107">
        <v>1</v>
      </c>
      <c r="B859" s="107">
        <v>12</v>
      </c>
      <c r="C859" s="107">
        <v>16</v>
      </c>
      <c r="D859" s="107">
        <v>4</v>
      </c>
      <c r="E859" s="107" t="s">
        <v>535</v>
      </c>
      <c r="F859" s="107" t="s">
        <v>536</v>
      </c>
      <c r="G859" s="161">
        <v>45354</v>
      </c>
      <c r="H859" s="107">
        <f t="shared" si="18"/>
        <v>5</v>
      </c>
    </row>
    <row r="860" spans="1:8">
      <c r="A860" s="107">
        <v>1</v>
      </c>
      <c r="B860" s="107">
        <v>12</v>
      </c>
      <c r="C860" s="107">
        <v>17</v>
      </c>
      <c r="D860" s="107">
        <v>1</v>
      </c>
      <c r="E860" s="107" t="s">
        <v>520</v>
      </c>
      <c r="F860" s="107" t="s">
        <v>503</v>
      </c>
      <c r="G860" s="161">
        <v>45354</v>
      </c>
      <c r="H860" s="107">
        <f t="shared" si="18"/>
        <v>5</v>
      </c>
    </row>
    <row r="861" spans="1:8">
      <c r="A861" s="107">
        <v>1</v>
      </c>
      <c r="B861" s="107">
        <v>12</v>
      </c>
      <c r="C861" s="107">
        <v>17</v>
      </c>
      <c r="D861" s="107">
        <v>2</v>
      </c>
      <c r="E861" s="107" t="s">
        <v>520</v>
      </c>
      <c r="F861" s="107" t="s">
        <v>503</v>
      </c>
      <c r="G861" s="161">
        <v>45353</v>
      </c>
      <c r="H861" s="107">
        <f t="shared" si="18"/>
        <v>4</v>
      </c>
    </row>
    <row r="862" spans="1:8">
      <c r="A862" s="107">
        <v>1</v>
      </c>
      <c r="B862" s="107">
        <v>12</v>
      </c>
      <c r="C862" s="107">
        <v>17</v>
      </c>
      <c r="D862" s="107">
        <v>3</v>
      </c>
      <c r="E862" s="107" t="s">
        <v>520</v>
      </c>
      <c r="F862" s="107" t="s">
        <v>503</v>
      </c>
      <c r="G862" s="161">
        <v>45353</v>
      </c>
      <c r="H862" s="107">
        <f t="shared" si="18"/>
        <v>4</v>
      </c>
    </row>
    <row r="863" spans="1:8">
      <c r="A863" s="107">
        <v>1</v>
      </c>
      <c r="B863" s="107">
        <v>12</v>
      </c>
      <c r="C863" s="107">
        <v>17</v>
      </c>
      <c r="D863" s="107">
        <v>4</v>
      </c>
      <c r="E863" s="107" t="s">
        <v>520</v>
      </c>
      <c r="F863" s="107" t="s">
        <v>503</v>
      </c>
      <c r="G863" s="161">
        <v>45353</v>
      </c>
      <c r="H863" s="107">
        <f t="shared" si="18"/>
        <v>4</v>
      </c>
    </row>
    <row r="864" spans="1:8">
      <c r="A864" s="107">
        <v>1</v>
      </c>
      <c r="B864" s="107">
        <v>12</v>
      </c>
      <c r="C864" s="107">
        <v>18</v>
      </c>
      <c r="D864" s="107">
        <v>1</v>
      </c>
      <c r="E864" s="107" t="s">
        <v>537</v>
      </c>
      <c r="F864" s="107" t="s">
        <v>534</v>
      </c>
      <c r="G864" s="161">
        <v>45354</v>
      </c>
      <c r="H864" s="107">
        <f t="shared" si="18"/>
        <v>5</v>
      </c>
    </row>
    <row r="865" spans="1:8">
      <c r="A865" s="107">
        <v>1</v>
      </c>
      <c r="B865" s="107">
        <v>12</v>
      </c>
      <c r="C865" s="107">
        <v>18</v>
      </c>
      <c r="D865" s="107">
        <v>2</v>
      </c>
      <c r="E865" s="107" t="s">
        <v>537</v>
      </c>
      <c r="F865" s="107" t="s">
        <v>534</v>
      </c>
      <c r="G865" s="161">
        <v>45354</v>
      </c>
      <c r="H865" s="107">
        <f t="shared" si="18"/>
        <v>5</v>
      </c>
    </row>
    <row r="866" spans="1:8">
      <c r="A866" s="107">
        <v>1</v>
      </c>
      <c r="B866" s="107">
        <v>12</v>
      </c>
      <c r="C866" s="107">
        <v>18</v>
      </c>
      <c r="D866" s="107">
        <v>3</v>
      </c>
      <c r="E866" s="107" t="s">
        <v>537</v>
      </c>
      <c r="F866" s="107" t="s">
        <v>534</v>
      </c>
      <c r="G866" s="161">
        <v>45354</v>
      </c>
      <c r="H866" s="107">
        <f t="shared" si="18"/>
        <v>5</v>
      </c>
    </row>
    <row r="867" spans="1:8">
      <c r="A867" s="107">
        <v>1</v>
      </c>
      <c r="B867" s="107">
        <v>12</v>
      </c>
      <c r="C867" s="107">
        <v>18</v>
      </c>
      <c r="D867" s="107">
        <v>4</v>
      </c>
      <c r="E867" s="107" t="s">
        <v>537</v>
      </c>
      <c r="F867" s="107" t="s">
        <v>534</v>
      </c>
      <c r="G867" s="161">
        <v>45353</v>
      </c>
      <c r="H867" s="107">
        <f t="shared" si="18"/>
        <v>4</v>
      </c>
    </row>
    <row r="868" spans="1:8">
      <c r="A868" s="107">
        <v>1</v>
      </c>
      <c r="B868" s="107">
        <v>13</v>
      </c>
      <c r="C868" s="107">
        <v>1</v>
      </c>
      <c r="D868" s="107">
        <v>1</v>
      </c>
      <c r="E868" s="107" t="s">
        <v>543</v>
      </c>
      <c r="F868" s="107" t="s">
        <v>539</v>
      </c>
      <c r="G868" s="161">
        <v>45354</v>
      </c>
      <c r="H868" s="107">
        <f t="shared" si="18"/>
        <v>5</v>
      </c>
    </row>
    <row r="869" spans="1:8">
      <c r="A869" s="107">
        <v>1</v>
      </c>
      <c r="B869" s="107">
        <v>13</v>
      </c>
      <c r="C869" s="107">
        <v>1</v>
      </c>
      <c r="D869" s="107">
        <v>2</v>
      </c>
      <c r="E869" s="107" t="s">
        <v>543</v>
      </c>
      <c r="F869" s="107" t="s">
        <v>539</v>
      </c>
      <c r="G869" s="161">
        <v>45354</v>
      </c>
      <c r="H869" s="107">
        <f t="shared" si="18"/>
        <v>5</v>
      </c>
    </row>
    <row r="870" spans="1:8">
      <c r="A870" s="107">
        <v>1</v>
      </c>
      <c r="B870" s="107">
        <v>13</v>
      </c>
      <c r="C870" s="107">
        <v>1</v>
      </c>
      <c r="D870" s="107">
        <v>3</v>
      </c>
      <c r="E870" s="107" t="s">
        <v>543</v>
      </c>
      <c r="F870" s="107" t="s">
        <v>539</v>
      </c>
      <c r="G870" s="161">
        <v>45354</v>
      </c>
      <c r="H870" s="107">
        <f t="shared" si="18"/>
        <v>5</v>
      </c>
    </row>
    <row r="871" spans="1:8">
      <c r="A871" s="107">
        <v>1</v>
      </c>
      <c r="B871" s="107">
        <v>13</v>
      </c>
      <c r="C871" s="107">
        <v>1</v>
      </c>
      <c r="D871" s="107">
        <v>4</v>
      </c>
      <c r="E871" s="107" t="s">
        <v>543</v>
      </c>
      <c r="F871" s="107" t="s">
        <v>539</v>
      </c>
      <c r="G871" s="161">
        <v>45354</v>
      </c>
      <c r="H871" s="107">
        <f t="shared" si="18"/>
        <v>5</v>
      </c>
    </row>
    <row r="872" spans="1:8">
      <c r="A872" s="107">
        <v>1</v>
      </c>
      <c r="B872" s="107">
        <v>13</v>
      </c>
      <c r="C872" s="107">
        <v>2</v>
      </c>
      <c r="D872" s="107">
        <v>1</v>
      </c>
      <c r="E872" s="107" t="s">
        <v>566</v>
      </c>
      <c r="F872" s="107" t="s">
        <v>567</v>
      </c>
      <c r="G872" s="107"/>
      <c r="H872" s="107"/>
    </row>
    <row r="873" spans="1:8">
      <c r="A873" s="107">
        <v>1</v>
      </c>
      <c r="B873" s="107">
        <v>13</v>
      </c>
      <c r="C873" s="107">
        <v>2</v>
      </c>
      <c r="D873" s="107">
        <v>2</v>
      </c>
      <c r="E873" s="107" t="s">
        <v>566</v>
      </c>
      <c r="F873" s="107" t="s">
        <v>567</v>
      </c>
      <c r="G873" s="161">
        <v>45355</v>
      </c>
      <c r="H873" s="107">
        <f t="shared" si="18"/>
        <v>6</v>
      </c>
    </row>
    <row r="874" spans="1:8">
      <c r="A874" s="107">
        <v>1</v>
      </c>
      <c r="B874" s="107">
        <v>13</v>
      </c>
      <c r="C874" s="107">
        <v>2</v>
      </c>
      <c r="D874" s="107">
        <v>3</v>
      </c>
      <c r="E874" s="107" t="s">
        <v>566</v>
      </c>
      <c r="F874" s="107" t="s">
        <v>567</v>
      </c>
      <c r="G874" s="161">
        <v>45354</v>
      </c>
      <c r="H874" s="107">
        <f t="shared" si="18"/>
        <v>5</v>
      </c>
    </row>
    <row r="875" spans="1:8">
      <c r="A875" s="107">
        <v>1</v>
      </c>
      <c r="B875" s="107">
        <v>13</v>
      </c>
      <c r="C875" s="107">
        <v>2</v>
      </c>
      <c r="D875" s="107">
        <v>4</v>
      </c>
      <c r="E875" s="107" t="s">
        <v>566</v>
      </c>
      <c r="F875" s="107" t="s">
        <v>567</v>
      </c>
      <c r="G875" s="107"/>
      <c r="H875" s="107"/>
    </row>
    <row r="876" spans="1:8">
      <c r="A876" s="107">
        <v>1</v>
      </c>
      <c r="B876" s="107">
        <v>13</v>
      </c>
      <c r="C876" s="107">
        <v>3</v>
      </c>
      <c r="D876" s="107">
        <v>1</v>
      </c>
      <c r="E876" s="107" t="s">
        <v>546</v>
      </c>
      <c r="F876" s="107" t="s">
        <v>547</v>
      </c>
      <c r="G876" s="161">
        <v>45354</v>
      </c>
      <c r="H876" s="107">
        <f t="shared" si="18"/>
        <v>5</v>
      </c>
    </row>
    <row r="877" spans="1:8">
      <c r="A877" s="107">
        <v>1</v>
      </c>
      <c r="B877" s="107">
        <v>13</v>
      </c>
      <c r="C877" s="107">
        <v>3</v>
      </c>
      <c r="D877" s="107">
        <v>2</v>
      </c>
      <c r="E877" s="107" t="s">
        <v>546</v>
      </c>
      <c r="F877" s="107" t="s">
        <v>547</v>
      </c>
      <c r="G877" s="161">
        <v>45354</v>
      </c>
      <c r="H877" s="107">
        <f t="shared" si="18"/>
        <v>5</v>
      </c>
    </row>
    <row r="878" spans="1:8">
      <c r="A878" s="107">
        <v>1</v>
      </c>
      <c r="B878" s="107">
        <v>13</v>
      </c>
      <c r="C878" s="107">
        <v>3</v>
      </c>
      <c r="D878" s="107">
        <v>3</v>
      </c>
      <c r="E878" s="107" t="s">
        <v>546</v>
      </c>
      <c r="F878" s="107" t="s">
        <v>547</v>
      </c>
      <c r="G878" s="161">
        <v>45354</v>
      </c>
      <c r="H878" s="107">
        <f t="shared" si="18"/>
        <v>5</v>
      </c>
    </row>
    <row r="879" spans="1:8">
      <c r="A879" s="107">
        <v>1</v>
      </c>
      <c r="B879" s="107">
        <v>13</v>
      </c>
      <c r="C879" s="107">
        <v>3</v>
      </c>
      <c r="D879" s="107">
        <v>4</v>
      </c>
      <c r="E879" s="107" t="s">
        <v>546</v>
      </c>
      <c r="F879" s="107" t="s">
        <v>547</v>
      </c>
      <c r="G879" s="161">
        <v>45355</v>
      </c>
      <c r="H879" s="107">
        <f t="shared" si="18"/>
        <v>6</v>
      </c>
    </row>
    <row r="880" spans="1:8">
      <c r="A880" s="107">
        <v>1</v>
      </c>
      <c r="B880" s="107">
        <v>13</v>
      </c>
      <c r="C880" s="107">
        <v>4</v>
      </c>
      <c r="D880" s="107">
        <v>1</v>
      </c>
      <c r="E880" s="107" t="s">
        <v>544</v>
      </c>
      <c r="F880" s="107" t="s">
        <v>545</v>
      </c>
      <c r="G880" s="161">
        <v>45353</v>
      </c>
      <c r="H880" s="107">
        <f t="shared" si="18"/>
        <v>4</v>
      </c>
    </row>
    <row r="881" spans="1:8">
      <c r="A881" s="107">
        <v>1</v>
      </c>
      <c r="B881" s="107">
        <v>13</v>
      </c>
      <c r="C881" s="107">
        <v>4</v>
      </c>
      <c r="D881" s="107">
        <v>2</v>
      </c>
      <c r="E881" s="107" t="s">
        <v>544</v>
      </c>
      <c r="F881" s="107" t="s">
        <v>545</v>
      </c>
      <c r="G881" s="161">
        <v>45354</v>
      </c>
      <c r="H881" s="107">
        <f t="shared" si="18"/>
        <v>5</v>
      </c>
    </row>
    <row r="882" spans="1:8">
      <c r="A882" s="107">
        <v>1</v>
      </c>
      <c r="B882" s="107">
        <v>13</v>
      </c>
      <c r="C882" s="107">
        <v>4</v>
      </c>
      <c r="D882" s="107">
        <v>3</v>
      </c>
      <c r="E882" s="107" t="s">
        <v>544</v>
      </c>
      <c r="F882" s="107" t="s">
        <v>545</v>
      </c>
      <c r="G882" s="161">
        <v>45354</v>
      </c>
      <c r="H882" s="107">
        <f t="shared" si="18"/>
        <v>5</v>
      </c>
    </row>
    <row r="883" spans="1:8">
      <c r="A883" s="107">
        <v>1</v>
      </c>
      <c r="B883" s="107">
        <v>13</v>
      </c>
      <c r="C883" s="107">
        <v>4</v>
      </c>
      <c r="D883" s="107">
        <v>4</v>
      </c>
      <c r="E883" s="107" t="s">
        <v>544</v>
      </c>
      <c r="F883" s="107" t="s">
        <v>545</v>
      </c>
      <c r="G883" s="161">
        <v>45354</v>
      </c>
      <c r="H883" s="107">
        <f t="shared" si="18"/>
        <v>5</v>
      </c>
    </row>
    <row r="884" spans="1:8">
      <c r="A884" s="107">
        <v>1</v>
      </c>
      <c r="B884" s="107">
        <v>13</v>
      </c>
      <c r="C884" s="107">
        <v>5</v>
      </c>
      <c r="D884" s="107">
        <v>1</v>
      </c>
      <c r="E884" s="107" t="s">
        <v>572</v>
      </c>
      <c r="F884" s="107" t="s">
        <v>573</v>
      </c>
      <c r="G884" s="107"/>
      <c r="H884" s="107"/>
    </row>
    <row r="885" spans="1:8">
      <c r="A885" s="107">
        <v>1</v>
      </c>
      <c r="B885" s="107">
        <v>13</v>
      </c>
      <c r="C885" s="107">
        <v>5</v>
      </c>
      <c r="D885" s="107">
        <v>2</v>
      </c>
      <c r="E885" s="107" t="s">
        <v>572</v>
      </c>
      <c r="F885" s="107" t="s">
        <v>573</v>
      </c>
      <c r="G885" s="161">
        <v>45355</v>
      </c>
      <c r="H885" s="107">
        <f t="shared" si="18"/>
        <v>6</v>
      </c>
    </row>
    <row r="886" spans="1:8">
      <c r="A886" s="107">
        <v>1</v>
      </c>
      <c r="B886" s="107">
        <v>13</v>
      </c>
      <c r="C886" s="107">
        <v>5</v>
      </c>
      <c r="D886" s="107">
        <v>3</v>
      </c>
      <c r="E886" s="107" t="s">
        <v>572</v>
      </c>
      <c r="F886" s="107" t="s">
        <v>573</v>
      </c>
      <c r="G886" s="161">
        <v>45355</v>
      </c>
      <c r="H886" s="107">
        <f t="shared" si="18"/>
        <v>6</v>
      </c>
    </row>
    <row r="887" spans="1:8">
      <c r="A887" s="107">
        <v>1</v>
      </c>
      <c r="B887" s="107">
        <v>13</v>
      </c>
      <c r="C887" s="107">
        <v>5</v>
      </c>
      <c r="D887" s="107">
        <v>4</v>
      </c>
      <c r="E887" s="107" t="s">
        <v>572</v>
      </c>
      <c r="F887" s="107" t="s">
        <v>573</v>
      </c>
      <c r="G887" s="161">
        <v>45354</v>
      </c>
      <c r="H887" s="107">
        <f t="shared" si="18"/>
        <v>5</v>
      </c>
    </row>
    <row r="888" spans="1:8">
      <c r="A888" s="107">
        <v>1</v>
      </c>
      <c r="B888" s="107">
        <v>13</v>
      </c>
      <c r="C888" s="107">
        <v>6</v>
      </c>
      <c r="D888" s="107">
        <v>1</v>
      </c>
      <c r="E888" s="107" t="s">
        <v>553</v>
      </c>
      <c r="F888" s="107" t="s">
        <v>547</v>
      </c>
      <c r="G888" s="161">
        <v>45354</v>
      </c>
      <c r="H888" s="107">
        <f t="shared" si="18"/>
        <v>5</v>
      </c>
    </row>
    <row r="889" spans="1:8">
      <c r="A889" s="107">
        <v>1</v>
      </c>
      <c r="B889" s="107">
        <v>13</v>
      </c>
      <c r="C889" s="107">
        <v>6</v>
      </c>
      <c r="D889" s="107">
        <v>2</v>
      </c>
      <c r="E889" s="107" t="s">
        <v>553</v>
      </c>
      <c r="F889" s="107" t="s">
        <v>547</v>
      </c>
      <c r="G889" s="161">
        <v>45354</v>
      </c>
      <c r="H889" s="107">
        <f t="shared" si="18"/>
        <v>5</v>
      </c>
    </row>
    <row r="890" spans="1:8">
      <c r="A890" s="107">
        <v>1</v>
      </c>
      <c r="B890" s="107">
        <v>13</v>
      </c>
      <c r="C890" s="107">
        <v>6</v>
      </c>
      <c r="D890" s="107">
        <v>3</v>
      </c>
      <c r="E890" s="107" t="s">
        <v>553</v>
      </c>
      <c r="F890" s="107" t="s">
        <v>547</v>
      </c>
      <c r="G890" s="161">
        <v>45354</v>
      </c>
      <c r="H890" s="107">
        <f t="shared" si="18"/>
        <v>5</v>
      </c>
    </row>
    <row r="891" spans="1:8">
      <c r="A891" s="107">
        <v>1</v>
      </c>
      <c r="B891" s="107">
        <v>13</v>
      </c>
      <c r="C891" s="107">
        <v>6</v>
      </c>
      <c r="D891" s="107">
        <v>4</v>
      </c>
      <c r="E891" s="107" t="s">
        <v>553</v>
      </c>
      <c r="F891" s="107" t="s">
        <v>547</v>
      </c>
      <c r="G891" s="161">
        <v>45354</v>
      </c>
      <c r="H891" s="107">
        <f t="shared" si="18"/>
        <v>5</v>
      </c>
    </row>
    <row r="892" spans="1:8">
      <c r="A892" s="107">
        <v>1</v>
      </c>
      <c r="B892" s="107">
        <v>13</v>
      </c>
      <c r="C892" s="107">
        <v>7</v>
      </c>
      <c r="D892" s="107">
        <v>1</v>
      </c>
      <c r="E892" s="107" t="s">
        <v>570</v>
      </c>
      <c r="F892" s="107" t="s">
        <v>571</v>
      </c>
      <c r="G892" s="161">
        <v>45354</v>
      </c>
      <c r="H892" s="107">
        <f t="shared" si="18"/>
        <v>5</v>
      </c>
    </row>
    <row r="893" spans="1:8">
      <c r="A893" s="107">
        <v>1</v>
      </c>
      <c r="B893" s="107">
        <v>13</v>
      </c>
      <c r="C893" s="107">
        <v>7</v>
      </c>
      <c r="D893" s="107">
        <v>2</v>
      </c>
      <c r="E893" s="107" t="s">
        <v>570</v>
      </c>
      <c r="F893" s="107" t="s">
        <v>571</v>
      </c>
      <c r="G893" s="161">
        <v>45354</v>
      </c>
      <c r="H893" s="107">
        <f t="shared" si="18"/>
        <v>5</v>
      </c>
    </row>
    <row r="894" spans="1:8">
      <c r="A894" s="107">
        <v>1</v>
      </c>
      <c r="B894" s="107">
        <v>13</v>
      </c>
      <c r="C894" s="107">
        <v>7</v>
      </c>
      <c r="D894" s="107">
        <v>3</v>
      </c>
      <c r="E894" s="107" t="s">
        <v>570</v>
      </c>
      <c r="F894" s="107" t="s">
        <v>571</v>
      </c>
      <c r="G894" s="161">
        <v>45354</v>
      </c>
      <c r="H894" s="107">
        <f t="shared" si="18"/>
        <v>5</v>
      </c>
    </row>
    <row r="895" spans="1:8">
      <c r="A895" s="107">
        <v>1</v>
      </c>
      <c r="B895" s="107">
        <v>13</v>
      </c>
      <c r="C895" s="107">
        <v>7</v>
      </c>
      <c r="D895" s="107">
        <v>4</v>
      </c>
      <c r="E895" s="107" t="s">
        <v>570</v>
      </c>
      <c r="F895" s="107" t="s">
        <v>571</v>
      </c>
      <c r="G895" s="161">
        <v>45354</v>
      </c>
      <c r="H895" s="107">
        <f t="shared" si="18"/>
        <v>5</v>
      </c>
    </row>
    <row r="896" spans="1:8">
      <c r="A896" s="107">
        <v>1</v>
      </c>
      <c r="B896" s="107">
        <v>13</v>
      </c>
      <c r="C896" s="107">
        <v>8</v>
      </c>
      <c r="D896" s="107">
        <v>1</v>
      </c>
      <c r="E896" s="107" t="s">
        <v>548</v>
      </c>
      <c r="F896" s="107" t="s">
        <v>549</v>
      </c>
      <c r="G896" s="161">
        <v>45354</v>
      </c>
      <c r="H896" s="107">
        <f t="shared" si="18"/>
        <v>5</v>
      </c>
    </row>
    <row r="897" spans="1:8">
      <c r="A897" s="107">
        <v>1</v>
      </c>
      <c r="B897" s="107">
        <v>13</v>
      </c>
      <c r="C897" s="107">
        <v>8</v>
      </c>
      <c r="D897" s="107">
        <v>2</v>
      </c>
      <c r="E897" s="107" t="s">
        <v>548</v>
      </c>
      <c r="F897" s="107" t="s">
        <v>549</v>
      </c>
      <c r="G897" s="161">
        <v>45353</v>
      </c>
      <c r="H897" s="107">
        <f t="shared" si="18"/>
        <v>4</v>
      </c>
    </row>
    <row r="898" spans="1:8">
      <c r="A898" s="107">
        <v>1</v>
      </c>
      <c r="B898" s="107">
        <v>13</v>
      </c>
      <c r="C898" s="107">
        <v>8</v>
      </c>
      <c r="D898" s="107">
        <v>3</v>
      </c>
      <c r="E898" s="107" t="s">
        <v>548</v>
      </c>
      <c r="F898" s="107" t="s">
        <v>549</v>
      </c>
      <c r="G898" s="161">
        <v>45354</v>
      </c>
      <c r="H898" s="107">
        <f t="shared" si="18"/>
        <v>5</v>
      </c>
    </row>
    <row r="899" spans="1:8">
      <c r="A899" s="107">
        <v>1</v>
      </c>
      <c r="B899" s="107">
        <v>13</v>
      </c>
      <c r="C899" s="107">
        <v>8</v>
      </c>
      <c r="D899" s="107">
        <v>4</v>
      </c>
      <c r="E899" s="107" t="s">
        <v>548</v>
      </c>
      <c r="F899" s="107" t="s">
        <v>549</v>
      </c>
      <c r="G899" s="161">
        <v>45354</v>
      </c>
      <c r="H899" s="107">
        <f t="shared" si="18"/>
        <v>5</v>
      </c>
    </row>
    <row r="900" spans="1:8">
      <c r="A900" s="107">
        <v>1</v>
      </c>
      <c r="B900" s="107">
        <v>13</v>
      </c>
      <c r="C900" s="107">
        <v>9</v>
      </c>
      <c r="D900" s="107">
        <v>1</v>
      </c>
      <c r="E900" s="107" t="s">
        <v>574</v>
      </c>
      <c r="F900" s="107" t="s">
        <v>575</v>
      </c>
      <c r="G900" s="161">
        <v>45355</v>
      </c>
      <c r="H900" s="107">
        <f t="shared" si="18"/>
        <v>6</v>
      </c>
    </row>
    <row r="901" spans="1:8">
      <c r="A901" s="107">
        <v>1</v>
      </c>
      <c r="B901" s="107">
        <v>13</v>
      </c>
      <c r="C901" s="107">
        <v>9</v>
      </c>
      <c r="D901" s="107">
        <v>2</v>
      </c>
      <c r="E901" s="107" t="s">
        <v>574</v>
      </c>
      <c r="F901" s="107" t="s">
        <v>575</v>
      </c>
      <c r="G901" s="161">
        <v>45354</v>
      </c>
      <c r="H901" s="107">
        <f t="shared" ref="H901:H964" si="19">DATEDIF($H$2,G901,"d")</f>
        <v>5</v>
      </c>
    </row>
    <row r="902" spans="1:8">
      <c r="A902" s="107">
        <v>1</v>
      </c>
      <c r="B902" s="107">
        <v>13</v>
      </c>
      <c r="C902" s="107">
        <v>9</v>
      </c>
      <c r="D902" s="107">
        <v>3</v>
      </c>
      <c r="E902" s="107" t="s">
        <v>574</v>
      </c>
      <c r="F902" s="107" t="s">
        <v>575</v>
      </c>
      <c r="G902" s="161">
        <v>45354</v>
      </c>
      <c r="H902" s="107">
        <f t="shared" si="19"/>
        <v>5</v>
      </c>
    </row>
    <row r="903" spans="1:8">
      <c r="A903" s="107">
        <v>1</v>
      </c>
      <c r="B903" s="107">
        <v>13</v>
      </c>
      <c r="C903" s="107">
        <v>9</v>
      </c>
      <c r="D903" s="107">
        <v>4</v>
      </c>
      <c r="E903" s="107" t="s">
        <v>574</v>
      </c>
      <c r="F903" s="107" t="s">
        <v>575</v>
      </c>
      <c r="G903" s="161">
        <v>45355</v>
      </c>
      <c r="H903" s="107">
        <f t="shared" si="19"/>
        <v>6</v>
      </c>
    </row>
    <row r="904" spans="1:8">
      <c r="A904" s="107">
        <v>1</v>
      </c>
      <c r="B904" s="107">
        <v>13</v>
      </c>
      <c r="C904" s="107">
        <v>10</v>
      </c>
      <c r="D904" s="107">
        <v>1</v>
      </c>
      <c r="E904" s="107" t="s">
        <v>568</v>
      </c>
      <c r="F904" s="107" t="s">
        <v>569</v>
      </c>
      <c r="G904" s="161">
        <v>45354</v>
      </c>
      <c r="H904" s="107">
        <f t="shared" si="19"/>
        <v>5</v>
      </c>
    </row>
    <row r="905" spans="1:8">
      <c r="A905" s="107">
        <v>1</v>
      </c>
      <c r="B905" s="107">
        <v>13</v>
      </c>
      <c r="C905" s="107">
        <v>10</v>
      </c>
      <c r="D905" s="107">
        <v>2</v>
      </c>
      <c r="E905" s="107" t="s">
        <v>568</v>
      </c>
      <c r="F905" s="107" t="s">
        <v>569</v>
      </c>
      <c r="G905" s="161">
        <v>45355</v>
      </c>
      <c r="H905" s="107">
        <f t="shared" si="19"/>
        <v>6</v>
      </c>
    </row>
    <row r="906" spans="1:8">
      <c r="A906" s="107">
        <v>1</v>
      </c>
      <c r="B906" s="107">
        <v>13</v>
      </c>
      <c r="C906" s="107">
        <v>10</v>
      </c>
      <c r="D906" s="107">
        <v>3</v>
      </c>
      <c r="E906" s="107" t="s">
        <v>568</v>
      </c>
      <c r="F906" s="107" t="s">
        <v>569</v>
      </c>
      <c r="G906" s="161">
        <v>45354</v>
      </c>
      <c r="H906" s="107">
        <f t="shared" si="19"/>
        <v>5</v>
      </c>
    </row>
    <row r="907" spans="1:8">
      <c r="A907" s="107">
        <v>1</v>
      </c>
      <c r="B907" s="107">
        <v>13</v>
      </c>
      <c r="C907" s="107">
        <v>10</v>
      </c>
      <c r="D907" s="107">
        <v>4</v>
      </c>
      <c r="E907" s="107" t="s">
        <v>568</v>
      </c>
      <c r="F907" s="107" t="s">
        <v>569</v>
      </c>
      <c r="G907" s="161">
        <v>45354</v>
      </c>
      <c r="H907" s="107">
        <f t="shared" si="19"/>
        <v>5</v>
      </c>
    </row>
    <row r="908" spans="1:8">
      <c r="A908" s="107">
        <v>1</v>
      </c>
      <c r="B908" s="107">
        <v>13</v>
      </c>
      <c r="C908" s="107">
        <v>11</v>
      </c>
      <c r="D908" s="107">
        <v>1</v>
      </c>
      <c r="E908" s="107" t="s">
        <v>554</v>
      </c>
      <c r="F908" s="107" t="s">
        <v>555</v>
      </c>
      <c r="G908" s="161">
        <v>45355</v>
      </c>
      <c r="H908" s="107">
        <f t="shared" si="19"/>
        <v>6</v>
      </c>
    </row>
    <row r="909" spans="1:8">
      <c r="A909" s="107">
        <v>1</v>
      </c>
      <c r="B909" s="107">
        <v>13</v>
      </c>
      <c r="C909" s="107">
        <v>11</v>
      </c>
      <c r="D909" s="107">
        <v>2</v>
      </c>
      <c r="E909" s="107" t="s">
        <v>554</v>
      </c>
      <c r="F909" s="107" t="s">
        <v>555</v>
      </c>
      <c r="G909" s="161">
        <v>45355</v>
      </c>
      <c r="H909" s="107">
        <f t="shared" si="19"/>
        <v>6</v>
      </c>
    </row>
    <row r="910" spans="1:8">
      <c r="A910" s="107">
        <v>1</v>
      </c>
      <c r="B910" s="107">
        <v>13</v>
      </c>
      <c r="C910" s="107">
        <v>11</v>
      </c>
      <c r="D910" s="107">
        <v>3</v>
      </c>
      <c r="E910" s="107" t="s">
        <v>554</v>
      </c>
      <c r="F910" s="107" t="s">
        <v>555</v>
      </c>
      <c r="G910" s="161">
        <v>45354</v>
      </c>
      <c r="H910" s="107">
        <f t="shared" si="19"/>
        <v>5</v>
      </c>
    </row>
    <row r="911" spans="1:8">
      <c r="A911" s="107">
        <v>1</v>
      </c>
      <c r="B911" s="107">
        <v>13</v>
      </c>
      <c r="C911" s="107">
        <v>11</v>
      </c>
      <c r="D911" s="107">
        <v>4</v>
      </c>
      <c r="E911" s="107" t="s">
        <v>554</v>
      </c>
      <c r="F911" s="107" t="s">
        <v>555</v>
      </c>
      <c r="G911" s="161">
        <v>45354</v>
      </c>
      <c r="H911" s="107">
        <f t="shared" si="19"/>
        <v>5</v>
      </c>
    </row>
    <row r="912" spans="1:8">
      <c r="A912" s="107">
        <v>1</v>
      </c>
      <c r="B912" s="107">
        <v>13</v>
      </c>
      <c r="C912" s="107">
        <v>12</v>
      </c>
      <c r="D912" s="107">
        <v>1</v>
      </c>
      <c r="E912" s="107" t="s">
        <v>550</v>
      </c>
      <c r="F912" s="107" t="s">
        <v>551</v>
      </c>
      <c r="G912" s="161">
        <v>45354</v>
      </c>
      <c r="H912" s="107">
        <f t="shared" si="19"/>
        <v>5</v>
      </c>
    </row>
    <row r="913" spans="1:8">
      <c r="A913" s="107">
        <v>1</v>
      </c>
      <c r="B913" s="107">
        <v>13</v>
      </c>
      <c r="C913" s="107">
        <v>12</v>
      </c>
      <c r="D913" s="107">
        <v>2</v>
      </c>
      <c r="E913" s="107" t="s">
        <v>550</v>
      </c>
      <c r="F913" s="107" t="s">
        <v>551</v>
      </c>
      <c r="G913" s="161">
        <v>45354</v>
      </c>
      <c r="H913" s="107">
        <f t="shared" si="19"/>
        <v>5</v>
      </c>
    </row>
    <row r="914" spans="1:8">
      <c r="A914" s="107">
        <v>1</v>
      </c>
      <c r="B914" s="107">
        <v>13</v>
      </c>
      <c r="C914" s="107">
        <v>12</v>
      </c>
      <c r="D914" s="107">
        <v>3</v>
      </c>
      <c r="E914" s="107" t="s">
        <v>550</v>
      </c>
      <c r="F914" s="107" t="s">
        <v>551</v>
      </c>
      <c r="G914" s="161">
        <v>45354</v>
      </c>
      <c r="H914" s="107">
        <f t="shared" si="19"/>
        <v>5</v>
      </c>
    </row>
    <row r="915" spans="1:8">
      <c r="A915" s="107">
        <v>1</v>
      </c>
      <c r="B915" s="107">
        <v>13</v>
      </c>
      <c r="C915" s="107">
        <v>12</v>
      </c>
      <c r="D915" s="107">
        <v>4</v>
      </c>
      <c r="E915" s="107" t="s">
        <v>550</v>
      </c>
      <c r="F915" s="107" t="s">
        <v>551</v>
      </c>
      <c r="G915" s="161">
        <v>45354</v>
      </c>
      <c r="H915" s="107">
        <f t="shared" si="19"/>
        <v>5</v>
      </c>
    </row>
    <row r="916" spans="1:8">
      <c r="A916" s="107">
        <v>1</v>
      </c>
      <c r="B916" s="107">
        <v>13</v>
      </c>
      <c r="C916" s="107">
        <v>13</v>
      </c>
      <c r="D916" s="107">
        <v>1</v>
      </c>
      <c r="E916" s="107" t="s">
        <v>562</v>
      </c>
      <c r="F916" s="107" t="s">
        <v>563</v>
      </c>
      <c r="G916" s="161">
        <v>45354</v>
      </c>
      <c r="H916" s="107">
        <f t="shared" si="19"/>
        <v>5</v>
      </c>
    </row>
    <row r="917" spans="1:8">
      <c r="A917" s="107">
        <v>1</v>
      </c>
      <c r="B917" s="107">
        <v>13</v>
      </c>
      <c r="C917" s="107">
        <v>13</v>
      </c>
      <c r="D917" s="107">
        <v>2</v>
      </c>
      <c r="E917" s="107" t="s">
        <v>562</v>
      </c>
      <c r="F917" s="107" t="s">
        <v>563</v>
      </c>
      <c r="G917" s="161">
        <v>45354</v>
      </c>
      <c r="H917" s="107">
        <f t="shared" si="19"/>
        <v>5</v>
      </c>
    </row>
    <row r="918" spans="1:8">
      <c r="A918" s="107">
        <v>1</v>
      </c>
      <c r="B918" s="107">
        <v>13</v>
      </c>
      <c r="C918" s="107">
        <v>13</v>
      </c>
      <c r="D918" s="107">
        <v>3</v>
      </c>
      <c r="E918" s="107" t="s">
        <v>562</v>
      </c>
      <c r="F918" s="107" t="s">
        <v>563</v>
      </c>
      <c r="G918" s="161">
        <v>45354</v>
      </c>
      <c r="H918" s="107">
        <f t="shared" si="19"/>
        <v>5</v>
      </c>
    </row>
    <row r="919" spans="1:8">
      <c r="A919" s="107">
        <v>1</v>
      </c>
      <c r="B919" s="107">
        <v>13</v>
      </c>
      <c r="C919" s="107">
        <v>13</v>
      </c>
      <c r="D919" s="107">
        <v>4</v>
      </c>
      <c r="E919" s="107" t="s">
        <v>562</v>
      </c>
      <c r="F919" s="107" t="s">
        <v>563</v>
      </c>
      <c r="G919" s="161">
        <v>45354</v>
      </c>
      <c r="H919" s="107">
        <f t="shared" si="19"/>
        <v>5</v>
      </c>
    </row>
    <row r="920" spans="1:8">
      <c r="A920" s="107">
        <v>1</v>
      </c>
      <c r="B920" s="107">
        <v>13</v>
      </c>
      <c r="C920" s="107">
        <v>14</v>
      </c>
      <c r="D920" s="107">
        <v>1</v>
      </c>
      <c r="E920" s="107" t="s">
        <v>564</v>
      </c>
      <c r="F920" s="107" t="s">
        <v>565</v>
      </c>
      <c r="G920" s="161">
        <v>45354</v>
      </c>
      <c r="H920" s="107">
        <f t="shared" si="19"/>
        <v>5</v>
      </c>
    </row>
    <row r="921" spans="1:8">
      <c r="A921" s="107">
        <v>1</v>
      </c>
      <c r="B921" s="107">
        <v>13</v>
      </c>
      <c r="C921" s="107">
        <v>14</v>
      </c>
      <c r="D921" s="107">
        <v>2</v>
      </c>
      <c r="E921" s="107" t="s">
        <v>564</v>
      </c>
      <c r="F921" s="107" t="s">
        <v>565</v>
      </c>
      <c r="G921" s="107"/>
      <c r="H921" s="107"/>
    </row>
    <row r="922" spans="1:8">
      <c r="A922" s="107">
        <v>1</v>
      </c>
      <c r="B922" s="107">
        <v>13</v>
      </c>
      <c r="C922" s="107">
        <v>14</v>
      </c>
      <c r="D922" s="107">
        <v>3</v>
      </c>
      <c r="E922" s="107" t="s">
        <v>564</v>
      </c>
      <c r="F922" s="107" t="s">
        <v>565</v>
      </c>
      <c r="G922" s="161">
        <v>45354</v>
      </c>
      <c r="H922" s="107">
        <f t="shared" si="19"/>
        <v>5</v>
      </c>
    </row>
    <row r="923" spans="1:8">
      <c r="A923" s="107">
        <v>1</v>
      </c>
      <c r="B923" s="107">
        <v>13</v>
      </c>
      <c r="C923" s="107">
        <v>14</v>
      </c>
      <c r="D923" s="107">
        <v>4</v>
      </c>
      <c r="E923" s="107" t="s">
        <v>564</v>
      </c>
      <c r="F923" s="107" t="s">
        <v>565</v>
      </c>
      <c r="G923" s="161">
        <v>45354</v>
      </c>
      <c r="H923" s="107">
        <f t="shared" si="19"/>
        <v>5</v>
      </c>
    </row>
    <row r="924" spans="1:8">
      <c r="A924" s="107">
        <v>1</v>
      </c>
      <c r="B924" s="107">
        <v>13</v>
      </c>
      <c r="C924" s="107">
        <v>15</v>
      </c>
      <c r="D924" s="107">
        <v>1</v>
      </c>
      <c r="E924" s="107" t="s">
        <v>552</v>
      </c>
      <c r="F924" s="107" t="s">
        <v>547</v>
      </c>
      <c r="G924" s="161">
        <v>45354</v>
      </c>
      <c r="H924" s="107">
        <f t="shared" si="19"/>
        <v>5</v>
      </c>
    </row>
    <row r="925" spans="1:8">
      <c r="A925" s="107">
        <v>1</v>
      </c>
      <c r="B925" s="107">
        <v>13</v>
      </c>
      <c r="C925" s="107">
        <v>15</v>
      </c>
      <c r="D925" s="107">
        <v>2</v>
      </c>
      <c r="E925" s="107" t="s">
        <v>552</v>
      </c>
      <c r="F925" s="107" t="s">
        <v>547</v>
      </c>
      <c r="G925" s="161">
        <v>45355</v>
      </c>
      <c r="H925" s="107">
        <f t="shared" si="19"/>
        <v>6</v>
      </c>
    </row>
    <row r="926" spans="1:8">
      <c r="A926" s="107">
        <v>1</v>
      </c>
      <c r="B926" s="107">
        <v>13</v>
      </c>
      <c r="C926" s="107">
        <v>15</v>
      </c>
      <c r="D926" s="107">
        <v>3</v>
      </c>
      <c r="E926" s="107" t="s">
        <v>552</v>
      </c>
      <c r="F926" s="107" t="s">
        <v>547</v>
      </c>
      <c r="G926" s="161">
        <v>45354</v>
      </c>
      <c r="H926" s="107">
        <f t="shared" si="19"/>
        <v>5</v>
      </c>
    </row>
    <row r="927" spans="1:8">
      <c r="A927" s="107">
        <v>1</v>
      </c>
      <c r="B927" s="107">
        <v>13</v>
      </c>
      <c r="C927" s="107">
        <v>15</v>
      </c>
      <c r="D927" s="107">
        <v>4</v>
      </c>
      <c r="E927" s="107" t="s">
        <v>552</v>
      </c>
      <c r="F927" s="107" t="s">
        <v>547</v>
      </c>
      <c r="G927" s="161">
        <v>45355</v>
      </c>
      <c r="H927" s="107">
        <f t="shared" si="19"/>
        <v>6</v>
      </c>
    </row>
    <row r="928" spans="1:8">
      <c r="A928" s="107">
        <v>1</v>
      </c>
      <c r="B928" s="107">
        <v>13</v>
      </c>
      <c r="C928" s="107">
        <v>16</v>
      </c>
      <c r="D928" s="107">
        <v>1</v>
      </c>
      <c r="E928" s="107" t="s">
        <v>560</v>
      </c>
      <c r="F928" s="107" t="s">
        <v>561</v>
      </c>
      <c r="G928" s="161">
        <v>45354</v>
      </c>
      <c r="H928" s="107">
        <f t="shared" si="19"/>
        <v>5</v>
      </c>
    </row>
    <row r="929" spans="1:8">
      <c r="A929" s="107">
        <v>1</v>
      </c>
      <c r="B929" s="107">
        <v>13</v>
      </c>
      <c r="C929" s="107">
        <v>16</v>
      </c>
      <c r="D929" s="107">
        <v>2</v>
      </c>
      <c r="E929" s="107" t="s">
        <v>560</v>
      </c>
      <c r="F929" s="107" t="s">
        <v>561</v>
      </c>
      <c r="G929" s="161">
        <v>45354</v>
      </c>
      <c r="H929" s="107">
        <f t="shared" si="19"/>
        <v>5</v>
      </c>
    </row>
    <row r="930" spans="1:8">
      <c r="A930" s="107">
        <v>1</v>
      </c>
      <c r="B930" s="107">
        <v>13</v>
      </c>
      <c r="C930" s="107">
        <v>16</v>
      </c>
      <c r="D930" s="107">
        <v>3</v>
      </c>
      <c r="E930" s="107" t="s">
        <v>560</v>
      </c>
      <c r="F930" s="107" t="s">
        <v>561</v>
      </c>
      <c r="G930" s="161">
        <v>45354</v>
      </c>
      <c r="H930" s="107">
        <f t="shared" si="19"/>
        <v>5</v>
      </c>
    </row>
    <row r="931" spans="1:8">
      <c r="A931" s="107">
        <v>1</v>
      </c>
      <c r="B931" s="107">
        <v>13</v>
      </c>
      <c r="C931" s="107">
        <v>16</v>
      </c>
      <c r="D931" s="107">
        <v>4</v>
      </c>
      <c r="E931" s="107" t="s">
        <v>560</v>
      </c>
      <c r="F931" s="107" t="s">
        <v>561</v>
      </c>
      <c r="G931" s="107"/>
      <c r="H931" s="107"/>
    </row>
    <row r="932" spans="1:8">
      <c r="A932" s="107">
        <v>1</v>
      </c>
      <c r="B932" s="107">
        <v>13</v>
      </c>
      <c r="C932" s="107">
        <v>17</v>
      </c>
      <c r="D932" s="107">
        <v>1</v>
      </c>
      <c r="E932" s="107" t="s">
        <v>558</v>
      </c>
      <c r="F932" s="107" t="s">
        <v>559</v>
      </c>
      <c r="G932" s="161">
        <v>45354</v>
      </c>
      <c r="H932" s="107">
        <f t="shared" si="19"/>
        <v>5</v>
      </c>
    </row>
    <row r="933" spans="1:8">
      <c r="A933" s="107">
        <v>1</v>
      </c>
      <c r="B933" s="107">
        <v>13</v>
      </c>
      <c r="C933" s="107">
        <v>17</v>
      </c>
      <c r="D933" s="107">
        <v>2</v>
      </c>
      <c r="E933" s="107" t="s">
        <v>558</v>
      </c>
      <c r="F933" s="107" t="s">
        <v>559</v>
      </c>
      <c r="G933" s="161">
        <v>45356</v>
      </c>
      <c r="H933" s="107">
        <f t="shared" si="19"/>
        <v>7</v>
      </c>
    </row>
    <row r="934" spans="1:8">
      <c r="A934" s="107">
        <v>1</v>
      </c>
      <c r="B934" s="107">
        <v>13</v>
      </c>
      <c r="C934" s="107">
        <v>17</v>
      </c>
      <c r="D934" s="107">
        <v>3</v>
      </c>
      <c r="E934" s="107" t="s">
        <v>558</v>
      </c>
      <c r="F934" s="107" t="s">
        <v>559</v>
      </c>
      <c r="G934" s="107"/>
      <c r="H934" s="107"/>
    </row>
    <row r="935" spans="1:8">
      <c r="A935" s="107">
        <v>1</v>
      </c>
      <c r="B935" s="107">
        <v>13</v>
      </c>
      <c r="C935" s="107">
        <v>17</v>
      </c>
      <c r="D935" s="107">
        <v>4</v>
      </c>
      <c r="E935" s="107" t="s">
        <v>558</v>
      </c>
      <c r="F935" s="107" t="s">
        <v>559</v>
      </c>
      <c r="G935" s="161">
        <v>45354</v>
      </c>
      <c r="H935" s="107">
        <f t="shared" si="19"/>
        <v>5</v>
      </c>
    </row>
    <row r="936" spans="1:8">
      <c r="A936" s="107">
        <v>1</v>
      </c>
      <c r="B936" s="107">
        <v>13</v>
      </c>
      <c r="C936" s="107">
        <v>18</v>
      </c>
      <c r="D936" s="107">
        <v>1</v>
      </c>
      <c r="E936" s="107" t="s">
        <v>556</v>
      </c>
      <c r="F936" s="107" t="s">
        <v>557</v>
      </c>
      <c r="G936" s="161">
        <v>45355</v>
      </c>
      <c r="H936" s="107">
        <f t="shared" si="19"/>
        <v>6</v>
      </c>
    </row>
    <row r="937" spans="1:8">
      <c r="A937" s="107">
        <v>1</v>
      </c>
      <c r="B937" s="107">
        <v>13</v>
      </c>
      <c r="C937" s="107">
        <v>18</v>
      </c>
      <c r="D937" s="107">
        <v>2</v>
      </c>
      <c r="E937" s="107" t="s">
        <v>556</v>
      </c>
      <c r="F937" s="107" t="s">
        <v>557</v>
      </c>
      <c r="G937" s="161">
        <v>45354</v>
      </c>
      <c r="H937" s="107">
        <f t="shared" si="19"/>
        <v>5</v>
      </c>
    </row>
    <row r="938" spans="1:8">
      <c r="A938" s="107">
        <v>1</v>
      </c>
      <c r="B938" s="107">
        <v>13</v>
      </c>
      <c r="C938" s="107">
        <v>18</v>
      </c>
      <c r="D938" s="107">
        <v>3</v>
      </c>
      <c r="E938" s="107" t="s">
        <v>556</v>
      </c>
      <c r="F938" s="107" t="s">
        <v>557</v>
      </c>
      <c r="G938" s="161">
        <v>45354</v>
      </c>
      <c r="H938" s="107">
        <f t="shared" si="19"/>
        <v>5</v>
      </c>
    </row>
    <row r="939" spans="1:8">
      <c r="A939" s="107">
        <v>1</v>
      </c>
      <c r="B939" s="107">
        <v>13</v>
      </c>
      <c r="C939" s="107">
        <v>18</v>
      </c>
      <c r="D939" s="107">
        <v>4</v>
      </c>
      <c r="E939" s="107" t="s">
        <v>556</v>
      </c>
      <c r="F939" s="107" t="s">
        <v>557</v>
      </c>
      <c r="G939" s="161">
        <v>45355</v>
      </c>
      <c r="H939" s="107">
        <f t="shared" si="19"/>
        <v>6</v>
      </c>
    </row>
    <row r="940" spans="1:8">
      <c r="A940" s="107">
        <v>1</v>
      </c>
      <c r="B940" s="107">
        <v>14</v>
      </c>
      <c r="C940" s="107">
        <v>1</v>
      </c>
      <c r="D940" s="107">
        <v>1</v>
      </c>
      <c r="E940" s="107" t="s">
        <v>576</v>
      </c>
      <c r="F940" s="107" t="s">
        <v>577</v>
      </c>
      <c r="G940" s="161">
        <v>45354</v>
      </c>
      <c r="H940" s="107">
        <f t="shared" si="19"/>
        <v>5</v>
      </c>
    </row>
    <row r="941" spans="1:8">
      <c r="A941" s="107">
        <v>1</v>
      </c>
      <c r="B941" s="107">
        <v>14</v>
      </c>
      <c r="C941" s="107">
        <v>1</v>
      </c>
      <c r="D941" s="107">
        <v>2</v>
      </c>
      <c r="E941" s="107" t="s">
        <v>576</v>
      </c>
      <c r="F941" s="107" t="s">
        <v>577</v>
      </c>
      <c r="G941" s="161">
        <v>45353</v>
      </c>
      <c r="H941" s="107">
        <f t="shared" si="19"/>
        <v>4</v>
      </c>
    </row>
    <row r="942" spans="1:8">
      <c r="A942" s="107">
        <v>1</v>
      </c>
      <c r="B942" s="107">
        <v>14</v>
      </c>
      <c r="C942" s="107">
        <v>1</v>
      </c>
      <c r="D942" s="107">
        <v>3</v>
      </c>
      <c r="E942" s="107" t="s">
        <v>576</v>
      </c>
      <c r="F942" s="107" t="s">
        <v>577</v>
      </c>
      <c r="G942" s="161">
        <v>45354</v>
      </c>
      <c r="H942" s="107">
        <f t="shared" si="19"/>
        <v>5</v>
      </c>
    </row>
    <row r="943" spans="1:8">
      <c r="A943" s="107">
        <v>1</v>
      </c>
      <c r="B943" s="107">
        <v>14</v>
      </c>
      <c r="C943" s="107">
        <v>1</v>
      </c>
      <c r="D943" s="107">
        <v>4</v>
      </c>
      <c r="E943" s="107" t="s">
        <v>576</v>
      </c>
      <c r="F943" s="107" t="s">
        <v>577</v>
      </c>
      <c r="G943" s="161">
        <v>45354</v>
      </c>
      <c r="H943" s="107">
        <f t="shared" si="19"/>
        <v>5</v>
      </c>
    </row>
    <row r="944" spans="1:8">
      <c r="A944" s="107">
        <v>1</v>
      </c>
      <c r="B944" s="107">
        <v>14</v>
      </c>
      <c r="C944" s="107">
        <v>2</v>
      </c>
      <c r="D944" s="107">
        <v>1</v>
      </c>
      <c r="E944" s="107" t="s">
        <v>604</v>
      </c>
      <c r="F944" s="107" t="s">
        <v>605</v>
      </c>
      <c r="G944" s="161">
        <v>45353</v>
      </c>
      <c r="H944" s="107">
        <f t="shared" si="19"/>
        <v>4</v>
      </c>
    </row>
    <row r="945" spans="1:8">
      <c r="A945" s="107">
        <v>1</v>
      </c>
      <c r="B945" s="107">
        <v>14</v>
      </c>
      <c r="C945" s="107">
        <v>2</v>
      </c>
      <c r="D945" s="107">
        <v>2</v>
      </c>
      <c r="E945" s="107" t="s">
        <v>604</v>
      </c>
      <c r="F945" s="107" t="s">
        <v>605</v>
      </c>
      <c r="G945" s="161">
        <v>45354</v>
      </c>
      <c r="H945" s="107">
        <f t="shared" si="19"/>
        <v>5</v>
      </c>
    </row>
    <row r="946" spans="1:8">
      <c r="A946" s="107">
        <v>1</v>
      </c>
      <c r="B946" s="107">
        <v>14</v>
      </c>
      <c r="C946" s="107">
        <v>2</v>
      </c>
      <c r="D946" s="107">
        <v>3</v>
      </c>
      <c r="E946" s="107" t="s">
        <v>604</v>
      </c>
      <c r="F946" s="107" t="s">
        <v>605</v>
      </c>
      <c r="G946" s="161">
        <v>45354</v>
      </c>
      <c r="H946" s="107">
        <f t="shared" si="19"/>
        <v>5</v>
      </c>
    </row>
    <row r="947" spans="1:8">
      <c r="A947" s="107">
        <v>1</v>
      </c>
      <c r="B947" s="107">
        <v>14</v>
      </c>
      <c r="C947" s="107">
        <v>2</v>
      </c>
      <c r="D947" s="107">
        <v>4</v>
      </c>
      <c r="E947" s="107" t="s">
        <v>604</v>
      </c>
      <c r="F947" s="107" t="s">
        <v>605</v>
      </c>
      <c r="G947" s="161">
        <v>45353</v>
      </c>
      <c r="H947" s="107">
        <f t="shared" si="19"/>
        <v>4</v>
      </c>
    </row>
    <row r="948" spans="1:8">
      <c r="A948" s="107">
        <v>1</v>
      </c>
      <c r="B948" s="107">
        <v>14</v>
      </c>
      <c r="C948" s="107">
        <v>3</v>
      </c>
      <c r="D948" s="107">
        <v>1</v>
      </c>
      <c r="E948" s="107" t="s">
        <v>592</v>
      </c>
      <c r="F948" s="107" t="s">
        <v>593</v>
      </c>
      <c r="G948" s="161">
        <v>45353</v>
      </c>
      <c r="H948" s="107">
        <f t="shared" si="19"/>
        <v>4</v>
      </c>
    </row>
    <row r="949" spans="1:8">
      <c r="A949" s="107">
        <v>1</v>
      </c>
      <c r="B949" s="107">
        <v>14</v>
      </c>
      <c r="C949" s="107">
        <v>3</v>
      </c>
      <c r="D949" s="107">
        <v>2</v>
      </c>
      <c r="E949" s="107" t="s">
        <v>592</v>
      </c>
      <c r="F949" s="107" t="s">
        <v>593</v>
      </c>
      <c r="G949" s="161">
        <v>45353</v>
      </c>
      <c r="H949" s="107">
        <f t="shared" si="19"/>
        <v>4</v>
      </c>
    </row>
    <row r="950" spans="1:8">
      <c r="A950" s="107">
        <v>1</v>
      </c>
      <c r="B950" s="107">
        <v>14</v>
      </c>
      <c r="C950" s="107">
        <v>3</v>
      </c>
      <c r="D950" s="107">
        <v>3</v>
      </c>
      <c r="E950" s="107" t="s">
        <v>592</v>
      </c>
      <c r="F950" s="107" t="s">
        <v>593</v>
      </c>
      <c r="G950" s="161">
        <v>45355</v>
      </c>
      <c r="H950" s="107">
        <f t="shared" si="19"/>
        <v>6</v>
      </c>
    </row>
    <row r="951" spans="1:8">
      <c r="A951" s="107">
        <v>1</v>
      </c>
      <c r="B951" s="107">
        <v>14</v>
      </c>
      <c r="C951" s="107">
        <v>3</v>
      </c>
      <c r="D951" s="107">
        <v>4</v>
      </c>
      <c r="E951" s="107" t="s">
        <v>592</v>
      </c>
      <c r="F951" s="107" t="s">
        <v>593</v>
      </c>
      <c r="G951" s="161">
        <v>45354</v>
      </c>
      <c r="H951" s="107">
        <f t="shared" si="19"/>
        <v>5</v>
      </c>
    </row>
    <row r="952" spans="1:8">
      <c r="A952" s="107">
        <v>1</v>
      </c>
      <c r="B952" s="107">
        <v>14</v>
      </c>
      <c r="C952" s="107">
        <v>4</v>
      </c>
      <c r="D952" s="107">
        <v>1</v>
      </c>
      <c r="E952" s="107" t="s">
        <v>586</v>
      </c>
      <c r="F952" s="107" t="s">
        <v>587</v>
      </c>
      <c r="G952" s="161">
        <v>45353</v>
      </c>
      <c r="H952" s="107">
        <f t="shared" si="19"/>
        <v>4</v>
      </c>
    </row>
    <row r="953" spans="1:8">
      <c r="A953" s="107">
        <v>1</v>
      </c>
      <c r="B953" s="107">
        <v>14</v>
      </c>
      <c r="C953" s="107">
        <v>4</v>
      </c>
      <c r="D953" s="107">
        <v>2</v>
      </c>
      <c r="E953" s="107" t="s">
        <v>586</v>
      </c>
      <c r="F953" s="107" t="s">
        <v>587</v>
      </c>
      <c r="G953" s="161">
        <v>45353</v>
      </c>
      <c r="H953" s="107">
        <f t="shared" si="19"/>
        <v>4</v>
      </c>
    </row>
    <row r="954" spans="1:8">
      <c r="A954" s="107">
        <v>1</v>
      </c>
      <c r="B954" s="107">
        <v>14</v>
      </c>
      <c r="C954" s="107">
        <v>4</v>
      </c>
      <c r="D954" s="107">
        <v>3</v>
      </c>
      <c r="E954" s="107" t="s">
        <v>586</v>
      </c>
      <c r="F954" s="107" t="s">
        <v>587</v>
      </c>
      <c r="G954" s="161">
        <v>45353</v>
      </c>
      <c r="H954" s="107">
        <f t="shared" si="19"/>
        <v>4</v>
      </c>
    </row>
    <row r="955" spans="1:8">
      <c r="A955" s="107">
        <v>1</v>
      </c>
      <c r="B955" s="107">
        <v>14</v>
      </c>
      <c r="C955" s="107">
        <v>4</v>
      </c>
      <c r="D955" s="107">
        <v>4</v>
      </c>
      <c r="E955" s="107" t="s">
        <v>586</v>
      </c>
      <c r="F955" s="107" t="s">
        <v>587</v>
      </c>
      <c r="G955" s="161">
        <v>45353</v>
      </c>
      <c r="H955" s="107">
        <f t="shared" si="19"/>
        <v>4</v>
      </c>
    </row>
    <row r="956" spans="1:8">
      <c r="A956" s="107">
        <v>1</v>
      </c>
      <c r="B956" s="107">
        <v>14</v>
      </c>
      <c r="C956" s="107">
        <v>5</v>
      </c>
      <c r="D956" s="107">
        <v>1</v>
      </c>
      <c r="E956" s="107" t="s">
        <v>598</v>
      </c>
      <c r="F956" s="107" t="s">
        <v>599</v>
      </c>
      <c r="G956" s="161">
        <v>45353</v>
      </c>
      <c r="H956" s="107">
        <f t="shared" si="19"/>
        <v>4</v>
      </c>
    </row>
    <row r="957" spans="1:8">
      <c r="A957" s="107">
        <v>1</v>
      </c>
      <c r="B957" s="107">
        <v>14</v>
      </c>
      <c r="C957" s="107">
        <v>5</v>
      </c>
      <c r="D957" s="107">
        <v>2</v>
      </c>
      <c r="E957" s="107" t="s">
        <v>598</v>
      </c>
      <c r="F957" s="107" t="s">
        <v>599</v>
      </c>
      <c r="G957" s="107"/>
      <c r="H957" s="107"/>
    </row>
    <row r="958" spans="1:8">
      <c r="A958" s="107">
        <v>1</v>
      </c>
      <c r="B958" s="107">
        <v>14</v>
      </c>
      <c r="C958" s="107">
        <v>5</v>
      </c>
      <c r="D958" s="107">
        <v>3</v>
      </c>
      <c r="E958" s="107" t="s">
        <v>598</v>
      </c>
      <c r="F958" s="107" t="s">
        <v>599</v>
      </c>
      <c r="G958" s="161">
        <v>45354</v>
      </c>
      <c r="H958" s="107">
        <f t="shared" si="19"/>
        <v>5</v>
      </c>
    </row>
    <row r="959" spans="1:8">
      <c r="A959" s="107">
        <v>1</v>
      </c>
      <c r="B959" s="107">
        <v>14</v>
      </c>
      <c r="C959" s="107">
        <v>5</v>
      </c>
      <c r="D959" s="107">
        <v>4</v>
      </c>
      <c r="E959" s="107" t="s">
        <v>598</v>
      </c>
      <c r="F959" s="107" t="s">
        <v>599</v>
      </c>
      <c r="G959" s="161">
        <v>45354</v>
      </c>
      <c r="H959" s="107">
        <f t="shared" si="19"/>
        <v>5</v>
      </c>
    </row>
    <row r="960" spans="1:8">
      <c r="A960" s="107">
        <v>1</v>
      </c>
      <c r="B960" s="107">
        <v>14</v>
      </c>
      <c r="C960" s="107">
        <v>6</v>
      </c>
      <c r="D960" s="107">
        <v>1</v>
      </c>
      <c r="E960" s="107" t="s">
        <v>608</v>
      </c>
      <c r="F960" s="107" t="s">
        <v>609</v>
      </c>
      <c r="G960" s="161">
        <v>45353</v>
      </c>
      <c r="H960" s="107">
        <f t="shared" si="19"/>
        <v>4</v>
      </c>
    </row>
    <row r="961" spans="1:8">
      <c r="A961" s="107">
        <v>1</v>
      </c>
      <c r="B961" s="107">
        <v>14</v>
      </c>
      <c r="C961" s="107">
        <v>6</v>
      </c>
      <c r="D961" s="107">
        <v>2</v>
      </c>
      <c r="E961" s="107" t="s">
        <v>608</v>
      </c>
      <c r="F961" s="107" t="s">
        <v>609</v>
      </c>
      <c r="G961" s="161">
        <v>45354</v>
      </c>
      <c r="H961" s="107">
        <f t="shared" si="19"/>
        <v>5</v>
      </c>
    </row>
    <row r="962" spans="1:8">
      <c r="A962" s="107">
        <v>1</v>
      </c>
      <c r="B962" s="107">
        <v>14</v>
      </c>
      <c r="C962" s="107">
        <v>6</v>
      </c>
      <c r="D962" s="107">
        <v>3</v>
      </c>
      <c r="E962" s="107" t="s">
        <v>608</v>
      </c>
      <c r="F962" s="107" t="s">
        <v>609</v>
      </c>
      <c r="G962" s="161">
        <v>45354</v>
      </c>
      <c r="H962" s="107">
        <f t="shared" si="19"/>
        <v>5</v>
      </c>
    </row>
    <row r="963" spans="1:8">
      <c r="A963" s="107">
        <v>1</v>
      </c>
      <c r="B963" s="107">
        <v>14</v>
      </c>
      <c r="C963" s="107">
        <v>6</v>
      </c>
      <c r="D963" s="107">
        <v>4</v>
      </c>
      <c r="E963" s="107" t="s">
        <v>608</v>
      </c>
      <c r="F963" s="107" t="s">
        <v>609</v>
      </c>
      <c r="G963" s="161">
        <v>45354</v>
      </c>
      <c r="H963" s="107">
        <f t="shared" si="19"/>
        <v>5</v>
      </c>
    </row>
    <row r="964" spans="1:8">
      <c r="A964" s="107">
        <v>1</v>
      </c>
      <c r="B964" s="107">
        <v>14</v>
      </c>
      <c r="C964" s="107">
        <v>7</v>
      </c>
      <c r="D964" s="107">
        <v>1</v>
      </c>
      <c r="E964" s="107" t="s">
        <v>600</v>
      </c>
      <c r="F964" s="107" t="s">
        <v>601</v>
      </c>
      <c r="G964" s="161">
        <v>45355</v>
      </c>
      <c r="H964" s="107">
        <f t="shared" si="19"/>
        <v>6</v>
      </c>
    </row>
    <row r="965" spans="1:8">
      <c r="A965" s="107">
        <v>1</v>
      </c>
      <c r="B965" s="107">
        <v>14</v>
      </c>
      <c r="C965" s="107">
        <v>7</v>
      </c>
      <c r="D965" s="107">
        <v>2</v>
      </c>
      <c r="E965" s="107" t="s">
        <v>600</v>
      </c>
      <c r="F965" s="107" t="s">
        <v>601</v>
      </c>
      <c r="G965" s="161">
        <v>45355</v>
      </c>
      <c r="H965" s="107">
        <f t="shared" ref="H965:H1028" si="20">DATEDIF($H$2,G965,"d")</f>
        <v>6</v>
      </c>
    </row>
    <row r="966" spans="1:8">
      <c r="A966" s="107">
        <v>1</v>
      </c>
      <c r="B966" s="107">
        <v>14</v>
      </c>
      <c r="C966" s="107">
        <v>7</v>
      </c>
      <c r="D966" s="107">
        <v>3</v>
      </c>
      <c r="E966" s="107" t="s">
        <v>600</v>
      </c>
      <c r="F966" s="107" t="s">
        <v>601</v>
      </c>
      <c r="G966" s="161">
        <v>45355</v>
      </c>
      <c r="H966" s="107">
        <f t="shared" si="20"/>
        <v>6</v>
      </c>
    </row>
    <row r="967" spans="1:8">
      <c r="A967" s="107">
        <v>1</v>
      </c>
      <c r="B967" s="107">
        <v>14</v>
      </c>
      <c r="C967" s="107">
        <v>7</v>
      </c>
      <c r="D967" s="107">
        <v>4</v>
      </c>
      <c r="E967" s="107" t="s">
        <v>600</v>
      </c>
      <c r="F967" s="107" t="s">
        <v>601</v>
      </c>
      <c r="G967" s="161">
        <v>45354</v>
      </c>
      <c r="H967" s="107">
        <f t="shared" si="20"/>
        <v>5</v>
      </c>
    </row>
    <row r="968" spans="1:8">
      <c r="A968" s="107">
        <v>1</v>
      </c>
      <c r="B968" s="107">
        <v>14</v>
      </c>
      <c r="C968" s="107">
        <v>8</v>
      </c>
      <c r="D968" s="107">
        <v>1</v>
      </c>
      <c r="E968" s="107" t="s">
        <v>606</v>
      </c>
      <c r="F968" s="107" t="s">
        <v>607</v>
      </c>
      <c r="G968" s="161">
        <v>45354</v>
      </c>
      <c r="H968" s="107">
        <f t="shared" si="20"/>
        <v>5</v>
      </c>
    </row>
    <row r="969" spans="1:8">
      <c r="A969" s="107">
        <v>1</v>
      </c>
      <c r="B969" s="107">
        <v>14</v>
      </c>
      <c r="C969" s="107">
        <v>8</v>
      </c>
      <c r="D969" s="107">
        <v>2</v>
      </c>
      <c r="E969" s="107" t="s">
        <v>606</v>
      </c>
      <c r="F969" s="107" t="s">
        <v>607</v>
      </c>
      <c r="G969" s="161">
        <v>45353</v>
      </c>
      <c r="H969" s="107">
        <f t="shared" si="20"/>
        <v>4</v>
      </c>
    </row>
    <row r="970" spans="1:8">
      <c r="A970" s="107">
        <v>1</v>
      </c>
      <c r="B970" s="107">
        <v>14</v>
      </c>
      <c r="C970" s="107">
        <v>8</v>
      </c>
      <c r="D970" s="107">
        <v>3</v>
      </c>
      <c r="E970" s="107" t="s">
        <v>606</v>
      </c>
      <c r="F970" s="107" t="s">
        <v>607</v>
      </c>
      <c r="G970" s="161">
        <v>45353</v>
      </c>
      <c r="H970" s="107">
        <f t="shared" si="20"/>
        <v>4</v>
      </c>
    </row>
    <row r="971" spans="1:8">
      <c r="A971" s="107">
        <v>1</v>
      </c>
      <c r="B971" s="107">
        <v>14</v>
      </c>
      <c r="C971" s="107">
        <v>8</v>
      </c>
      <c r="D971" s="107">
        <v>4</v>
      </c>
      <c r="E971" s="107" t="s">
        <v>606</v>
      </c>
      <c r="F971" s="107" t="s">
        <v>607</v>
      </c>
      <c r="G971" s="161">
        <v>45353</v>
      </c>
      <c r="H971" s="107">
        <f t="shared" si="20"/>
        <v>4</v>
      </c>
    </row>
    <row r="972" spans="1:8">
      <c r="A972" s="107">
        <v>1</v>
      </c>
      <c r="B972" s="107">
        <v>14</v>
      </c>
      <c r="C972" s="107">
        <v>9</v>
      </c>
      <c r="D972" s="107">
        <v>1</v>
      </c>
      <c r="E972" s="107" t="s">
        <v>602</v>
      </c>
      <c r="F972" s="107" t="s">
        <v>603</v>
      </c>
      <c r="G972" s="161">
        <v>45354</v>
      </c>
      <c r="H972" s="107">
        <f t="shared" si="20"/>
        <v>5</v>
      </c>
    </row>
    <row r="973" spans="1:8">
      <c r="A973" s="107">
        <v>1</v>
      </c>
      <c r="B973" s="107">
        <v>14</v>
      </c>
      <c r="C973" s="107">
        <v>9</v>
      </c>
      <c r="D973" s="107">
        <v>2</v>
      </c>
      <c r="E973" s="107" t="s">
        <v>602</v>
      </c>
      <c r="F973" s="107" t="s">
        <v>603</v>
      </c>
      <c r="G973" s="161">
        <v>45354</v>
      </c>
      <c r="H973" s="107">
        <f t="shared" si="20"/>
        <v>5</v>
      </c>
    </row>
    <row r="974" spans="1:8">
      <c r="A974" s="107">
        <v>1</v>
      </c>
      <c r="B974" s="107">
        <v>14</v>
      </c>
      <c r="C974" s="107">
        <v>9</v>
      </c>
      <c r="D974" s="107">
        <v>3</v>
      </c>
      <c r="E974" s="107" t="s">
        <v>602</v>
      </c>
      <c r="F974" s="107" t="s">
        <v>603</v>
      </c>
      <c r="G974" s="161">
        <v>45354</v>
      </c>
      <c r="H974" s="107">
        <f t="shared" si="20"/>
        <v>5</v>
      </c>
    </row>
    <row r="975" spans="1:8">
      <c r="A975" s="107">
        <v>1</v>
      </c>
      <c r="B975" s="107">
        <v>14</v>
      </c>
      <c r="C975" s="107">
        <v>9</v>
      </c>
      <c r="D975" s="107">
        <v>4</v>
      </c>
      <c r="E975" s="107" t="s">
        <v>602</v>
      </c>
      <c r="F975" s="107" t="s">
        <v>603</v>
      </c>
      <c r="G975" s="161">
        <v>45355</v>
      </c>
      <c r="H975" s="107">
        <f t="shared" si="20"/>
        <v>6</v>
      </c>
    </row>
    <row r="976" spans="1:8">
      <c r="A976" s="107">
        <v>1</v>
      </c>
      <c r="B976" s="107">
        <v>14</v>
      </c>
      <c r="C976" s="107">
        <v>10</v>
      </c>
      <c r="D976" s="107">
        <v>1</v>
      </c>
      <c r="E976" s="107" t="s">
        <v>582</v>
      </c>
      <c r="F976" s="107" t="s">
        <v>583</v>
      </c>
      <c r="G976" s="161">
        <v>45353</v>
      </c>
      <c r="H976" s="107">
        <f t="shared" si="20"/>
        <v>4</v>
      </c>
    </row>
    <row r="977" spans="1:8">
      <c r="A977" s="107">
        <v>1</v>
      </c>
      <c r="B977" s="107">
        <v>14</v>
      </c>
      <c r="C977" s="107">
        <v>10</v>
      </c>
      <c r="D977" s="107">
        <v>2</v>
      </c>
      <c r="E977" s="107" t="s">
        <v>582</v>
      </c>
      <c r="F977" s="107" t="s">
        <v>583</v>
      </c>
      <c r="G977" s="161">
        <v>45353</v>
      </c>
      <c r="H977" s="107">
        <f t="shared" si="20"/>
        <v>4</v>
      </c>
    </row>
    <row r="978" spans="1:8">
      <c r="A978" s="107">
        <v>1</v>
      </c>
      <c r="B978" s="107">
        <v>14</v>
      </c>
      <c r="C978" s="107">
        <v>10</v>
      </c>
      <c r="D978" s="107">
        <v>3</v>
      </c>
      <c r="E978" s="107" t="s">
        <v>582</v>
      </c>
      <c r="F978" s="107" t="s">
        <v>583</v>
      </c>
      <c r="G978" s="161">
        <v>45354</v>
      </c>
      <c r="H978" s="107">
        <f t="shared" si="20"/>
        <v>5</v>
      </c>
    </row>
    <row r="979" spans="1:8">
      <c r="A979" s="107">
        <v>1</v>
      </c>
      <c r="B979" s="107">
        <v>14</v>
      </c>
      <c r="C979" s="107">
        <v>10</v>
      </c>
      <c r="D979" s="107">
        <v>4</v>
      </c>
      <c r="E979" s="107" t="s">
        <v>582</v>
      </c>
      <c r="F979" s="107" t="s">
        <v>583</v>
      </c>
      <c r="G979" s="161">
        <v>45353</v>
      </c>
      <c r="H979" s="107">
        <f t="shared" si="20"/>
        <v>4</v>
      </c>
    </row>
    <row r="980" spans="1:8">
      <c r="A980" s="107">
        <v>1</v>
      </c>
      <c r="B980" s="107">
        <v>14</v>
      </c>
      <c r="C980" s="107">
        <v>11</v>
      </c>
      <c r="D980" s="107">
        <v>1</v>
      </c>
      <c r="E980" s="107" t="s">
        <v>588</v>
      </c>
      <c r="F980" s="107" t="s">
        <v>589</v>
      </c>
      <c r="G980" s="161">
        <v>45355</v>
      </c>
      <c r="H980" s="107">
        <f t="shared" si="20"/>
        <v>6</v>
      </c>
    </row>
    <row r="981" spans="1:8">
      <c r="A981" s="107">
        <v>1</v>
      </c>
      <c r="B981" s="107">
        <v>14</v>
      </c>
      <c r="C981" s="107">
        <v>11</v>
      </c>
      <c r="D981" s="107">
        <v>2</v>
      </c>
      <c r="E981" s="107" t="s">
        <v>588</v>
      </c>
      <c r="F981" s="107" t="s">
        <v>589</v>
      </c>
      <c r="G981" s="161">
        <v>45354</v>
      </c>
      <c r="H981" s="107">
        <f t="shared" si="20"/>
        <v>5</v>
      </c>
    </row>
    <row r="982" spans="1:8">
      <c r="A982" s="107">
        <v>1</v>
      </c>
      <c r="B982" s="107">
        <v>14</v>
      </c>
      <c r="C982" s="107">
        <v>11</v>
      </c>
      <c r="D982" s="107">
        <v>3</v>
      </c>
      <c r="E982" s="107" t="s">
        <v>588</v>
      </c>
      <c r="F982" s="107" t="s">
        <v>589</v>
      </c>
      <c r="G982" s="161">
        <v>45354</v>
      </c>
      <c r="H982" s="107">
        <f t="shared" si="20"/>
        <v>5</v>
      </c>
    </row>
    <row r="983" spans="1:8">
      <c r="A983" s="107">
        <v>1</v>
      </c>
      <c r="B983" s="107">
        <v>14</v>
      </c>
      <c r="C983" s="107">
        <v>11</v>
      </c>
      <c r="D983" s="107">
        <v>4</v>
      </c>
      <c r="E983" s="107" t="s">
        <v>588</v>
      </c>
      <c r="F983" s="107" t="s">
        <v>589</v>
      </c>
      <c r="G983" s="161">
        <v>45354</v>
      </c>
      <c r="H983" s="107">
        <f t="shared" si="20"/>
        <v>5</v>
      </c>
    </row>
    <row r="984" spans="1:8">
      <c r="A984" s="107">
        <v>1</v>
      </c>
      <c r="B984" s="107">
        <v>14</v>
      </c>
      <c r="C984" s="107">
        <v>12</v>
      </c>
      <c r="D984" s="107">
        <v>1</v>
      </c>
      <c r="E984" s="107" t="s">
        <v>594</v>
      </c>
      <c r="F984" s="107" t="s">
        <v>595</v>
      </c>
      <c r="G984" s="161">
        <v>45354</v>
      </c>
      <c r="H984" s="107">
        <f t="shared" si="20"/>
        <v>5</v>
      </c>
    </row>
    <row r="985" spans="1:8">
      <c r="A985" s="107">
        <v>1</v>
      </c>
      <c r="B985" s="107">
        <v>14</v>
      </c>
      <c r="C985" s="107">
        <v>12</v>
      </c>
      <c r="D985" s="107">
        <v>2</v>
      </c>
      <c r="E985" s="107" t="s">
        <v>594</v>
      </c>
      <c r="F985" s="107" t="s">
        <v>595</v>
      </c>
      <c r="G985" s="161">
        <v>45354</v>
      </c>
      <c r="H985" s="107">
        <f t="shared" si="20"/>
        <v>5</v>
      </c>
    </row>
    <row r="986" spans="1:8">
      <c r="A986" s="107">
        <v>1</v>
      </c>
      <c r="B986" s="107">
        <v>14</v>
      </c>
      <c r="C986" s="107">
        <v>12</v>
      </c>
      <c r="D986" s="107">
        <v>3</v>
      </c>
      <c r="E986" s="107" t="s">
        <v>594</v>
      </c>
      <c r="F986" s="107" t="s">
        <v>595</v>
      </c>
      <c r="G986" s="161">
        <v>45353</v>
      </c>
      <c r="H986" s="107">
        <f t="shared" si="20"/>
        <v>4</v>
      </c>
    </row>
    <row r="987" spans="1:8">
      <c r="A987" s="107">
        <v>1</v>
      </c>
      <c r="B987" s="107">
        <v>14</v>
      </c>
      <c r="C987" s="107">
        <v>12</v>
      </c>
      <c r="D987" s="107">
        <v>4</v>
      </c>
      <c r="E987" s="107" t="s">
        <v>594</v>
      </c>
      <c r="F987" s="107" t="s">
        <v>595</v>
      </c>
      <c r="G987" s="161">
        <v>45353</v>
      </c>
      <c r="H987" s="107">
        <f t="shared" si="20"/>
        <v>4</v>
      </c>
    </row>
    <row r="988" spans="1:8">
      <c r="A988" s="107">
        <v>1</v>
      </c>
      <c r="B988" s="107">
        <v>14</v>
      </c>
      <c r="C988" s="107">
        <v>13</v>
      </c>
      <c r="D988" s="107">
        <v>1</v>
      </c>
      <c r="E988" s="107" t="s">
        <v>590</v>
      </c>
      <c r="F988" s="107" t="s">
        <v>591</v>
      </c>
      <c r="G988" s="161">
        <v>45354</v>
      </c>
      <c r="H988" s="107">
        <f t="shared" si="20"/>
        <v>5</v>
      </c>
    </row>
    <row r="989" spans="1:8">
      <c r="A989" s="107">
        <v>1</v>
      </c>
      <c r="B989" s="107">
        <v>14</v>
      </c>
      <c r="C989" s="107">
        <v>13</v>
      </c>
      <c r="D989" s="107">
        <v>2</v>
      </c>
      <c r="E989" s="107" t="s">
        <v>590</v>
      </c>
      <c r="F989" s="107" t="s">
        <v>591</v>
      </c>
      <c r="G989" s="161">
        <v>45354</v>
      </c>
      <c r="H989" s="107">
        <f t="shared" si="20"/>
        <v>5</v>
      </c>
    </row>
    <row r="990" spans="1:8">
      <c r="A990" s="107">
        <v>1</v>
      </c>
      <c r="B990" s="107">
        <v>14</v>
      </c>
      <c r="C990" s="107">
        <v>13</v>
      </c>
      <c r="D990" s="107">
        <v>3</v>
      </c>
      <c r="E990" s="107" t="s">
        <v>590</v>
      </c>
      <c r="F990" s="107" t="s">
        <v>591</v>
      </c>
      <c r="G990" s="161">
        <v>45354</v>
      </c>
      <c r="H990" s="107">
        <f t="shared" si="20"/>
        <v>5</v>
      </c>
    </row>
    <row r="991" spans="1:8">
      <c r="A991" s="107">
        <v>1</v>
      </c>
      <c r="B991" s="107">
        <v>14</v>
      </c>
      <c r="C991" s="107">
        <v>13</v>
      </c>
      <c r="D991" s="107">
        <v>4</v>
      </c>
      <c r="E991" s="107" t="s">
        <v>590</v>
      </c>
      <c r="F991" s="107" t="s">
        <v>591</v>
      </c>
      <c r="G991" s="161">
        <v>45354</v>
      </c>
      <c r="H991" s="107">
        <f t="shared" si="20"/>
        <v>5</v>
      </c>
    </row>
    <row r="992" spans="1:8">
      <c r="A992" s="107">
        <v>1</v>
      </c>
      <c r="B992" s="107">
        <v>14</v>
      </c>
      <c r="C992" s="107">
        <v>14</v>
      </c>
      <c r="D992" s="107">
        <v>1</v>
      </c>
      <c r="E992" s="107" t="s">
        <v>578</v>
      </c>
      <c r="F992" s="107" t="s">
        <v>579</v>
      </c>
      <c r="G992" s="161">
        <v>45353</v>
      </c>
      <c r="H992" s="107">
        <f t="shared" si="20"/>
        <v>4</v>
      </c>
    </row>
    <row r="993" spans="1:8">
      <c r="A993" s="107">
        <v>1</v>
      </c>
      <c r="B993" s="107">
        <v>14</v>
      </c>
      <c r="C993" s="107">
        <v>14</v>
      </c>
      <c r="D993" s="107">
        <v>2</v>
      </c>
      <c r="E993" s="107" t="s">
        <v>578</v>
      </c>
      <c r="F993" s="107" t="s">
        <v>579</v>
      </c>
      <c r="G993" s="161">
        <v>45353</v>
      </c>
      <c r="H993" s="107">
        <f t="shared" si="20"/>
        <v>4</v>
      </c>
    </row>
    <row r="994" spans="1:8">
      <c r="A994" s="107">
        <v>1</v>
      </c>
      <c r="B994" s="107">
        <v>14</v>
      </c>
      <c r="C994" s="107">
        <v>14</v>
      </c>
      <c r="D994" s="107">
        <v>3</v>
      </c>
      <c r="E994" s="107" t="s">
        <v>578</v>
      </c>
      <c r="F994" s="107" t="s">
        <v>579</v>
      </c>
      <c r="G994" s="161">
        <v>45355</v>
      </c>
      <c r="H994" s="107">
        <f t="shared" si="20"/>
        <v>6</v>
      </c>
    </row>
    <row r="995" spans="1:8">
      <c r="A995" s="107">
        <v>1</v>
      </c>
      <c r="B995" s="107">
        <v>14</v>
      </c>
      <c r="C995" s="107">
        <v>14</v>
      </c>
      <c r="D995" s="107">
        <v>4</v>
      </c>
      <c r="E995" s="107" t="s">
        <v>578</v>
      </c>
      <c r="F995" s="107" t="s">
        <v>579</v>
      </c>
      <c r="G995" s="161">
        <v>45354</v>
      </c>
      <c r="H995" s="107">
        <f t="shared" si="20"/>
        <v>5</v>
      </c>
    </row>
    <row r="996" spans="1:8">
      <c r="A996" s="107">
        <v>1</v>
      </c>
      <c r="B996" s="107">
        <v>14</v>
      </c>
      <c r="C996" s="107">
        <v>15</v>
      </c>
      <c r="D996" s="107">
        <v>1</v>
      </c>
      <c r="E996" s="107" t="s">
        <v>596</v>
      </c>
      <c r="F996" s="107" t="s">
        <v>597</v>
      </c>
      <c r="G996" s="161">
        <v>45354</v>
      </c>
      <c r="H996" s="107">
        <f t="shared" si="20"/>
        <v>5</v>
      </c>
    </row>
    <row r="997" spans="1:8">
      <c r="A997" s="107">
        <v>1</v>
      </c>
      <c r="B997" s="107">
        <v>14</v>
      </c>
      <c r="C997" s="107">
        <v>15</v>
      </c>
      <c r="D997" s="107">
        <v>2</v>
      </c>
      <c r="E997" s="107" t="s">
        <v>596</v>
      </c>
      <c r="F997" s="107" t="s">
        <v>597</v>
      </c>
      <c r="G997" s="161">
        <v>45354</v>
      </c>
      <c r="H997" s="107">
        <f t="shared" si="20"/>
        <v>5</v>
      </c>
    </row>
    <row r="998" spans="1:8">
      <c r="A998" s="107">
        <v>1</v>
      </c>
      <c r="B998" s="107">
        <v>14</v>
      </c>
      <c r="C998" s="107">
        <v>15</v>
      </c>
      <c r="D998" s="107">
        <v>3</v>
      </c>
      <c r="E998" s="107" t="s">
        <v>596</v>
      </c>
      <c r="F998" s="107" t="s">
        <v>597</v>
      </c>
      <c r="G998" s="161">
        <v>45355</v>
      </c>
      <c r="H998" s="107">
        <f t="shared" si="20"/>
        <v>6</v>
      </c>
    </row>
    <row r="999" spans="1:8">
      <c r="A999" s="107">
        <v>1</v>
      </c>
      <c r="B999" s="107">
        <v>14</v>
      </c>
      <c r="C999" s="107">
        <v>15</v>
      </c>
      <c r="D999" s="107">
        <v>4</v>
      </c>
      <c r="E999" s="107" t="s">
        <v>596</v>
      </c>
      <c r="F999" s="107" t="s">
        <v>597</v>
      </c>
      <c r="G999" s="161">
        <v>45354</v>
      </c>
      <c r="H999" s="107">
        <f t="shared" si="20"/>
        <v>5</v>
      </c>
    </row>
    <row r="1000" spans="1:8">
      <c r="A1000" s="107">
        <v>1</v>
      </c>
      <c r="B1000" s="107">
        <v>14</v>
      </c>
      <c r="C1000" s="107">
        <v>16</v>
      </c>
      <c r="D1000" s="107">
        <v>1</v>
      </c>
      <c r="E1000" s="107" t="s">
        <v>610</v>
      </c>
      <c r="F1000" s="107" t="s">
        <v>611</v>
      </c>
      <c r="G1000" s="161">
        <v>45355</v>
      </c>
      <c r="H1000" s="107">
        <f t="shared" si="20"/>
        <v>6</v>
      </c>
    </row>
    <row r="1001" spans="1:8">
      <c r="A1001" s="107">
        <v>1</v>
      </c>
      <c r="B1001" s="107">
        <v>14</v>
      </c>
      <c r="C1001" s="107">
        <v>16</v>
      </c>
      <c r="D1001" s="107">
        <v>2</v>
      </c>
      <c r="E1001" s="107" t="s">
        <v>610</v>
      </c>
      <c r="F1001" s="107" t="s">
        <v>611</v>
      </c>
      <c r="G1001" s="161">
        <v>45354</v>
      </c>
      <c r="H1001" s="107">
        <f t="shared" si="20"/>
        <v>5</v>
      </c>
    </row>
    <row r="1002" spans="1:8">
      <c r="A1002" s="107">
        <v>1</v>
      </c>
      <c r="B1002" s="107">
        <v>14</v>
      </c>
      <c r="C1002" s="107">
        <v>16</v>
      </c>
      <c r="D1002" s="107">
        <v>3</v>
      </c>
      <c r="E1002" s="107" t="s">
        <v>610</v>
      </c>
      <c r="F1002" s="107" t="s">
        <v>611</v>
      </c>
      <c r="G1002" s="161">
        <v>45355</v>
      </c>
      <c r="H1002" s="107">
        <f t="shared" si="20"/>
        <v>6</v>
      </c>
    </row>
    <row r="1003" spans="1:8">
      <c r="A1003" s="107">
        <v>1</v>
      </c>
      <c r="B1003" s="107">
        <v>14</v>
      </c>
      <c r="C1003" s="107">
        <v>16</v>
      </c>
      <c r="D1003" s="107">
        <v>4</v>
      </c>
      <c r="E1003" s="107" t="s">
        <v>610</v>
      </c>
      <c r="F1003" s="107" t="s">
        <v>611</v>
      </c>
      <c r="G1003" s="161">
        <v>45354</v>
      </c>
      <c r="H1003" s="107">
        <f t="shared" si="20"/>
        <v>5</v>
      </c>
    </row>
    <row r="1004" spans="1:8">
      <c r="A1004" s="107">
        <v>1</v>
      </c>
      <c r="B1004" s="107">
        <v>14</v>
      </c>
      <c r="C1004" s="107">
        <v>17</v>
      </c>
      <c r="D1004" s="107">
        <v>1</v>
      </c>
      <c r="E1004" s="107" t="s">
        <v>580</v>
      </c>
      <c r="F1004" s="107" t="s">
        <v>581</v>
      </c>
      <c r="G1004" s="161">
        <v>45354</v>
      </c>
      <c r="H1004" s="107">
        <f t="shared" si="20"/>
        <v>5</v>
      </c>
    </row>
    <row r="1005" spans="1:8">
      <c r="A1005" s="107">
        <v>1</v>
      </c>
      <c r="B1005" s="107">
        <v>14</v>
      </c>
      <c r="C1005" s="107">
        <v>17</v>
      </c>
      <c r="D1005" s="107">
        <v>2</v>
      </c>
      <c r="E1005" s="107" t="s">
        <v>580</v>
      </c>
      <c r="F1005" s="107" t="s">
        <v>581</v>
      </c>
      <c r="G1005" s="161">
        <v>45353</v>
      </c>
      <c r="H1005" s="107">
        <f t="shared" si="20"/>
        <v>4</v>
      </c>
    </row>
    <row r="1006" spans="1:8">
      <c r="A1006" s="107">
        <v>1</v>
      </c>
      <c r="B1006" s="107">
        <v>14</v>
      </c>
      <c r="C1006" s="107">
        <v>17</v>
      </c>
      <c r="D1006" s="107">
        <v>3</v>
      </c>
      <c r="E1006" s="107" t="s">
        <v>580</v>
      </c>
      <c r="F1006" s="107" t="s">
        <v>581</v>
      </c>
      <c r="G1006" s="161">
        <v>45354</v>
      </c>
      <c r="H1006" s="107">
        <f t="shared" si="20"/>
        <v>5</v>
      </c>
    </row>
    <row r="1007" spans="1:8">
      <c r="A1007" s="107">
        <v>1</v>
      </c>
      <c r="B1007" s="107">
        <v>14</v>
      </c>
      <c r="C1007" s="107">
        <v>17</v>
      </c>
      <c r="D1007" s="107">
        <v>4</v>
      </c>
      <c r="E1007" s="107" t="s">
        <v>580</v>
      </c>
      <c r="F1007" s="107" t="s">
        <v>581</v>
      </c>
      <c r="G1007" s="161">
        <v>45354</v>
      </c>
      <c r="H1007" s="107">
        <f t="shared" si="20"/>
        <v>5</v>
      </c>
    </row>
    <row r="1008" spans="1:8">
      <c r="A1008" s="107">
        <v>1</v>
      </c>
      <c r="B1008" s="107">
        <v>14</v>
      </c>
      <c r="C1008" s="107">
        <v>18</v>
      </c>
      <c r="D1008" s="107">
        <v>1</v>
      </c>
      <c r="E1008" s="107" t="s">
        <v>584</v>
      </c>
      <c r="F1008" s="107" t="s">
        <v>585</v>
      </c>
      <c r="G1008" s="161">
        <v>45358</v>
      </c>
      <c r="H1008" s="107">
        <f t="shared" si="20"/>
        <v>9</v>
      </c>
    </row>
    <row r="1009" spans="1:8">
      <c r="A1009" s="107">
        <v>1</v>
      </c>
      <c r="B1009" s="107">
        <v>14</v>
      </c>
      <c r="C1009" s="107">
        <v>18</v>
      </c>
      <c r="D1009" s="107">
        <v>2</v>
      </c>
      <c r="E1009" s="107" t="s">
        <v>584</v>
      </c>
      <c r="F1009" s="107" t="s">
        <v>585</v>
      </c>
      <c r="G1009" s="107"/>
      <c r="H1009" s="107"/>
    </row>
    <row r="1010" spans="1:8">
      <c r="A1010" s="107">
        <v>1</v>
      </c>
      <c r="B1010" s="107">
        <v>14</v>
      </c>
      <c r="C1010" s="107">
        <v>18</v>
      </c>
      <c r="D1010" s="107">
        <v>3</v>
      </c>
      <c r="E1010" s="107" t="s">
        <v>584</v>
      </c>
      <c r="F1010" s="107" t="s">
        <v>585</v>
      </c>
      <c r="G1010" s="161">
        <v>45354</v>
      </c>
      <c r="H1010" s="107">
        <f t="shared" si="20"/>
        <v>5</v>
      </c>
    </row>
    <row r="1011" spans="1:8">
      <c r="A1011" s="107">
        <v>1</v>
      </c>
      <c r="B1011" s="107">
        <v>14</v>
      </c>
      <c r="C1011" s="107">
        <v>18</v>
      </c>
      <c r="D1011" s="107">
        <v>4</v>
      </c>
      <c r="E1011" s="107" t="s">
        <v>584</v>
      </c>
      <c r="F1011" s="107" t="s">
        <v>585</v>
      </c>
      <c r="G1011" s="161">
        <v>45355</v>
      </c>
      <c r="H1011" s="107">
        <f t="shared" si="20"/>
        <v>6</v>
      </c>
    </row>
    <row r="1012" spans="1:8">
      <c r="A1012" s="107">
        <v>1</v>
      </c>
      <c r="B1012" s="107">
        <v>15</v>
      </c>
      <c r="C1012" s="107">
        <v>1</v>
      </c>
      <c r="D1012" s="107">
        <v>1</v>
      </c>
      <c r="E1012" s="107" t="s">
        <v>630</v>
      </c>
      <c r="F1012" s="107" t="s">
        <v>631</v>
      </c>
      <c r="G1012" s="161">
        <v>45354</v>
      </c>
      <c r="H1012" s="107">
        <f t="shared" si="20"/>
        <v>5</v>
      </c>
    </row>
    <row r="1013" spans="1:8">
      <c r="A1013" s="107">
        <v>1</v>
      </c>
      <c r="B1013" s="107">
        <v>15</v>
      </c>
      <c r="C1013" s="107">
        <v>1</v>
      </c>
      <c r="D1013" s="107">
        <v>2</v>
      </c>
      <c r="E1013" s="107" t="s">
        <v>630</v>
      </c>
      <c r="F1013" s="107" t="s">
        <v>631</v>
      </c>
      <c r="G1013" s="161">
        <v>45354</v>
      </c>
      <c r="H1013" s="107">
        <f t="shared" si="20"/>
        <v>5</v>
      </c>
    </row>
    <row r="1014" spans="1:8">
      <c r="A1014" s="107">
        <v>1</v>
      </c>
      <c r="B1014" s="107">
        <v>15</v>
      </c>
      <c r="C1014" s="107">
        <v>1</v>
      </c>
      <c r="D1014" s="107">
        <v>3</v>
      </c>
      <c r="E1014" s="107" t="s">
        <v>630</v>
      </c>
      <c r="F1014" s="107" t="s">
        <v>631</v>
      </c>
      <c r="G1014" s="161">
        <v>45354</v>
      </c>
      <c r="H1014" s="107">
        <f t="shared" si="20"/>
        <v>5</v>
      </c>
    </row>
    <row r="1015" spans="1:8">
      <c r="A1015" s="107">
        <v>1</v>
      </c>
      <c r="B1015" s="107">
        <v>15</v>
      </c>
      <c r="C1015" s="107">
        <v>1</v>
      </c>
      <c r="D1015" s="107">
        <v>4</v>
      </c>
      <c r="E1015" s="107" t="s">
        <v>630</v>
      </c>
      <c r="F1015" s="107" t="s">
        <v>631</v>
      </c>
      <c r="G1015" s="161">
        <v>45354</v>
      </c>
      <c r="H1015" s="107">
        <f t="shared" si="20"/>
        <v>5</v>
      </c>
    </row>
    <row r="1016" spans="1:8">
      <c r="A1016" s="107">
        <v>1</v>
      </c>
      <c r="B1016" s="107">
        <v>15</v>
      </c>
      <c r="C1016" s="107">
        <v>2</v>
      </c>
      <c r="D1016" s="107">
        <v>1</v>
      </c>
      <c r="E1016" s="107" t="s">
        <v>638</v>
      </c>
      <c r="F1016" s="107" t="s">
        <v>639</v>
      </c>
      <c r="G1016" s="161">
        <v>45353</v>
      </c>
      <c r="H1016" s="107">
        <f t="shared" si="20"/>
        <v>4</v>
      </c>
    </row>
    <row r="1017" spans="1:8">
      <c r="A1017" s="107">
        <v>1</v>
      </c>
      <c r="B1017" s="107">
        <v>15</v>
      </c>
      <c r="C1017" s="107">
        <v>2</v>
      </c>
      <c r="D1017" s="107">
        <v>2</v>
      </c>
      <c r="E1017" s="107" t="s">
        <v>638</v>
      </c>
      <c r="F1017" s="107" t="s">
        <v>639</v>
      </c>
      <c r="G1017" s="161">
        <v>45354</v>
      </c>
      <c r="H1017" s="107">
        <f t="shared" si="20"/>
        <v>5</v>
      </c>
    </row>
    <row r="1018" spans="1:8">
      <c r="A1018" s="107">
        <v>1</v>
      </c>
      <c r="B1018" s="107">
        <v>15</v>
      </c>
      <c r="C1018" s="107">
        <v>2</v>
      </c>
      <c r="D1018" s="107">
        <v>3</v>
      </c>
      <c r="E1018" s="107" t="s">
        <v>638</v>
      </c>
      <c r="F1018" s="107" t="s">
        <v>639</v>
      </c>
      <c r="G1018" s="161">
        <v>45353</v>
      </c>
      <c r="H1018" s="107">
        <f t="shared" si="20"/>
        <v>4</v>
      </c>
    </row>
    <row r="1019" spans="1:8">
      <c r="A1019" s="107">
        <v>1</v>
      </c>
      <c r="B1019" s="107">
        <v>15</v>
      </c>
      <c r="C1019" s="107">
        <v>2</v>
      </c>
      <c r="D1019" s="107">
        <v>4</v>
      </c>
      <c r="E1019" s="107" t="s">
        <v>638</v>
      </c>
      <c r="F1019" s="107" t="s">
        <v>639</v>
      </c>
      <c r="G1019" s="161">
        <v>45353</v>
      </c>
      <c r="H1019" s="107">
        <f t="shared" si="20"/>
        <v>4</v>
      </c>
    </row>
    <row r="1020" spans="1:8">
      <c r="A1020" s="107">
        <v>1</v>
      </c>
      <c r="B1020" s="107">
        <v>15</v>
      </c>
      <c r="C1020" s="107">
        <v>3</v>
      </c>
      <c r="D1020" s="107">
        <v>1</v>
      </c>
      <c r="E1020" s="107" t="s">
        <v>642</v>
      </c>
      <c r="F1020" s="107" t="s">
        <v>643</v>
      </c>
      <c r="G1020" s="161">
        <v>45353</v>
      </c>
      <c r="H1020" s="107">
        <f t="shared" si="20"/>
        <v>4</v>
      </c>
    </row>
    <row r="1021" spans="1:8">
      <c r="A1021" s="107">
        <v>1</v>
      </c>
      <c r="B1021" s="107">
        <v>15</v>
      </c>
      <c r="C1021" s="107">
        <v>3</v>
      </c>
      <c r="D1021" s="107">
        <v>2</v>
      </c>
      <c r="E1021" s="107" t="s">
        <v>642</v>
      </c>
      <c r="F1021" s="107" t="s">
        <v>643</v>
      </c>
      <c r="G1021" s="161">
        <v>45353</v>
      </c>
      <c r="H1021" s="107">
        <f t="shared" si="20"/>
        <v>4</v>
      </c>
    </row>
    <row r="1022" spans="1:8">
      <c r="A1022" s="107">
        <v>1</v>
      </c>
      <c r="B1022" s="107">
        <v>15</v>
      </c>
      <c r="C1022" s="107">
        <v>3</v>
      </c>
      <c r="D1022" s="107">
        <v>3</v>
      </c>
      <c r="E1022" s="107" t="s">
        <v>642</v>
      </c>
      <c r="F1022" s="107" t="s">
        <v>643</v>
      </c>
      <c r="G1022" s="161">
        <v>45353</v>
      </c>
      <c r="H1022" s="107">
        <f t="shared" si="20"/>
        <v>4</v>
      </c>
    </row>
    <row r="1023" spans="1:8">
      <c r="A1023" s="107">
        <v>1</v>
      </c>
      <c r="B1023" s="107">
        <v>15</v>
      </c>
      <c r="C1023" s="107">
        <v>3</v>
      </c>
      <c r="D1023" s="107">
        <v>4</v>
      </c>
      <c r="E1023" s="107" t="s">
        <v>642</v>
      </c>
      <c r="F1023" s="107" t="s">
        <v>643</v>
      </c>
      <c r="G1023" s="161">
        <v>45353</v>
      </c>
      <c r="H1023" s="107">
        <f t="shared" si="20"/>
        <v>4</v>
      </c>
    </row>
    <row r="1024" spans="1:8">
      <c r="A1024" s="107">
        <v>1</v>
      </c>
      <c r="B1024" s="107">
        <v>15</v>
      </c>
      <c r="C1024" s="107">
        <v>4</v>
      </c>
      <c r="D1024" s="107">
        <v>1</v>
      </c>
      <c r="E1024" s="107" t="s">
        <v>632</v>
      </c>
      <c r="F1024" s="107" t="s">
        <v>633</v>
      </c>
      <c r="G1024" s="161">
        <v>45353</v>
      </c>
      <c r="H1024" s="107">
        <f t="shared" si="20"/>
        <v>4</v>
      </c>
    </row>
    <row r="1025" spans="1:8">
      <c r="A1025" s="107">
        <v>1</v>
      </c>
      <c r="B1025" s="107">
        <v>15</v>
      </c>
      <c r="C1025" s="107">
        <v>4</v>
      </c>
      <c r="D1025" s="107">
        <v>2</v>
      </c>
      <c r="E1025" s="107" t="s">
        <v>632</v>
      </c>
      <c r="F1025" s="107" t="s">
        <v>633</v>
      </c>
      <c r="G1025" s="161">
        <v>45353</v>
      </c>
      <c r="H1025" s="107">
        <f t="shared" si="20"/>
        <v>4</v>
      </c>
    </row>
    <row r="1026" spans="1:8">
      <c r="A1026" s="107">
        <v>1</v>
      </c>
      <c r="B1026" s="107">
        <v>15</v>
      </c>
      <c r="C1026" s="107">
        <v>4</v>
      </c>
      <c r="D1026" s="107">
        <v>3</v>
      </c>
      <c r="E1026" s="107" t="s">
        <v>632</v>
      </c>
      <c r="F1026" s="107" t="s">
        <v>633</v>
      </c>
      <c r="G1026" s="161">
        <v>45354</v>
      </c>
      <c r="H1026" s="107">
        <f t="shared" si="20"/>
        <v>5</v>
      </c>
    </row>
    <row r="1027" spans="1:8">
      <c r="A1027" s="107">
        <v>1</v>
      </c>
      <c r="B1027" s="107">
        <v>15</v>
      </c>
      <c r="C1027" s="107">
        <v>4</v>
      </c>
      <c r="D1027" s="107">
        <v>4</v>
      </c>
      <c r="E1027" s="107" t="s">
        <v>632</v>
      </c>
      <c r="F1027" s="107" t="s">
        <v>633</v>
      </c>
      <c r="G1027" s="161">
        <v>45354</v>
      </c>
      <c r="H1027" s="107">
        <f t="shared" si="20"/>
        <v>5</v>
      </c>
    </row>
    <row r="1028" spans="1:8">
      <c r="A1028" s="107">
        <v>1</v>
      </c>
      <c r="B1028" s="107">
        <v>15</v>
      </c>
      <c r="C1028" s="107">
        <v>5</v>
      </c>
      <c r="D1028" s="107">
        <v>1</v>
      </c>
      <c r="E1028" s="107" t="s">
        <v>636</v>
      </c>
      <c r="F1028" s="107" t="s">
        <v>637</v>
      </c>
      <c r="G1028" s="161">
        <v>45353</v>
      </c>
      <c r="H1028" s="107">
        <f t="shared" si="20"/>
        <v>4</v>
      </c>
    </row>
    <row r="1029" spans="1:8">
      <c r="A1029" s="107">
        <v>1</v>
      </c>
      <c r="B1029" s="107">
        <v>15</v>
      </c>
      <c r="C1029" s="107">
        <v>5</v>
      </c>
      <c r="D1029" s="107">
        <v>2</v>
      </c>
      <c r="E1029" s="107" t="s">
        <v>636</v>
      </c>
      <c r="F1029" s="107" t="s">
        <v>637</v>
      </c>
      <c r="G1029" s="161">
        <v>45353</v>
      </c>
      <c r="H1029" s="107">
        <f t="shared" ref="H1029:H1092" si="21">DATEDIF($H$2,G1029,"d")</f>
        <v>4</v>
      </c>
    </row>
    <row r="1030" spans="1:8">
      <c r="A1030" s="107">
        <v>1</v>
      </c>
      <c r="B1030" s="107">
        <v>15</v>
      </c>
      <c r="C1030" s="107">
        <v>5</v>
      </c>
      <c r="D1030" s="107">
        <v>3</v>
      </c>
      <c r="E1030" s="107" t="s">
        <v>636</v>
      </c>
      <c r="F1030" s="107" t="s">
        <v>637</v>
      </c>
      <c r="G1030" s="161">
        <v>45354</v>
      </c>
      <c r="H1030" s="107">
        <f t="shared" si="21"/>
        <v>5</v>
      </c>
    </row>
    <row r="1031" spans="1:8">
      <c r="A1031" s="107">
        <v>1</v>
      </c>
      <c r="B1031" s="107">
        <v>15</v>
      </c>
      <c r="C1031" s="107">
        <v>5</v>
      </c>
      <c r="D1031" s="107">
        <v>4</v>
      </c>
      <c r="E1031" s="107" t="s">
        <v>636</v>
      </c>
      <c r="F1031" s="107" t="s">
        <v>637</v>
      </c>
      <c r="G1031" s="161">
        <v>45353</v>
      </c>
      <c r="H1031" s="107">
        <f t="shared" si="21"/>
        <v>4</v>
      </c>
    </row>
    <row r="1032" spans="1:8">
      <c r="A1032" s="107">
        <v>1</v>
      </c>
      <c r="B1032" s="107">
        <v>15</v>
      </c>
      <c r="C1032" s="107">
        <v>6</v>
      </c>
      <c r="D1032" s="107">
        <v>1</v>
      </c>
      <c r="E1032" s="107" t="s">
        <v>618</v>
      </c>
      <c r="F1032" s="107" t="s">
        <v>619</v>
      </c>
      <c r="G1032" s="161">
        <v>45354</v>
      </c>
      <c r="H1032" s="107">
        <f t="shared" si="21"/>
        <v>5</v>
      </c>
    </row>
    <row r="1033" spans="1:8">
      <c r="A1033" s="107">
        <v>1</v>
      </c>
      <c r="B1033" s="107">
        <v>15</v>
      </c>
      <c r="C1033" s="107">
        <v>6</v>
      </c>
      <c r="D1033" s="107">
        <v>2</v>
      </c>
      <c r="E1033" s="107" t="s">
        <v>618</v>
      </c>
      <c r="F1033" s="107" t="s">
        <v>619</v>
      </c>
      <c r="G1033" s="161">
        <v>45354</v>
      </c>
      <c r="H1033" s="107">
        <f t="shared" si="21"/>
        <v>5</v>
      </c>
    </row>
    <row r="1034" spans="1:8">
      <c r="A1034" s="107">
        <v>1</v>
      </c>
      <c r="B1034" s="107">
        <v>15</v>
      </c>
      <c r="C1034" s="107">
        <v>6</v>
      </c>
      <c r="D1034" s="107">
        <v>3</v>
      </c>
      <c r="E1034" s="107" t="s">
        <v>618</v>
      </c>
      <c r="F1034" s="107" t="s">
        <v>619</v>
      </c>
      <c r="G1034" s="161">
        <v>45355</v>
      </c>
      <c r="H1034" s="107">
        <f t="shared" si="21"/>
        <v>6</v>
      </c>
    </row>
    <row r="1035" spans="1:8">
      <c r="A1035" s="107">
        <v>1</v>
      </c>
      <c r="B1035" s="107">
        <v>15</v>
      </c>
      <c r="C1035" s="107">
        <v>6</v>
      </c>
      <c r="D1035" s="107">
        <v>4</v>
      </c>
      <c r="E1035" s="107" t="s">
        <v>618</v>
      </c>
      <c r="F1035" s="107" t="s">
        <v>619</v>
      </c>
      <c r="G1035" s="161">
        <v>45353</v>
      </c>
      <c r="H1035" s="107">
        <f t="shared" si="21"/>
        <v>4</v>
      </c>
    </row>
    <row r="1036" spans="1:8">
      <c r="A1036" s="107">
        <v>1</v>
      </c>
      <c r="B1036" s="107">
        <v>15</v>
      </c>
      <c r="C1036" s="107">
        <v>7</v>
      </c>
      <c r="D1036" s="107">
        <v>1</v>
      </c>
      <c r="E1036" s="107" t="s">
        <v>628</v>
      </c>
      <c r="F1036" s="107" t="s">
        <v>629</v>
      </c>
      <c r="G1036" s="161">
        <v>45354</v>
      </c>
      <c r="H1036" s="107">
        <f t="shared" si="21"/>
        <v>5</v>
      </c>
    </row>
    <row r="1037" spans="1:8">
      <c r="A1037" s="107">
        <v>1</v>
      </c>
      <c r="B1037" s="107">
        <v>15</v>
      </c>
      <c r="C1037" s="107">
        <v>7</v>
      </c>
      <c r="D1037" s="107">
        <v>2</v>
      </c>
      <c r="E1037" s="107" t="s">
        <v>628</v>
      </c>
      <c r="F1037" s="107" t="s">
        <v>629</v>
      </c>
      <c r="G1037" s="161">
        <v>45353</v>
      </c>
      <c r="H1037" s="107">
        <f t="shared" si="21"/>
        <v>4</v>
      </c>
    </row>
    <row r="1038" spans="1:8">
      <c r="A1038" s="107">
        <v>1</v>
      </c>
      <c r="B1038" s="107">
        <v>15</v>
      </c>
      <c r="C1038" s="107">
        <v>7</v>
      </c>
      <c r="D1038" s="107">
        <v>3</v>
      </c>
      <c r="E1038" s="107" t="s">
        <v>628</v>
      </c>
      <c r="F1038" s="107" t="s">
        <v>629</v>
      </c>
      <c r="G1038" s="161">
        <v>45353</v>
      </c>
      <c r="H1038" s="107">
        <f t="shared" si="21"/>
        <v>4</v>
      </c>
    </row>
    <row r="1039" spans="1:8">
      <c r="A1039" s="107">
        <v>1</v>
      </c>
      <c r="B1039" s="107">
        <v>15</v>
      </c>
      <c r="C1039" s="107">
        <v>7</v>
      </c>
      <c r="D1039" s="107">
        <v>4</v>
      </c>
      <c r="E1039" s="107" t="s">
        <v>628</v>
      </c>
      <c r="F1039" s="107" t="s">
        <v>629</v>
      </c>
      <c r="G1039" s="161">
        <v>45354</v>
      </c>
      <c r="H1039" s="107">
        <f t="shared" si="21"/>
        <v>5</v>
      </c>
    </row>
    <row r="1040" spans="1:8">
      <c r="A1040" s="107">
        <v>1</v>
      </c>
      <c r="B1040" s="107">
        <v>15</v>
      </c>
      <c r="C1040" s="107">
        <v>8</v>
      </c>
      <c r="D1040" s="107">
        <v>1</v>
      </c>
      <c r="E1040" s="107" t="s">
        <v>626</v>
      </c>
      <c r="F1040" s="107" t="s">
        <v>627</v>
      </c>
      <c r="G1040" s="161">
        <v>45353</v>
      </c>
      <c r="H1040" s="107">
        <f t="shared" si="21"/>
        <v>4</v>
      </c>
    </row>
    <row r="1041" spans="1:8">
      <c r="A1041" s="107">
        <v>1</v>
      </c>
      <c r="B1041" s="107">
        <v>15</v>
      </c>
      <c r="C1041" s="107">
        <v>8</v>
      </c>
      <c r="D1041" s="107">
        <v>2</v>
      </c>
      <c r="E1041" s="107" t="s">
        <v>626</v>
      </c>
      <c r="F1041" s="107" t="s">
        <v>627</v>
      </c>
      <c r="G1041" s="161">
        <v>45355</v>
      </c>
      <c r="H1041" s="107">
        <f t="shared" si="21"/>
        <v>6</v>
      </c>
    </row>
    <row r="1042" spans="1:8">
      <c r="A1042" s="107">
        <v>1</v>
      </c>
      <c r="B1042" s="107">
        <v>15</v>
      </c>
      <c r="C1042" s="107">
        <v>8</v>
      </c>
      <c r="D1042" s="107">
        <v>3</v>
      </c>
      <c r="E1042" s="107" t="s">
        <v>626</v>
      </c>
      <c r="F1042" s="107" t="s">
        <v>627</v>
      </c>
      <c r="G1042" s="107"/>
      <c r="H1042" s="107"/>
    </row>
    <row r="1043" spans="1:8">
      <c r="A1043" s="107">
        <v>1</v>
      </c>
      <c r="B1043" s="107">
        <v>15</v>
      </c>
      <c r="C1043" s="107">
        <v>8</v>
      </c>
      <c r="D1043" s="107">
        <v>4</v>
      </c>
      <c r="E1043" s="107" t="s">
        <v>626</v>
      </c>
      <c r="F1043" s="107" t="s">
        <v>627</v>
      </c>
      <c r="G1043" s="161">
        <v>45355</v>
      </c>
      <c r="H1043" s="107">
        <f t="shared" si="21"/>
        <v>6</v>
      </c>
    </row>
    <row r="1044" spans="1:8">
      <c r="A1044" s="107">
        <v>1</v>
      </c>
      <c r="B1044" s="107">
        <v>15</v>
      </c>
      <c r="C1044" s="107">
        <v>9</v>
      </c>
      <c r="D1044" s="107">
        <v>1</v>
      </c>
      <c r="E1044" s="107" t="s">
        <v>644</v>
      </c>
      <c r="F1044" s="107" t="s">
        <v>645</v>
      </c>
      <c r="G1044" s="161">
        <v>45353</v>
      </c>
      <c r="H1044" s="107">
        <f t="shared" si="21"/>
        <v>4</v>
      </c>
    </row>
    <row r="1045" spans="1:8">
      <c r="A1045" s="107">
        <v>1</v>
      </c>
      <c r="B1045" s="107">
        <v>15</v>
      </c>
      <c r="C1045" s="107">
        <v>9</v>
      </c>
      <c r="D1045" s="107">
        <v>2</v>
      </c>
      <c r="E1045" s="107" t="s">
        <v>644</v>
      </c>
      <c r="F1045" s="107" t="s">
        <v>645</v>
      </c>
      <c r="G1045" s="161">
        <v>45354</v>
      </c>
      <c r="H1045" s="107">
        <f t="shared" si="21"/>
        <v>5</v>
      </c>
    </row>
    <row r="1046" spans="1:8">
      <c r="A1046" s="107">
        <v>1</v>
      </c>
      <c r="B1046" s="107">
        <v>15</v>
      </c>
      <c r="C1046" s="107">
        <v>9</v>
      </c>
      <c r="D1046" s="107">
        <v>3</v>
      </c>
      <c r="E1046" s="107" t="s">
        <v>644</v>
      </c>
      <c r="F1046" s="107" t="s">
        <v>645</v>
      </c>
      <c r="G1046" s="161">
        <v>45354</v>
      </c>
      <c r="H1046" s="107">
        <f t="shared" si="21"/>
        <v>5</v>
      </c>
    </row>
    <row r="1047" spans="1:8">
      <c r="A1047" s="107">
        <v>1</v>
      </c>
      <c r="B1047" s="107">
        <v>15</v>
      </c>
      <c r="C1047" s="107">
        <v>9</v>
      </c>
      <c r="D1047" s="107">
        <v>4</v>
      </c>
      <c r="E1047" s="107" t="s">
        <v>644</v>
      </c>
      <c r="F1047" s="107" t="s">
        <v>645</v>
      </c>
      <c r="G1047" s="161">
        <v>45353</v>
      </c>
      <c r="H1047" s="107">
        <f t="shared" si="21"/>
        <v>4</v>
      </c>
    </row>
    <row r="1048" spans="1:8">
      <c r="A1048" s="107">
        <v>1</v>
      </c>
      <c r="B1048" s="107">
        <v>15</v>
      </c>
      <c r="C1048" s="107">
        <v>10</v>
      </c>
      <c r="D1048" s="107">
        <v>1</v>
      </c>
      <c r="E1048" s="107" t="s">
        <v>616</v>
      </c>
      <c r="F1048" s="107" t="s">
        <v>617</v>
      </c>
      <c r="G1048" s="161">
        <v>45353</v>
      </c>
      <c r="H1048" s="107">
        <f t="shared" si="21"/>
        <v>4</v>
      </c>
    </row>
    <row r="1049" spans="1:8">
      <c r="A1049" s="107">
        <v>1</v>
      </c>
      <c r="B1049" s="107">
        <v>15</v>
      </c>
      <c r="C1049" s="107">
        <v>10</v>
      </c>
      <c r="D1049" s="107">
        <v>2</v>
      </c>
      <c r="E1049" s="107" t="s">
        <v>616</v>
      </c>
      <c r="F1049" s="107" t="s">
        <v>617</v>
      </c>
      <c r="G1049" s="161">
        <v>45353</v>
      </c>
      <c r="H1049" s="107">
        <f t="shared" si="21"/>
        <v>4</v>
      </c>
    </row>
    <row r="1050" spans="1:8">
      <c r="A1050" s="107">
        <v>1</v>
      </c>
      <c r="B1050" s="107">
        <v>15</v>
      </c>
      <c r="C1050" s="107">
        <v>10</v>
      </c>
      <c r="D1050" s="107">
        <v>3</v>
      </c>
      <c r="E1050" s="107" t="s">
        <v>616</v>
      </c>
      <c r="F1050" s="107" t="s">
        <v>617</v>
      </c>
      <c r="G1050" s="161">
        <v>45353</v>
      </c>
      <c r="H1050" s="107">
        <f t="shared" si="21"/>
        <v>4</v>
      </c>
    </row>
    <row r="1051" spans="1:8">
      <c r="A1051" s="107">
        <v>1</v>
      </c>
      <c r="B1051" s="107">
        <v>15</v>
      </c>
      <c r="C1051" s="107">
        <v>10</v>
      </c>
      <c r="D1051" s="107">
        <v>4</v>
      </c>
      <c r="E1051" s="107" t="s">
        <v>616</v>
      </c>
      <c r="F1051" s="107" t="s">
        <v>617</v>
      </c>
      <c r="G1051" s="161">
        <v>45353</v>
      </c>
      <c r="H1051" s="107">
        <f t="shared" si="21"/>
        <v>4</v>
      </c>
    </row>
    <row r="1052" spans="1:8">
      <c r="A1052" s="107">
        <v>1</v>
      </c>
      <c r="B1052" s="107">
        <v>15</v>
      </c>
      <c r="C1052" s="107">
        <v>11</v>
      </c>
      <c r="D1052" s="107">
        <v>1</v>
      </c>
      <c r="E1052" s="107" t="s">
        <v>620</v>
      </c>
      <c r="F1052" s="107" t="s">
        <v>621</v>
      </c>
      <c r="G1052" s="161">
        <v>45353</v>
      </c>
      <c r="H1052" s="107">
        <f t="shared" si="21"/>
        <v>4</v>
      </c>
    </row>
    <row r="1053" spans="1:8">
      <c r="A1053" s="107">
        <v>1</v>
      </c>
      <c r="B1053" s="107">
        <v>15</v>
      </c>
      <c r="C1053" s="107">
        <v>11</v>
      </c>
      <c r="D1053" s="107">
        <v>2</v>
      </c>
      <c r="E1053" s="107" t="s">
        <v>620</v>
      </c>
      <c r="F1053" s="107" t="s">
        <v>621</v>
      </c>
      <c r="G1053" s="161">
        <v>45353</v>
      </c>
      <c r="H1053" s="107">
        <f t="shared" si="21"/>
        <v>4</v>
      </c>
    </row>
    <row r="1054" spans="1:8">
      <c r="A1054" s="107">
        <v>1</v>
      </c>
      <c r="B1054" s="107">
        <v>15</v>
      </c>
      <c r="C1054" s="107">
        <v>11</v>
      </c>
      <c r="D1054" s="107">
        <v>3</v>
      </c>
      <c r="E1054" s="107" t="s">
        <v>620</v>
      </c>
      <c r="F1054" s="107" t="s">
        <v>621</v>
      </c>
      <c r="G1054" s="161">
        <v>45354</v>
      </c>
      <c r="H1054" s="107">
        <f t="shared" si="21"/>
        <v>5</v>
      </c>
    </row>
    <row r="1055" spans="1:8">
      <c r="A1055" s="107">
        <v>1</v>
      </c>
      <c r="B1055" s="107">
        <v>15</v>
      </c>
      <c r="C1055" s="107">
        <v>11</v>
      </c>
      <c r="D1055" s="107">
        <v>4</v>
      </c>
      <c r="E1055" s="107" t="s">
        <v>620</v>
      </c>
      <c r="F1055" s="107" t="s">
        <v>621</v>
      </c>
      <c r="G1055" s="161">
        <v>45354</v>
      </c>
      <c r="H1055" s="107">
        <f t="shared" si="21"/>
        <v>5</v>
      </c>
    </row>
    <row r="1056" spans="1:8">
      <c r="A1056" s="107">
        <v>1</v>
      </c>
      <c r="B1056" s="107">
        <v>15</v>
      </c>
      <c r="C1056" s="107">
        <v>12</v>
      </c>
      <c r="D1056" s="107">
        <v>1</v>
      </c>
      <c r="E1056" s="107" t="s">
        <v>646</v>
      </c>
      <c r="F1056" s="107" t="s">
        <v>647</v>
      </c>
      <c r="G1056" s="161">
        <v>45353</v>
      </c>
      <c r="H1056" s="107">
        <f t="shared" si="21"/>
        <v>4</v>
      </c>
    </row>
    <row r="1057" spans="1:8">
      <c r="A1057" s="107">
        <v>1</v>
      </c>
      <c r="B1057" s="107">
        <v>15</v>
      </c>
      <c r="C1057" s="107">
        <v>12</v>
      </c>
      <c r="D1057" s="107">
        <v>2</v>
      </c>
      <c r="E1057" s="107" t="s">
        <v>646</v>
      </c>
      <c r="F1057" s="107" t="s">
        <v>647</v>
      </c>
      <c r="G1057" s="161">
        <v>45353</v>
      </c>
      <c r="H1057" s="107">
        <f t="shared" si="21"/>
        <v>4</v>
      </c>
    </row>
    <row r="1058" spans="1:8">
      <c r="A1058" s="107">
        <v>1</v>
      </c>
      <c r="B1058" s="107">
        <v>15</v>
      </c>
      <c r="C1058" s="107">
        <v>12</v>
      </c>
      <c r="D1058" s="107">
        <v>3</v>
      </c>
      <c r="E1058" s="107" t="s">
        <v>646</v>
      </c>
      <c r="F1058" s="107" t="s">
        <v>647</v>
      </c>
      <c r="G1058" s="161">
        <v>45354</v>
      </c>
      <c r="H1058" s="107">
        <f t="shared" si="21"/>
        <v>5</v>
      </c>
    </row>
    <row r="1059" spans="1:8">
      <c r="A1059" s="107">
        <v>1</v>
      </c>
      <c r="B1059" s="107">
        <v>15</v>
      </c>
      <c r="C1059" s="107">
        <v>12</v>
      </c>
      <c r="D1059" s="107">
        <v>4</v>
      </c>
      <c r="E1059" s="107" t="s">
        <v>646</v>
      </c>
      <c r="F1059" s="107" t="s">
        <v>647</v>
      </c>
      <c r="G1059" s="161">
        <v>45354</v>
      </c>
      <c r="H1059" s="107">
        <f t="shared" si="21"/>
        <v>5</v>
      </c>
    </row>
    <row r="1060" spans="1:8">
      <c r="A1060" s="107">
        <v>1</v>
      </c>
      <c r="B1060" s="107">
        <v>15</v>
      </c>
      <c r="C1060" s="107">
        <v>13</v>
      </c>
      <c r="D1060" s="107">
        <v>1</v>
      </c>
      <c r="E1060" s="107" t="s">
        <v>624</v>
      </c>
      <c r="F1060" s="107" t="s">
        <v>625</v>
      </c>
      <c r="G1060" s="161">
        <v>45353</v>
      </c>
      <c r="H1060" s="107">
        <f t="shared" si="21"/>
        <v>4</v>
      </c>
    </row>
    <row r="1061" spans="1:8">
      <c r="A1061" s="107">
        <v>1</v>
      </c>
      <c r="B1061" s="107">
        <v>15</v>
      </c>
      <c r="C1061" s="107">
        <v>13</v>
      </c>
      <c r="D1061" s="107">
        <v>2</v>
      </c>
      <c r="E1061" s="107" t="s">
        <v>624</v>
      </c>
      <c r="F1061" s="107" t="s">
        <v>625</v>
      </c>
      <c r="G1061" s="161">
        <v>45354</v>
      </c>
      <c r="H1061" s="107">
        <f t="shared" si="21"/>
        <v>5</v>
      </c>
    </row>
    <row r="1062" spans="1:8">
      <c r="A1062" s="107">
        <v>1</v>
      </c>
      <c r="B1062" s="107">
        <v>15</v>
      </c>
      <c r="C1062" s="107">
        <v>13</v>
      </c>
      <c r="D1062" s="107">
        <v>3</v>
      </c>
      <c r="E1062" s="107" t="s">
        <v>624</v>
      </c>
      <c r="F1062" s="107" t="s">
        <v>625</v>
      </c>
      <c r="G1062" s="161">
        <v>45354</v>
      </c>
      <c r="H1062" s="107">
        <f t="shared" si="21"/>
        <v>5</v>
      </c>
    </row>
    <row r="1063" spans="1:8">
      <c r="A1063" s="107">
        <v>1</v>
      </c>
      <c r="B1063" s="107">
        <v>15</v>
      </c>
      <c r="C1063" s="107">
        <v>13</v>
      </c>
      <c r="D1063" s="107">
        <v>4</v>
      </c>
      <c r="E1063" s="107" t="s">
        <v>624</v>
      </c>
      <c r="F1063" s="107" t="s">
        <v>625</v>
      </c>
      <c r="G1063" s="161">
        <v>45354</v>
      </c>
      <c r="H1063" s="107">
        <f t="shared" si="21"/>
        <v>5</v>
      </c>
    </row>
    <row r="1064" spans="1:8">
      <c r="A1064" s="107">
        <v>1</v>
      </c>
      <c r="B1064" s="107">
        <v>15</v>
      </c>
      <c r="C1064" s="107">
        <v>14</v>
      </c>
      <c r="D1064" s="107">
        <v>1</v>
      </c>
      <c r="E1064" s="107" t="s">
        <v>640</v>
      </c>
      <c r="F1064" s="107" t="s">
        <v>641</v>
      </c>
      <c r="G1064" s="161">
        <v>45354</v>
      </c>
      <c r="H1064" s="107">
        <f t="shared" si="21"/>
        <v>5</v>
      </c>
    </row>
    <row r="1065" spans="1:8">
      <c r="A1065" s="107">
        <v>1</v>
      </c>
      <c r="B1065" s="107">
        <v>15</v>
      </c>
      <c r="C1065" s="107">
        <v>14</v>
      </c>
      <c r="D1065" s="107">
        <v>2</v>
      </c>
      <c r="E1065" s="107" t="s">
        <v>640</v>
      </c>
      <c r="F1065" s="107" t="s">
        <v>641</v>
      </c>
      <c r="G1065" s="161">
        <v>45353</v>
      </c>
      <c r="H1065" s="107">
        <f t="shared" si="21"/>
        <v>4</v>
      </c>
    </row>
    <row r="1066" spans="1:8">
      <c r="A1066" s="107">
        <v>1</v>
      </c>
      <c r="B1066" s="107">
        <v>15</v>
      </c>
      <c r="C1066" s="107">
        <v>14</v>
      </c>
      <c r="D1066" s="107">
        <v>3</v>
      </c>
      <c r="E1066" s="107" t="s">
        <v>640</v>
      </c>
      <c r="F1066" s="107" t="s">
        <v>641</v>
      </c>
      <c r="G1066" s="161">
        <v>45353</v>
      </c>
      <c r="H1066" s="107">
        <f t="shared" si="21"/>
        <v>4</v>
      </c>
    </row>
    <row r="1067" spans="1:8">
      <c r="A1067" s="107">
        <v>1</v>
      </c>
      <c r="B1067" s="107">
        <v>15</v>
      </c>
      <c r="C1067" s="107">
        <v>14</v>
      </c>
      <c r="D1067" s="107">
        <v>4</v>
      </c>
      <c r="E1067" s="107" t="s">
        <v>640</v>
      </c>
      <c r="F1067" s="107" t="s">
        <v>641</v>
      </c>
      <c r="G1067" s="161">
        <v>45353</v>
      </c>
      <c r="H1067" s="107">
        <f t="shared" si="21"/>
        <v>4</v>
      </c>
    </row>
    <row r="1068" spans="1:8">
      <c r="A1068" s="107">
        <v>1</v>
      </c>
      <c r="B1068" s="107">
        <v>15</v>
      </c>
      <c r="C1068" s="107">
        <v>15</v>
      </c>
      <c r="D1068" s="107">
        <v>1</v>
      </c>
      <c r="E1068" s="107" t="s">
        <v>612</v>
      </c>
      <c r="F1068" s="107" t="s">
        <v>613</v>
      </c>
      <c r="G1068" s="161">
        <v>45354</v>
      </c>
      <c r="H1068" s="107">
        <f t="shared" si="21"/>
        <v>5</v>
      </c>
    </row>
    <row r="1069" spans="1:8">
      <c r="A1069" s="107">
        <v>1</v>
      </c>
      <c r="B1069" s="107">
        <v>15</v>
      </c>
      <c r="C1069" s="107">
        <v>15</v>
      </c>
      <c r="D1069" s="107">
        <v>2</v>
      </c>
      <c r="E1069" s="107" t="s">
        <v>612</v>
      </c>
      <c r="F1069" s="107" t="s">
        <v>613</v>
      </c>
      <c r="G1069" s="161">
        <v>45353</v>
      </c>
      <c r="H1069" s="107">
        <f t="shared" si="21"/>
        <v>4</v>
      </c>
    </row>
    <row r="1070" spans="1:8">
      <c r="A1070" s="107">
        <v>1</v>
      </c>
      <c r="B1070" s="107">
        <v>15</v>
      </c>
      <c r="C1070" s="107">
        <v>15</v>
      </c>
      <c r="D1070" s="107">
        <v>3</v>
      </c>
      <c r="E1070" s="107" t="s">
        <v>612</v>
      </c>
      <c r="F1070" s="107" t="s">
        <v>613</v>
      </c>
      <c r="G1070" s="161">
        <v>45353</v>
      </c>
      <c r="H1070" s="107">
        <f t="shared" si="21"/>
        <v>4</v>
      </c>
    </row>
    <row r="1071" spans="1:8">
      <c r="A1071" s="107">
        <v>1</v>
      </c>
      <c r="B1071" s="107">
        <v>15</v>
      </c>
      <c r="C1071" s="107">
        <v>15</v>
      </c>
      <c r="D1071" s="107">
        <v>4</v>
      </c>
      <c r="E1071" s="107" t="s">
        <v>612</v>
      </c>
      <c r="F1071" s="107" t="s">
        <v>613</v>
      </c>
      <c r="G1071" s="161">
        <v>45353</v>
      </c>
      <c r="H1071" s="107">
        <f t="shared" si="21"/>
        <v>4</v>
      </c>
    </row>
    <row r="1072" spans="1:8">
      <c r="A1072" s="107">
        <v>1</v>
      </c>
      <c r="B1072" s="107">
        <v>15</v>
      </c>
      <c r="C1072" s="107">
        <v>16</v>
      </c>
      <c r="D1072" s="107">
        <v>1</v>
      </c>
      <c r="E1072" s="107" t="s">
        <v>614</v>
      </c>
      <c r="F1072" s="107" t="s">
        <v>615</v>
      </c>
      <c r="G1072" s="161">
        <v>45353</v>
      </c>
      <c r="H1072" s="107">
        <f t="shared" si="21"/>
        <v>4</v>
      </c>
    </row>
    <row r="1073" spans="1:8">
      <c r="A1073" s="107">
        <v>1</v>
      </c>
      <c r="B1073" s="107">
        <v>15</v>
      </c>
      <c r="C1073" s="107">
        <v>16</v>
      </c>
      <c r="D1073" s="107">
        <v>2</v>
      </c>
      <c r="E1073" s="107" t="s">
        <v>614</v>
      </c>
      <c r="F1073" s="107" t="s">
        <v>615</v>
      </c>
      <c r="G1073" s="161">
        <v>45354</v>
      </c>
      <c r="H1073" s="107">
        <f t="shared" si="21"/>
        <v>5</v>
      </c>
    </row>
    <row r="1074" spans="1:8">
      <c r="A1074" s="107">
        <v>1</v>
      </c>
      <c r="B1074" s="107">
        <v>15</v>
      </c>
      <c r="C1074" s="107">
        <v>16</v>
      </c>
      <c r="D1074" s="107">
        <v>3</v>
      </c>
      <c r="E1074" s="107" t="s">
        <v>614</v>
      </c>
      <c r="F1074" s="107" t="s">
        <v>615</v>
      </c>
      <c r="G1074" s="161">
        <v>45353</v>
      </c>
      <c r="H1074" s="107">
        <f t="shared" si="21"/>
        <v>4</v>
      </c>
    </row>
    <row r="1075" spans="1:8">
      <c r="A1075" s="107">
        <v>1</v>
      </c>
      <c r="B1075" s="107">
        <v>15</v>
      </c>
      <c r="C1075" s="107">
        <v>16</v>
      </c>
      <c r="D1075" s="107">
        <v>4</v>
      </c>
      <c r="E1075" s="107" t="s">
        <v>614</v>
      </c>
      <c r="F1075" s="107" t="s">
        <v>615</v>
      </c>
      <c r="G1075" s="161">
        <v>45353</v>
      </c>
      <c r="H1075" s="107">
        <f t="shared" si="21"/>
        <v>4</v>
      </c>
    </row>
    <row r="1076" spans="1:8">
      <c r="A1076" s="107">
        <v>1</v>
      </c>
      <c r="B1076" s="107">
        <v>15</v>
      </c>
      <c r="C1076" s="107">
        <v>17</v>
      </c>
      <c r="D1076" s="107">
        <v>1</v>
      </c>
      <c r="E1076" s="107" t="s">
        <v>634</v>
      </c>
      <c r="F1076" s="107" t="s">
        <v>635</v>
      </c>
      <c r="G1076" s="161">
        <v>45353</v>
      </c>
      <c r="H1076" s="107">
        <f t="shared" si="21"/>
        <v>4</v>
      </c>
    </row>
    <row r="1077" spans="1:8">
      <c r="A1077" s="107">
        <v>1</v>
      </c>
      <c r="B1077" s="107">
        <v>15</v>
      </c>
      <c r="C1077" s="107">
        <v>17</v>
      </c>
      <c r="D1077" s="107">
        <v>2</v>
      </c>
      <c r="E1077" s="107" t="s">
        <v>634</v>
      </c>
      <c r="F1077" s="107" t="s">
        <v>635</v>
      </c>
      <c r="G1077" s="161">
        <v>45353</v>
      </c>
      <c r="H1077" s="107">
        <f t="shared" si="21"/>
        <v>4</v>
      </c>
    </row>
    <row r="1078" spans="1:8">
      <c r="A1078" s="107">
        <v>1</v>
      </c>
      <c r="B1078" s="107">
        <v>15</v>
      </c>
      <c r="C1078" s="107">
        <v>17</v>
      </c>
      <c r="D1078" s="107">
        <v>3</v>
      </c>
      <c r="E1078" s="107" t="s">
        <v>634</v>
      </c>
      <c r="F1078" s="107" t="s">
        <v>635</v>
      </c>
      <c r="G1078" s="161">
        <v>45354</v>
      </c>
      <c r="H1078" s="107">
        <f t="shared" si="21"/>
        <v>5</v>
      </c>
    </row>
    <row r="1079" spans="1:8">
      <c r="A1079" s="107">
        <v>1</v>
      </c>
      <c r="B1079" s="107">
        <v>15</v>
      </c>
      <c r="C1079" s="107">
        <v>17</v>
      </c>
      <c r="D1079" s="107">
        <v>4</v>
      </c>
      <c r="E1079" s="107" t="s">
        <v>634</v>
      </c>
      <c r="F1079" s="107" t="s">
        <v>635</v>
      </c>
      <c r="G1079" s="161">
        <v>45354</v>
      </c>
      <c r="H1079" s="107">
        <f t="shared" si="21"/>
        <v>5</v>
      </c>
    </row>
    <row r="1080" spans="1:8">
      <c r="A1080" s="107">
        <v>1</v>
      </c>
      <c r="B1080" s="107">
        <v>15</v>
      </c>
      <c r="C1080" s="107">
        <v>18</v>
      </c>
      <c r="D1080" s="107">
        <v>1</v>
      </c>
      <c r="E1080" s="107" t="s">
        <v>622</v>
      </c>
      <c r="F1080" s="107" t="s">
        <v>623</v>
      </c>
      <c r="G1080" s="161">
        <v>45353</v>
      </c>
      <c r="H1080" s="107">
        <f t="shared" si="21"/>
        <v>4</v>
      </c>
    </row>
    <row r="1081" spans="1:8">
      <c r="A1081" s="107">
        <v>1</v>
      </c>
      <c r="B1081" s="107">
        <v>15</v>
      </c>
      <c r="C1081" s="107">
        <v>18</v>
      </c>
      <c r="D1081" s="107">
        <v>2</v>
      </c>
      <c r="E1081" s="107" t="s">
        <v>622</v>
      </c>
      <c r="F1081" s="107" t="s">
        <v>623</v>
      </c>
      <c r="G1081" s="161">
        <v>45353</v>
      </c>
      <c r="H1081" s="107">
        <f t="shared" si="21"/>
        <v>4</v>
      </c>
    </row>
    <row r="1082" spans="1:8">
      <c r="A1082" s="107">
        <v>1</v>
      </c>
      <c r="B1082" s="107">
        <v>15</v>
      </c>
      <c r="C1082" s="107">
        <v>18</v>
      </c>
      <c r="D1082" s="107">
        <v>3</v>
      </c>
      <c r="E1082" s="107" t="s">
        <v>622</v>
      </c>
      <c r="F1082" s="107" t="s">
        <v>623</v>
      </c>
      <c r="G1082" s="161">
        <v>45353</v>
      </c>
      <c r="H1082" s="107">
        <f t="shared" si="21"/>
        <v>4</v>
      </c>
    </row>
    <row r="1083" spans="1:8">
      <c r="A1083" s="107">
        <v>1</v>
      </c>
      <c r="B1083" s="107">
        <v>15</v>
      </c>
      <c r="C1083" s="107">
        <v>18</v>
      </c>
      <c r="D1083" s="107">
        <v>4</v>
      </c>
      <c r="E1083" s="107" t="s">
        <v>622</v>
      </c>
      <c r="F1083" s="107" t="s">
        <v>623</v>
      </c>
      <c r="G1083" s="161">
        <v>45353</v>
      </c>
      <c r="H1083" s="107">
        <f t="shared" si="21"/>
        <v>4</v>
      </c>
    </row>
    <row r="1084" spans="1:8">
      <c r="A1084" s="107">
        <v>1</v>
      </c>
      <c r="B1084" s="107">
        <v>16</v>
      </c>
      <c r="C1084" s="107">
        <v>1</v>
      </c>
      <c r="D1084" s="107">
        <v>1</v>
      </c>
      <c r="E1084" s="107" t="s">
        <v>658</v>
      </c>
      <c r="F1084" s="107" t="s">
        <v>659</v>
      </c>
      <c r="G1084" s="161"/>
      <c r="H1084" s="107"/>
    </row>
    <row r="1085" spans="1:8">
      <c r="A1085" s="107">
        <v>1</v>
      </c>
      <c r="B1085" s="107">
        <v>16</v>
      </c>
      <c r="C1085" s="107">
        <v>1</v>
      </c>
      <c r="D1085" s="107">
        <v>2</v>
      </c>
      <c r="E1085" s="107" t="s">
        <v>658</v>
      </c>
      <c r="F1085" s="107" t="s">
        <v>659</v>
      </c>
      <c r="G1085" s="161">
        <v>45353</v>
      </c>
      <c r="H1085" s="107">
        <f t="shared" si="21"/>
        <v>4</v>
      </c>
    </row>
    <row r="1086" spans="1:8">
      <c r="A1086" s="107">
        <v>1</v>
      </c>
      <c r="B1086" s="107">
        <v>16</v>
      </c>
      <c r="C1086" s="107">
        <v>1</v>
      </c>
      <c r="D1086" s="107">
        <v>3</v>
      </c>
      <c r="E1086" s="107" t="s">
        <v>658</v>
      </c>
      <c r="F1086" s="107" t="s">
        <v>659</v>
      </c>
      <c r="G1086" s="161">
        <v>45354</v>
      </c>
      <c r="H1086" s="107">
        <f t="shared" si="21"/>
        <v>5</v>
      </c>
    </row>
    <row r="1087" spans="1:8">
      <c r="A1087" s="107">
        <v>1</v>
      </c>
      <c r="B1087" s="107">
        <v>16</v>
      </c>
      <c r="C1087" s="107">
        <v>1</v>
      </c>
      <c r="D1087" s="107">
        <v>4</v>
      </c>
      <c r="E1087" s="107" t="s">
        <v>658</v>
      </c>
      <c r="F1087" s="107" t="s">
        <v>659</v>
      </c>
      <c r="G1087" s="161">
        <v>45353</v>
      </c>
      <c r="H1087" s="107">
        <f t="shared" si="21"/>
        <v>4</v>
      </c>
    </row>
    <row r="1088" spans="1:8">
      <c r="A1088" s="107">
        <v>1</v>
      </c>
      <c r="B1088" s="107">
        <v>16</v>
      </c>
      <c r="C1088" s="107">
        <v>2</v>
      </c>
      <c r="D1088" s="107">
        <v>1</v>
      </c>
      <c r="E1088" s="107" t="s">
        <v>648</v>
      </c>
      <c r="F1088" s="107" t="s">
        <v>649</v>
      </c>
      <c r="G1088" s="161">
        <v>45353</v>
      </c>
      <c r="H1088" s="107">
        <f t="shared" si="21"/>
        <v>4</v>
      </c>
    </row>
    <row r="1089" spans="1:8">
      <c r="A1089" s="107">
        <v>1</v>
      </c>
      <c r="B1089" s="107">
        <v>16</v>
      </c>
      <c r="C1089" s="107">
        <v>2</v>
      </c>
      <c r="D1089" s="107">
        <v>2</v>
      </c>
      <c r="E1089" s="107" t="s">
        <v>648</v>
      </c>
      <c r="F1089" s="107" t="s">
        <v>649</v>
      </c>
      <c r="G1089" s="161">
        <v>45353</v>
      </c>
      <c r="H1089" s="107">
        <f t="shared" si="21"/>
        <v>4</v>
      </c>
    </row>
    <row r="1090" spans="1:8">
      <c r="A1090" s="107">
        <v>1</v>
      </c>
      <c r="B1090" s="107">
        <v>16</v>
      </c>
      <c r="C1090" s="107">
        <v>2</v>
      </c>
      <c r="D1090" s="107">
        <v>3</v>
      </c>
      <c r="E1090" s="107" t="s">
        <v>648</v>
      </c>
      <c r="F1090" s="107" t="s">
        <v>649</v>
      </c>
      <c r="G1090" s="161">
        <v>45354</v>
      </c>
      <c r="H1090" s="107">
        <f t="shared" si="21"/>
        <v>5</v>
      </c>
    </row>
    <row r="1091" spans="1:8">
      <c r="A1091" s="107">
        <v>1</v>
      </c>
      <c r="B1091" s="107">
        <v>16</v>
      </c>
      <c r="C1091" s="107">
        <v>2</v>
      </c>
      <c r="D1091" s="107">
        <v>4</v>
      </c>
      <c r="E1091" s="107" t="s">
        <v>648</v>
      </c>
      <c r="F1091" s="107" t="s">
        <v>649</v>
      </c>
      <c r="G1091" s="107"/>
      <c r="H1091" s="107"/>
    </row>
    <row r="1092" spans="1:8">
      <c r="A1092" s="107">
        <v>1</v>
      </c>
      <c r="B1092" s="107">
        <v>16</v>
      </c>
      <c r="C1092" s="107">
        <v>3</v>
      </c>
      <c r="D1092" s="107">
        <v>1</v>
      </c>
      <c r="E1092" s="107" t="s">
        <v>682</v>
      </c>
      <c r="F1092" s="107" t="s">
        <v>683</v>
      </c>
      <c r="G1092" s="161">
        <v>45354</v>
      </c>
      <c r="H1092" s="107">
        <f t="shared" si="21"/>
        <v>5</v>
      </c>
    </row>
    <row r="1093" spans="1:8">
      <c r="A1093" s="107">
        <v>1</v>
      </c>
      <c r="B1093" s="107">
        <v>16</v>
      </c>
      <c r="C1093" s="107">
        <v>3</v>
      </c>
      <c r="D1093" s="107">
        <v>2</v>
      </c>
      <c r="E1093" s="107" t="s">
        <v>682</v>
      </c>
      <c r="F1093" s="107" t="s">
        <v>683</v>
      </c>
      <c r="G1093" s="161">
        <v>45354</v>
      </c>
      <c r="H1093" s="107">
        <f t="shared" ref="H1093:H1156" si="22">DATEDIF($H$2,G1093,"d")</f>
        <v>5</v>
      </c>
    </row>
    <row r="1094" spans="1:8">
      <c r="A1094" s="107">
        <v>1</v>
      </c>
      <c r="B1094" s="107">
        <v>16</v>
      </c>
      <c r="C1094" s="107">
        <v>3</v>
      </c>
      <c r="D1094" s="107">
        <v>3</v>
      </c>
      <c r="E1094" s="107" t="s">
        <v>682</v>
      </c>
      <c r="F1094" s="107" t="s">
        <v>683</v>
      </c>
      <c r="G1094" s="161">
        <v>45353</v>
      </c>
      <c r="H1094" s="107">
        <f t="shared" si="22"/>
        <v>4</v>
      </c>
    </row>
    <row r="1095" spans="1:8">
      <c r="A1095" s="107">
        <v>1</v>
      </c>
      <c r="B1095" s="107">
        <v>16</v>
      </c>
      <c r="C1095" s="107">
        <v>3</v>
      </c>
      <c r="D1095" s="107">
        <v>4</v>
      </c>
      <c r="E1095" s="107" t="s">
        <v>682</v>
      </c>
      <c r="F1095" s="107" t="s">
        <v>683</v>
      </c>
      <c r="G1095" s="161">
        <v>45353</v>
      </c>
      <c r="H1095" s="107">
        <f t="shared" si="22"/>
        <v>4</v>
      </c>
    </row>
    <row r="1096" spans="1:8">
      <c r="A1096" s="107">
        <v>1</v>
      </c>
      <c r="B1096" s="107">
        <v>16</v>
      </c>
      <c r="C1096" s="107">
        <v>4</v>
      </c>
      <c r="D1096" s="107">
        <v>1</v>
      </c>
      <c r="E1096" s="107" t="s">
        <v>656</v>
      </c>
      <c r="F1096" s="107" t="s">
        <v>657</v>
      </c>
      <c r="G1096" s="161">
        <v>45354</v>
      </c>
      <c r="H1096" s="107">
        <f t="shared" si="22"/>
        <v>5</v>
      </c>
    </row>
    <row r="1097" spans="1:8">
      <c r="A1097" s="107">
        <v>1</v>
      </c>
      <c r="B1097" s="107">
        <v>16</v>
      </c>
      <c r="C1097" s="107">
        <v>4</v>
      </c>
      <c r="D1097" s="107">
        <v>2</v>
      </c>
      <c r="E1097" s="107" t="s">
        <v>656</v>
      </c>
      <c r="F1097" s="107" t="s">
        <v>657</v>
      </c>
      <c r="G1097" s="161">
        <v>45353</v>
      </c>
      <c r="H1097" s="107">
        <f t="shared" si="22"/>
        <v>4</v>
      </c>
    </row>
    <row r="1098" spans="1:8">
      <c r="A1098" s="107">
        <v>1</v>
      </c>
      <c r="B1098" s="107">
        <v>16</v>
      </c>
      <c r="C1098" s="107">
        <v>4</v>
      </c>
      <c r="D1098" s="107">
        <v>3</v>
      </c>
      <c r="E1098" s="107" t="s">
        <v>656</v>
      </c>
      <c r="F1098" s="107" t="s">
        <v>657</v>
      </c>
      <c r="G1098" s="161">
        <v>45353</v>
      </c>
      <c r="H1098" s="107">
        <f t="shared" si="22"/>
        <v>4</v>
      </c>
    </row>
    <row r="1099" spans="1:8">
      <c r="A1099" s="107">
        <v>1</v>
      </c>
      <c r="B1099" s="107">
        <v>16</v>
      </c>
      <c r="C1099" s="107">
        <v>4</v>
      </c>
      <c r="D1099" s="107">
        <v>4</v>
      </c>
      <c r="E1099" s="107" t="s">
        <v>656</v>
      </c>
      <c r="F1099" s="107" t="s">
        <v>657</v>
      </c>
      <c r="G1099" s="161">
        <v>45353</v>
      </c>
      <c r="H1099" s="107">
        <f t="shared" si="22"/>
        <v>4</v>
      </c>
    </row>
    <row r="1100" spans="1:8">
      <c r="A1100" s="107">
        <v>1</v>
      </c>
      <c r="B1100" s="107">
        <v>16</v>
      </c>
      <c r="C1100" s="107">
        <v>5</v>
      </c>
      <c r="D1100" s="107">
        <v>1</v>
      </c>
      <c r="E1100" s="107" t="s">
        <v>664</v>
      </c>
      <c r="F1100" s="107" t="s">
        <v>665</v>
      </c>
      <c r="G1100" s="161">
        <v>45353</v>
      </c>
      <c r="H1100" s="107">
        <f t="shared" si="22"/>
        <v>4</v>
      </c>
    </row>
    <row r="1101" spans="1:8">
      <c r="A1101" s="107">
        <v>1</v>
      </c>
      <c r="B1101" s="107">
        <v>16</v>
      </c>
      <c r="C1101" s="107">
        <v>5</v>
      </c>
      <c r="D1101" s="107">
        <v>2</v>
      </c>
      <c r="E1101" s="107" t="s">
        <v>664</v>
      </c>
      <c r="F1101" s="107" t="s">
        <v>665</v>
      </c>
      <c r="G1101" s="161">
        <v>45353</v>
      </c>
      <c r="H1101" s="107">
        <f t="shared" si="22"/>
        <v>4</v>
      </c>
    </row>
    <row r="1102" spans="1:8">
      <c r="A1102" s="107">
        <v>1</v>
      </c>
      <c r="B1102" s="107">
        <v>16</v>
      </c>
      <c r="C1102" s="107">
        <v>5</v>
      </c>
      <c r="D1102" s="107">
        <v>3</v>
      </c>
      <c r="E1102" s="107" t="s">
        <v>664</v>
      </c>
      <c r="F1102" s="107" t="s">
        <v>665</v>
      </c>
      <c r="G1102" s="161">
        <v>45353</v>
      </c>
      <c r="H1102" s="107">
        <f t="shared" si="22"/>
        <v>4</v>
      </c>
    </row>
    <row r="1103" spans="1:8">
      <c r="A1103" s="107">
        <v>1</v>
      </c>
      <c r="B1103" s="107">
        <v>16</v>
      </c>
      <c r="C1103" s="107">
        <v>5</v>
      </c>
      <c r="D1103" s="107">
        <v>4</v>
      </c>
      <c r="E1103" s="107" t="s">
        <v>664</v>
      </c>
      <c r="F1103" s="107" t="s">
        <v>665</v>
      </c>
      <c r="G1103" s="161">
        <v>45353</v>
      </c>
      <c r="H1103" s="107">
        <f t="shared" si="22"/>
        <v>4</v>
      </c>
    </row>
    <row r="1104" spans="1:8">
      <c r="A1104" s="107">
        <v>1</v>
      </c>
      <c r="B1104" s="107">
        <v>16</v>
      </c>
      <c r="C1104" s="107">
        <v>6</v>
      </c>
      <c r="D1104" s="107">
        <v>1</v>
      </c>
      <c r="E1104" s="107" t="s">
        <v>680</v>
      </c>
      <c r="F1104" s="107" t="s">
        <v>681</v>
      </c>
      <c r="G1104" s="161">
        <v>45353</v>
      </c>
      <c r="H1104" s="107">
        <f t="shared" si="22"/>
        <v>4</v>
      </c>
    </row>
    <row r="1105" spans="1:8">
      <c r="A1105" s="107">
        <v>1</v>
      </c>
      <c r="B1105" s="107">
        <v>16</v>
      </c>
      <c r="C1105" s="107">
        <v>6</v>
      </c>
      <c r="D1105" s="107">
        <v>2</v>
      </c>
      <c r="E1105" s="107" t="s">
        <v>680</v>
      </c>
      <c r="F1105" s="107" t="s">
        <v>681</v>
      </c>
      <c r="G1105" s="161">
        <v>45353</v>
      </c>
      <c r="H1105" s="107">
        <f t="shared" si="22"/>
        <v>4</v>
      </c>
    </row>
    <row r="1106" spans="1:8">
      <c r="A1106" s="107">
        <v>1</v>
      </c>
      <c r="B1106" s="107">
        <v>16</v>
      </c>
      <c r="C1106" s="107">
        <v>6</v>
      </c>
      <c r="D1106" s="107">
        <v>3</v>
      </c>
      <c r="E1106" s="107" t="s">
        <v>680</v>
      </c>
      <c r="F1106" s="107" t="s">
        <v>681</v>
      </c>
      <c r="G1106" s="161">
        <v>45353</v>
      </c>
      <c r="H1106" s="107">
        <f t="shared" si="22"/>
        <v>4</v>
      </c>
    </row>
    <row r="1107" spans="1:8">
      <c r="A1107" s="107">
        <v>1</v>
      </c>
      <c r="B1107" s="107">
        <v>16</v>
      </c>
      <c r="C1107" s="107">
        <v>6</v>
      </c>
      <c r="D1107" s="107">
        <v>4</v>
      </c>
      <c r="E1107" s="107" t="s">
        <v>680</v>
      </c>
      <c r="F1107" s="107" t="s">
        <v>681</v>
      </c>
      <c r="G1107" s="161">
        <v>45353</v>
      </c>
      <c r="H1107" s="107">
        <f t="shared" si="22"/>
        <v>4</v>
      </c>
    </row>
    <row r="1108" spans="1:8">
      <c r="A1108" s="107">
        <v>1</v>
      </c>
      <c r="B1108" s="107">
        <v>16</v>
      </c>
      <c r="C1108" s="107">
        <v>7</v>
      </c>
      <c r="D1108" s="107">
        <v>1</v>
      </c>
      <c r="E1108" s="107" t="s">
        <v>672</v>
      </c>
      <c r="F1108" s="107" t="s">
        <v>673</v>
      </c>
      <c r="G1108" s="107"/>
      <c r="H1108" s="107"/>
    </row>
    <row r="1109" spans="1:8">
      <c r="A1109" s="107">
        <v>1</v>
      </c>
      <c r="B1109" s="107">
        <v>16</v>
      </c>
      <c r="C1109" s="107">
        <v>7</v>
      </c>
      <c r="D1109" s="107">
        <v>2</v>
      </c>
      <c r="E1109" s="107" t="s">
        <v>672</v>
      </c>
      <c r="F1109" s="107" t="s">
        <v>673</v>
      </c>
      <c r="G1109" s="161">
        <v>45353</v>
      </c>
      <c r="H1109" s="107">
        <f t="shared" si="22"/>
        <v>4</v>
      </c>
    </row>
    <row r="1110" spans="1:8">
      <c r="A1110" s="107">
        <v>1</v>
      </c>
      <c r="B1110" s="107">
        <v>16</v>
      </c>
      <c r="C1110" s="107">
        <v>7</v>
      </c>
      <c r="D1110" s="107">
        <v>3</v>
      </c>
      <c r="E1110" s="107" t="s">
        <v>672</v>
      </c>
      <c r="F1110" s="107" t="s">
        <v>673</v>
      </c>
      <c r="G1110" s="161">
        <v>45353</v>
      </c>
      <c r="H1110" s="107">
        <f t="shared" si="22"/>
        <v>4</v>
      </c>
    </row>
    <row r="1111" spans="1:8">
      <c r="A1111" s="107">
        <v>1</v>
      </c>
      <c r="B1111" s="107">
        <v>16</v>
      </c>
      <c r="C1111" s="107">
        <v>7</v>
      </c>
      <c r="D1111" s="107">
        <v>4</v>
      </c>
      <c r="E1111" s="107" t="s">
        <v>672</v>
      </c>
      <c r="F1111" s="107" t="s">
        <v>673</v>
      </c>
      <c r="G1111" s="161">
        <v>45353</v>
      </c>
      <c r="H1111" s="107">
        <f t="shared" si="22"/>
        <v>4</v>
      </c>
    </row>
    <row r="1112" spans="1:8">
      <c r="A1112" s="107">
        <v>1</v>
      </c>
      <c r="B1112" s="107">
        <v>16</v>
      </c>
      <c r="C1112" s="107">
        <v>8</v>
      </c>
      <c r="D1112" s="107">
        <v>1</v>
      </c>
      <c r="E1112" s="107" t="s">
        <v>666</v>
      </c>
      <c r="F1112" s="107" t="s">
        <v>667</v>
      </c>
      <c r="G1112" s="161">
        <v>45353</v>
      </c>
      <c r="H1112" s="107">
        <f t="shared" si="22"/>
        <v>4</v>
      </c>
    </row>
    <row r="1113" spans="1:8">
      <c r="A1113" s="107">
        <v>1</v>
      </c>
      <c r="B1113" s="107">
        <v>16</v>
      </c>
      <c r="C1113" s="107">
        <v>8</v>
      </c>
      <c r="D1113" s="107">
        <v>2</v>
      </c>
      <c r="E1113" s="107" t="s">
        <v>666</v>
      </c>
      <c r="F1113" s="107" t="s">
        <v>667</v>
      </c>
      <c r="G1113" s="161">
        <v>45353</v>
      </c>
      <c r="H1113" s="107">
        <f t="shared" si="22"/>
        <v>4</v>
      </c>
    </row>
    <row r="1114" spans="1:8">
      <c r="A1114" s="107">
        <v>1</v>
      </c>
      <c r="B1114" s="107">
        <v>16</v>
      </c>
      <c r="C1114" s="107">
        <v>8</v>
      </c>
      <c r="D1114" s="107">
        <v>3</v>
      </c>
      <c r="E1114" s="107" t="s">
        <v>666</v>
      </c>
      <c r="F1114" s="107" t="s">
        <v>667</v>
      </c>
      <c r="G1114" s="161">
        <v>45353</v>
      </c>
      <c r="H1114" s="107">
        <f t="shared" si="22"/>
        <v>4</v>
      </c>
    </row>
    <row r="1115" spans="1:8">
      <c r="A1115" s="107">
        <v>1</v>
      </c>
      <c r="B1115" s="107">
        <v>16</v>
      </c>
      <c r="C1115" s="107">
        <v>8</v>
      </c>
      <c r="D1115" s="107">
        <v>4</v>
      </c>
      <c r="E1115" s="107" t="s">
        <v>666</v>
      </c>
      <c r="F1115" s="107" t="s">
        <v>667</v>
      </c>
      <c r="G1115" s="161">
        <v>45353</v>
      </c>
      <c r="H1115" s="107">
        <f t="shared" si="22"/>
        <v>4</v>
      </c>
    </row>
    <row r="1116" spans="1:8">
      <c r="A1116" s="107">
        <v>1</v>
      </c>
      <c r="B1116" s="107">
        <v>16</v>
      </c>
      <c r="C1116" s="107">
        <v>9</v>
      </c>
      <c r="D1116" s="107">
        <v>1</v>
      </c>
      <c r="E1116" s="107" t="s">
        <v>652</v>
      </c>
      <c r="F1116" s="107" t="s">
        <v>653</v>
      </c>
      <c r="G1116" s="161">
        <v>45354</v>
      </c>
      <c r="H1116" s="107">
        <f t="shared" si="22"/>
        <v>5</v>
      </c>
    </row>
    <row r="1117" spans="1:8">
      <c r="A1117" s="107">
        <v>1</v>
      </c>
      <c r="B1117" s="107">
        <v>16</v>
      </c>
      <c r="C1117" s="107">
        <v>9</v>
      </c>
      <c r="D1117" s="107">
        <v>2</v>
      </c>
      <c r="E1117" s="107" t="s">
        <v>652</v>
      </c>
      <c r="F1117" s="107" t="s">
        <v>653</v>
      </c>
      <c r="G1117" s="161">
        <v>45353</v>
      </c>
      <c r="H1117" s="107">
        <f t="shared" si="22"/>
        <v>4</v>
      </c>
    </row>
    <row r="1118" spans="1:8">
      <c r="A1118" s="107">
        <v>1</v>
      </c>
      <c r="B1118" s="107">
        <v>16</v>
      </c>
      <c r="C1118" s="107">
        <v>9</v>
      </c>
      <c r="D1118" s="107">
        <v>3</v>
      </c>
      <c r="E1118" s="107" t="s">
        <v>652</v>
      </c>
      <c r="F1118" s="107" t="s">
        <v>653</v>
      </c>
      <c r="G1118" s="161">
        <v>45353</v>
      </c>
      <c r="H1118" s="107">
        <f t="shared" si="22"/>
        <v>4</v>
      </c>
    </row>
    <row r="1119" spans="1:8">
      <c r="A1119" s="107">
        <v>1</v>
      </c>
      <c r="B1119" s="107">
        <v>16</v>
      </c>
      <c r="C1119" s="107">
        <v>9</v>
      </c>
      <c r="D1119" s="107">
        <v>4</v>
      </c>
      <c r="E1119" s="107" t="s">
        <v>652</v>
      </c>
      <c r="F1119" s="107" t="s">
        <v>653</v>
      </c>
      <c r="G1119" s="161">
        <v>45354</v>
      </c>
      <c r="H1119" s="107">
        <f t="shared" si="22"/>
        <v>5</v>
      </c>
    </row>
    <row r="1120" spans="1:8">
      <c r="A1120" s="107">
        <v>1</v>
      </c>
      <c r="B1120" s="107">
        <v>16</v>
      </c>
      <c r="C1120" s="107">
        <v>10</v>
      </c>
      <c r="D1120" s="107">
        <v>1</v>
      </c>
      <c r="E1120" s="107" t="s">
        <v>660</v>
      </c>
      <c r="F1120" s="107" t="s">
        <v>661</v>
      </c>
      <c r="G1120" s="161">
        <v>45353</v>
      </c>
      <c r="H1120" s="107">
        <f t="shared" si="22"/>
        <v>4</v>
      </c>
    </row>
    <row r="1121" spans="1:8">
      <c r="A1121" s="107">
        <v>1</v>
      </c>
      <c r="B1121" s="107">
        <v>16</v>
      </c>
      <c r="C1121" s="107">
        <v>10</v>
      </c>
      <c r="D1121" s="107">
        <v>2</v>
      </c>
      <c r="E1121" s="107" t="s">
        <v>660</v>
      </c>
      <c r="F1121" s="107" t="s">
        <v>661</v>
      </c>
      <c r="G1121" s="161">
        <v>45353</v>
      </c>
      <c r="H1121" s="107">
        <f t="shared" si="22"/>
        <v>4</v>
      </c>
    </row>
    <row r="1122" spans="1:8">
      <c r="A1122" s="107">
        <v>1</v>
      </c>
      <c r="B1122" s="107">
        <v>16</v>
      </c>
      <c r="C1122" s="107">
        <v>10</v>
      </c>
      <c r="D1122" s="107">
        <v>3</v>
      </c>
      <c r="E1122" s="107" t="s">
        <v>660</v>
      </c>
      <c r="F1122" s="107" t="s">
        <v>661</v>
      </c>
      <c r="G1122" s="161">
        <v>45353</v>
      </c>
      <c r="H1122" s="107">
        <f t="shared" si="22"/>
        <v>4</v>
      </c>
    </row>
    <row r="1123" spans="1:8">
      <c r="A1123" s="107">
        <v>1</v>
      </c>
      <c r="B1123" s="107">
        <v>16</v>
      </c>
      <c r="C1123" s="107">
        <v>10</v>
      </c>
      <c r="D1123" s="107">
        <v>4</v>
      </c>
      <c r="E1123" s="107" t="s">
        <v>660</v>
      </c>
      <c r="F1123" s="107" t="s">
        <v>661</v>
      </c>
      <c r="G1123" s="161">
        <v>45353</v>
      </c>
      <c r="H1123" s="107">
        <f t="shared" si="22"/>
        <v>4</v>
      </c>
    </row>
    <row r="1124" spans="1:8">
      <c r="A1124" s="107">
        <v>1</v>
      </c>
      <c r="B1124" s="107">
        <v>16</v>
      </c>
      <c r="C1124" s="107">
        <v>11</v>
      </c>
      <c r="D1124" s="107">
        <v>1</v>
      </c>
      <c r="E1124" s="107" t="s">
        <v>654</v>
      </c>
      <c r="F1124" s="107" t="s">
        <v>655</v>
      </c>
      <c r="G1124" s="161">
        <v>45354</v>
      </c>
      <c r="H1124" s="107">
        <f t="shared" si="22"/>
        <v>5</v>
      </c>
    </row>
    <row r="1125" spans="1:8">
      <c r="A1125" s="107">
        <v>1</v>
      </c>
      <c r="B1125" s="107">
        <v>16</v>
      </c>
      <c r="C1125" s="107">
        <v>11</v>
      </c>
      <c r="D1125" s="107">
        <v>2</v>
      </c>
      <c r="E1125" s="107" t="s">
        <v>654</v>
      </c>
      <c r="F1125" s="107" t="s">
        <v>655</v>
      </c>
      <c r="G1125" s="161">
        <v>45354</v>
      </c>
      <c r="H1125" s="107">
        <f t="shared" si="22"/>
        <v>5</v>
      </c>
    </row>
    <row r="1126" spans="1:8">
      <c r="A1126" s="107">
        <v>1</v>
      </c>
      <c r="B1126" s="107">
        <v>16</v>
      </c>
      <c r="C1126" s="107">
        <v>11</v>
      </c>
      <c r="D1126" s="107">
        <v>3</v>
      </c>
      <c r="E1126" s="107" t="s">
        <v>654</v>
      </c>
      <c r="F1126" s="107" t="s">
        <v>655</v>
      </c>
      <c r="G1126" s="161">
        <v>45354</v>
      </c>
      <c r="H1126" s="107">
        <f t="shared" si="22"/>
        <v>5</v>
      </c>
    </row>
    <row r="1127" spans="1:8">
      <c r="A1127" s="107">
        <v>1</v>
      </c>
      <c r="B1127" s="107">
        <v>16</v>
      </c>
      <c r="C1127" s="107">
        <v>11</v>
      </c>
      <c r="D1127" s="107">
        <v>4</v>
      </c>
      <c r="E1127" s="107" t="s">
        <v>654</v>
      </c>
      <c r="F1127" s="107" t="s">
        <v>655</v>
      </c>
      <c r="G1127" s="161">
        <v>45354</v>
      </c>
      <c r="H1127" s="107">
        <f t="shared" si="22"/>
        <v>5</v>
      </c>
    </row>
    <row r="1128" spans="1:8">
      <c r="A1128" s="107">
        <v>1</v>
      </c>
      <c r="B1128" s="107">
        <v>16</v>
      </c>
      <c r="C1128" s="107">
        <v>12</v>
      </c>
      <c r="D1128" s="107">
        <v>1</v>
      </c>
      <c r="E1128" s="107" t="s">
        <v>676</v>
      </c>
      <c r="F1128" s="107" t="s">
        <v>677</v>
      </c>
      <c r="G1128" s="161">
        <v>45355</v>
      </c>
      <c r="H1128" s="107">
        <f t="shared" si="22"/>
        <v>6</v>
      </c>
    </row>
    <row r="1129" spans="1:8">
      <c r="A1129" s="107">
        <v>1</v>
      </c>
      <c r="B1129" s="107">
        <v>16</v>
      </c>
      <c r="C1129" s="107">
        <v>12</v>
      </c>
      <c r="D1129" s="107">
        <v>2</v>
      </c>
      <c r="E1129" s="107" t="s">
        <v>676</v>
      </c>
      <c r="F1129" s="107" t="s">
        <v>677</v>
      </c>
      <c r="G1129" s="161">
        <v>45354</v>
      </c>
      <c r="H1129" s="107">
        <f t="shared" si="22"/>
        <v>5</v>
      </c>
    </row>
    <row r="1130" spans="1:8">
      <c r="A1130" s="107">
        <v>1</v>
      </c>
      <c r="B1130" s="107">
        <v>16</v>
      </c>
      <c r="C1130" s="107">
        <v>12</v>
      </c>
      <c r="D1130" s="107">
        <v>3</v>
      </c>
      <c r="E1130" s="107" t="s">
        <v>676</v>
      </c>
      <c r="F1130" s="107" t="s">
        <v>677</v>
      </c>
      <c r="G1130" s="161">
        <v>45354</v>
      </c>
      <c r="H1130" s="107">
        <f t="shared" si="22"/>
        <v>5</v>
      </c>
    </row>
    <row r="1131" spans="1:8">
      <c r="A1131" s="107">
        <v>1</v>
      </c>
      <c r="B1131" s="107">
        <v>16</v>
      </c>
      <c r="C1131" s="107">
        <v>12</v>
      </c>
      <c r="D1131" s="107">
        <v>4</v>
      </c>
      <c r="E1131" s="107" t="s">
        <v>676</v>
      </c>
      <c r="F1131" s="107" t="s">
        <v>677</v>
      </c>
      <c r="G1131" s="161">
        <v>45354</v>
      </c>
      <c r="H1131" s="107">
        <f t="shared" si="22"/>
        <v>5</v>
      </c>
    </row>
    <row r="1132" spans="1:8">
      <c r="A1132" s="107">
        <v>1</v>
      </c>
      <c r="B1132" s="107">
        <v>16</v>
      </c>
      <c r="C1132" s="107">
        <v>13</v>
      </c>
      <c r="D1132" s="107">
        <v>1</v>
      </c>
      <c r="E1132" s="107" t="s">
        <v>668</v>
      </c>
      <c r="F1132" s="107" t="s">
        <v>669</v>
      </c>
      <c r="G1132" s="161">
        <v>45353</v>
      </c>
      <c r="H1132" s="107">
        <f t="shared" si="22"/>
        <v>4</v>
      </c>
    </row>
    <row r="1133" spans="1:8">
      <c r="A1133" s="107">
        <v>1</v>
      </c>
      <c r="B1133" s="107">
        <v>16</v>
      </c>
      <c r="C1133" s="107">
        <v>13</v>
      </c>
      <c r="D1133" s="107">
        <v>2</v>
      </c>
      <c r="E1133" s="107" t="s">
        <v>668</v>
      </c>
      <c r="F1133" s="107" t="s">
        <v>669</v>
      </c>
      <c r="G1133" s="161">
        <v>45353</v>
      </c>
      <c r="H1133" s="107">
        <f t="shared" si="22"/>
        <v>4</v>
      </c>
    </row>
    <row r="1134" spans="1:8">
      <c r="A1134" s="107">
        <v>1</v>
      </c>
      <c r="B1134" s="107">
        <v>16</v>
      </c>
      <c r="C1134" s="107">
        <v>13</v>
      </c>
      <c r="D1134" s="107">
        <v>3</v>
      </c>
      <c r="E1134" s="107" t="s">
        <v>668</v>
      </c>
      <c r="F1134" s="107" t="s">
        <v>669</v>
      </c>
      <c r="G1134" s="161">
        <v>45353</v>
      </c>
      <c r="H1134" s="107">
        <f t="shared" si="22"/>
        <v>4</v>
      </c>
    </row>
    <row r="1135" spans="1:8">
      <c r="A1135" s="107">
        <v>1</v>
      </c>
      <c r="B1135" s="107">
        <v>16</v>
      </c>
      <c r="C1135" s="107">
        <v>13</v>
      </c>
      <c r="D1135" s="107">
        <v>4</v>
      </c>
      <c r="E1135" s="107" t="s">
        <v>668</v>
      </c>
      <c r="F1135" s="107" t="s">
        <v>669</v>
      </c>
      <c r="G1135" s="161">
        <v>45353</v>
      </c>
      <c r="H1135" s="107">
        <f t="shared" si="22"/>
        <v>4</v>
      </c>
    </row>
    <row r="1136" spans="1:8">
      <c r="A1136" s="107">
        <v>1</v>
      </c>
      <c r="B1136" s="107">
        <v>16</v>
      </c>
      <c r="C1136" s="107">
        <v>14</v>
      </c>
      <c r="D1136" s="107">
        <v>1</v>
      </c>
      <c r="E1136" s="107" t="s">
        <v>670</v>
      </c>
      <c r="F1136" s="107" t="s">
        <v>671</v>
      </c>
      <c r="G1136" s="161">
        <v>45353</v>
      </c>
      <c r="H1136" s="107">
        <f t="shared" si="22"/>
        <v>4</v>
      </c>
    </row>
    <row r="1137" spans="1:8">
      <c r="A1137" s="107">
        <v>1</v>
      </c>
      <c r="B1137" s="107">
        <v>16</v>
      </c>
      <c r="C1137" s="107">
        <v>14</v>
      </c>
      <c r="D1137" s="107">
        <v>2</v>
      </c>
      <c r="E1137" s="107" t="s">
        <v>670</v>
      </c>
      <c r="F1137" s="107" t="s">
        <v>671</v>
      </c>
      <c r="G1137" s="161">
        <v>45353</v>
      </c>
      <c r="H1137" s="107">
        <f t="shared" si="22"/>
        <v>4</v>
      </c>
    </row>
    <row r="1138" spans="1:8">
      <c r="A1138" s="107">
        <v>1</v>
      </c>
      <c r="B1138" s="107">
        <v>16</v>
      </c>
      <c r="C1138" s="107">
        <v>14</v>
      </c>
      <c r="D1138" s="107">
        <v>3</v>
      </c>
      <c r="E1138" s="107" t="s">
        <v>670</v>
      </c>
      <c r="F1138" s="107" t="s">
        <v>671</v>
      </c>
      <c r="G1138" s="161">
        <v>45353</v>
      </c>
      <c r="H1138" s="107">
        <f t="shared" si="22"/>
        <v>4</v>
      </c>
    </row>
    <row r="1139" spans="1:8">
      <c r="A1139" s="107">
        <v>1</v>
      </c>
      <c r="B1139" s="107">
        <v>16</v>
      </c>
      <c r="C1139" s="107">
        <v>14</v>
      </c>
      <c r="D1139" s="107">
        <v>4</v>
      </c>
      <c r="E1139" s="107" t="s">
        <v>670</v>
      </c>
      <c r="F1139" s="107" t="s">
        <v>671</v>
      </c>
      <c r="G1139" s="161">
        <v>45353</v>
      </c>
      <c r="H1139" s="107">
        <f t="shared" si="22"/>
        <v>4</v>
      </c>
    </row>
    <row r="1140" spans="1:8">
      <c r="A1140" s="107">
        <v>1</v>
      </c>
      <c r="B1140" s="107">
        <v>16</v>
      </c>
      <c r="C1140" s="107">
        <v>15</v>
      </c>
      <c r="D1140" s="107">
        <v>1</v>
      </c>
      <c r="E1140" s="107" t="s">
        <v>650</v>
      </c>
      <c r="F1140" s="107" t="s">
        <v>651</v>
      </c>
      <c r="G1140" s="161">
        <v>45353</v>
      </c>
      <c r="H1140" s="107">
        <f t="shared" si="22"/>
        <v>4</v>
      </c>
    </row>
    <row r="1141" spans="1:8">
      <c r="A1141" s="107">
        <v>1</v>
      </c>
      <c r="B1141" s="107">
        <v>16</v>
      </c>
      <c r="C1141" s="107">
        <v>15</v>
      </c>
      <c r="D1141" s="107">
        <v>2</v>
      </c>
      <c r="E1141" s="107" t="s">
        <v>650</v>
      </c>
      <c r="F1141" s="107" t="s">
        <v>651</v>
      </c>
      <c r="G1141" s="161">
        <v>45354</v>
      </c>
      <c r="H1141" s="107">
        <f t="shared" si="22"/>
        <v>5</v>
      </c>
    </row>
    <row r="1142" spans="1:8">
      <c r="A1142" s="107">
        <v>1</v>
      </c>
      <c r="B1142" s="107">
        <v>16</v>
      </c>
      <c r="C1142" s="107">
        <v>15</v>
      </c>
      <c r="D1142" s="107">
        <v>3</v>
      </c>
      <c r="E1142" s="107" t="s">
        <v>650</v>
      </c>
      <c r="F1142" s="107" t="s">
        <v>651</v>
      </c>
      <c r="G1142" s="161">
        <v>45354</v>
      </c>
      <c r="H1142" s="107">
        <f t="shared" si="22"/>
        <v>5</v>
      </c>
    </row>
    <row r="1143" spans="1:8">
      <c r="A1143" s="107">
        <v>1</v>
      </c>
      <c r="B1143" s="107">
        <v>16</v>
      </c>
      <c r="C1143" s="107">
        <v>15</v>
      </c>
      <c r="D1143" s="107">
        <v>4</v>
      </c>
      <c r="E1143" s="107" t="s">
        <v>650</v>
      </c>
      <c r="F1143" s="107" t="s">
        <v>651</v>
      </c>
      <c r="G1143" s="161">
        <v>45353</v>
      </c>
      <c r="H1143" s="107">
        <f t="shared" si="22"/>
        <v>4</v>
      </c>
    </row>
    <row r="1144" spans="1:8">
      <c r="A1144" s="107">
        <v>1</v>
      </c>
      <c r="B1144" s="107">
        <v>16</v>
      </c>
      <c r="C1144" s="107">
        <v>16</v>
      </c>
      <c r="D1144" s="107">
        <v>1</v>
      </c>
      <c r="E1144" s="107" t="s">
        <v>662</v>
      </c>
      <c r="F1144" s="107" t="s">
        <v>663</v>
      </c>
      <c r="G1144" s="161">
        <v>45353</v>
      </c>
      <c r="H1144" s="107">
        <f t="shared" si="22"/>
        <v>4</v>
      </c>
    </row>
    <row r="1145" spans="1:8">
      <c r="A1145" s="107">
        <v>1</v>
      </c>
      <c r="B1145" s="107">
        <v>16</v>
      </c>
      <c r="C1145" s="107">
        <v>16</v>
      </c>
      <c r="D1145" s="107">
        <v>2</v>
      </c>
      <c r="E1145" s="107" t="s">
        <v>662</v>
      </c>
      <c r="F1145" s="107" t="s">
        <v>663</v>
      </c>
      <c r="G1145" s="161">
        <v>45353</v>
      </c>
      <c r="H1145" s="107">
        <f t="shared" si="22"/>
        <v>4</v>
      </c>
    </row>
    <row r="1146" spans="1:8">
      <c r="A1146" s="107">
        <v>1</v>
      </c>
      <c r="B1146" s="107">
        <v>16</v>
      </c>
      <c r="C1146" s="107">
        <v>16</v>
      </c>
      <c r="D1146" s="107">
        <v>3</v>
      </c>
      <c r="E1146" s="107" t="s">
        <v>662</v>
      </c>
      <c r="F1146" s="107" t="s">
        <v>663</v>
      </c>
      <c r="G1146" s="161">
        <v>45353</v>
      </c>
      <c r="H1146" s="107">
        <f t="shared" si="22"/>
        <v>4</v>
      </c>
    </row>
    <row r="1147" spans="1:8">
      <c r="A1147" s="107">
        <v>1</v>
      </c>
      <c r="B1147" s="107">
        <v>16</v>
      </c>
      <c r="C1147" s="107">
        <v>16</v>
      </c>
      <c r="D1147" s="107">
        <v>4</v>
      </c>
      <c r="E1147" s="107" t="s">
        <v>662</v>
      </c>
      <c r="F1147" s="107" t="s">
        <v>663</v>
      </c>
      <c r="G1147" s="161">
        <v>45353</v>
      </c>
      <c r="H1147" s="107">
        <f t="shared" si="22"/>
        <v>4</v>
      </c>
    </row>
    <row r="1148" spans="1:8">
      <c r="A1148" s="107">
        <v>1</v>
      </c>
      <c r="B1148" s="107">
        <v>16</v>
      </c>
      <c r="C1148" s="107">
        <v>17</v>
      </c>
      <c r="D1148" s="107">
        <v>1</v>
      </c>
      <c r="E1148" s="107" t="s">
        <v>678</v>
      </c>
      <c r="F1148" s="107" t="s">
        <v>679</v>
      </c>
      <c r="G1148" s="161">
        <v>45353</v>
      </c>
      <c r="H1148" s="107">
        <f t="shared" si="22"/>
        <v>4</v>
      </c>
    </row>
    <row r="1149" spans="1:8">
      <c r="A1149" s="107">
        <v>1</v>
      </c>
      <c r="B1149" s="107">
        <v>16</v>
      </c>
      <c r="C1149" s="107">
        <v>17</v>
      </c>
      <c r="D1149" s="107">
        <v>2</v>
      </c>
      <c r="E1149" s="107" t="s">
        <v>678</v>
      </c>
      <c r="F1149" s="107" t="s">
        <v>679</v>
      </c>
      <c r="G1149" s="161">
        <v>45354</v>
      </c>
      <c r="H1149" s="107">
        <f t="shared" si="22"/>
        <v>5</v>
      </c>
    </row>
    <row r="1150" spans="1:8">
      <c r="A1150" s="107">
        <v>1</v>
      </c>
      <c r="B1150" s="107">
        <v>16</v>
      </c>
      <c r="C1150" s="107">
        <v>17</v>
      </c>
      <c r="D1150" s="107">
        <v>3</v>
      </c>
      <c r="E1150" s="107" t="s">
        <v>678</v>
      </c>
      <c r="F1150" s="107" t="s">
        <v>679</v>
      </c>
      <c r="G1150" s="161">
        <v>45354</v>
      </c>
      <c r="H1150" s="107">
        <f t="shared" si="22"/>
        <v>5</v>
      </c>
    </row>
    <row r="1151" spans="1:8">
      <c r="A1151" s="107">
        <v>1</v>
      </c>
      <c r="B1151" s="107">
        <v>16</v>
      </c>
      <c r="C1151" s="107">
        <v>17</v>
      </c>
      <c r="D1151" s="107">
        <v>4</v>
      </c>
      <c r="E1151" s="107" t="s">
        <v>678</v>
      </c>
      <c r="F1151" s="107" t="s">
        <v>679</v>
      </c>
      <c r="G1151" s="161">
        <v>45353</v>
      </c>
      <c r="H1151" s="107">
        <f t="shared" si="22"/>
        <v>4</v>
      </c>
    </row>
    <row r="1152" spans="1:8">
      <c r="A1152" s="107">
        <v>1</v>
      </c>
      <c r="B1152" s="107">
        <v>16</v>
      </c>
      <c r="C1152" s="107">
        <v>18</v>
      </c>
      <c r="D1152" s="107">
        <v>1</v>
      </c>
      <c r="E1152" s="107" t="s">
        <v>674</v>
      </c>
      <c r="F1152" s="107" t="s">
        <v>675</v>
      </c>
      <c r="G1152" s="161">
        <v>45354</v>
      </c>
      <c r="H1152" s="107">
        <f t="shared" si="22"/>
        <v>5</v>
      </c>
    </row>
    <row r="1153" spans="1:8">
      <c r="A1153" s="107">
        <v>1</v>
      </c>
      <c r="B1153" s="107">
        <v>16</v>
      </c>
      <c r="C1153" s="107">
        <v>18</v>
      </c>
      <c r="D1153" s="107">
        <v>2</v>
      </c>
      <c r="E1153" s="107" t="s">
        <v>674</v>
      </c>
      <c r="F1153" s="107" t="s">
        <v>675</v>
      </c>
      <c r="G1153" s="161">
        <v>45354</v>
      </c>
      <c r="H1153" s="107">
        <f t="shared" si="22"/>
        <v>5</v>
      </c>
    </row>
    <row r="1154" spans="1:8">
      <c r="A1154" s="107">
        <v>1</v>
      </c>
      <c r="B1154" s="107">
        <v>16</v>
      </c>
      <c r="C1154" s="107">
        <v>18</v>
      </c>
      <c r="D1154" s="107">
        <v>3</v>
      </c>
      <c r="E1154" s="107" t="s">
        <v>674</v>
      </c>
      <c r="F1154" s="107" t="s">
        <v>675</v>
      </c>
      <c r="G1154" s="161">
        <v>45353</v>
      </c>
      <c r="H1154" s="107">
        <f t="shared" si="22"/>
        <v>4</v>
      </c>
    </row>
    <row r="1155" spans="1:8">
      <c r="A1155" s="107">
        <v>1</v>
      </c>
      <c r="B1155" s="107">
        <v>16</v>
      </c>
      <c r="C1155" s="107">
        <v>18</v>
      </c>
      <c r="D1155" s="107">
        <v>4</v>
      </c>
      <c r="E1155" s="107" t="s">
        <v>674</v>
      </c>
      <c r="F1155" s="107" t="s">
        <v>675</v>
      </c>
      <c r="G1155" s="161">
        <v>45353</v>
      </c>
      <c r="H1155" s="107">
        <f t="shared" si="22"/>
        <v>4</v>
      </c>
    </row>
    <row r="1156" spans="1:8">
      <c r="A1156" s="107">
        <v>1</v>
      </c>
      <c r="B1156" s="107">
        <v>17</v>
      </c>
      <c r="C1156" s="107">
        <v>1</v>
      </c>
      <c r="D1156" s="107">
        <v>1</v>
      </c>
      <c r="E1156" s="107" t="s">
        <v>696</v>
      </c>
      <c r="F1156" s="107" t="s">
        <v>697</v>
      </c>
      <c r="G1156" s="161">
        <v>45354</v>
      </c>
      <c r="H1156" s="107">
        <f t="shared" si="22"/>
        <v>5</v>
      </c>
    </row>
    <row r="1157" spans="1:8">
      <c r="A1157" s="107">
        <v>1</v>
      </c>
      <c r="B1157" s="107">
        <v>17</v>
      </c>
      <c r="C1157" s="107">
        <v>1</v>
      </c>
      <c r="D1157" s="107">
        <v>2</v>
      </c>
      <c r="E1157" s="107" t="s">
        <v>696</v>
      </c>
      <c r="F1157" s="107" t="s">
        <v>697</v>
      </c>
      <c r="G1157" s="161">
        <v>45353</v>
      </c>
      <c r="H1157" s="107">
        <f t="shared" ref="H1157:H1220" si="23">DATEDIF($H$2,G1157,"d")</f>
        <v>4</v>
      </c>
    </row>
    <row r="1158" spans="1:8">
      <c r="A1158" s="107">
        <v>1</v>
      </c>
      <c r="B1158" s="107">
        <v>17</v>
      </c>
      <c r="C1158" s="107">
        <v>1</v>
      </c>
      <c r="D1158" s="107">
        <v>3</v>
      </c>
      <c r="E1158" s="107" t="s">
        <v>696</v>
      </c>
      <c r="F1158" s="107" t="s">
        <v>697</v>
      </c>
      <c r="G1158" s="161">
        <v>45354</v>
      </c>
      <c r="H1158" s="107">
        <f t="shared" si="23"/>
        <v>5</v>
      </c>
    </row>
    <row r="1159" spans="1:8">
      <c r="A1159" s="107">
        <v>1</v>
      </c>
      <c r="B1159" s="107">
        <v>17</v>
      </c>
      <c r="C1159" s="107">
        <v>1</v>
      </c>
      <c r="D1159" s="107">
        <v>4</v>
      </c>
      <c r="E1159" s="107" t="s">
        <v>696</v>
      </c>
      <c r="F1159" s="107" t="s">
        <v>697</v>
      </c>
      <c r="G1159" s="161">
        <v>45354</v>
      </c>
      <c r="H1159" s="107">
        <f t="shared" si="23"/>
        <v>5</v>
      </c>
    </row>
    <row r="1160" spans="1:8">
      <c r="A1160" s="107">
        <v>1</v>
      </c>
      <c r="B1160" s="107">
        <v>17</v>
      </c>
      <c r="C1160" s="107">
        <v>2</v>
      </c>
      <c r="D1160" s="107">
        <v>1</v>
      </c>
      <c r="E1160" s="107" t="s">
        <v>709</v>
      </c>
      <c r="F1160" s="107" t="s">
        <v>710</v>
      </c>
      <c r="G1160" s="161">
        <v>45353</v>
      </c>
      <c r="H1160" s="107">
        <f t="shared" si="23"/>
        <v>4</v>
      </c>
    </row>
    <row r="1161" spans="1:8">
      <c r="A1161" s="107">
        <v>1</v>
      </c>
      <c r="B1161" s="107">
        <v>17</v>
      </c>
      <c r="C1161" s="107">
        <v>2</v>
      </c>
      <c r="D1161" s="107">
        <v>2</v>
      </c>
      <c r="E1161" s="107" t="s">
        <v>709</v>
      </c>
      <c r="F1161" s="107" t="s">
        <v>710</v>
      </c>
      <c r="G1161" s="161">
        <v>45354</v>
      </c>
      <c r="H1161" s="107">
        <f t="shared" si="23"/>
        <v>5</v>
      </c>
    </row>
    <row r="1162" spans="1:8">
      <c r="A1162" s="107">
        <v>1</v>
      </c>
      <c r="B1162" s="107">
        <v>17</v>
      </c>
      <c r="C1162" s="107">
        <v>2</v>
      </c>
      <c r="D1162" s="107">
        <v>3</v>
      </c>
      <c r="E1162" s="107" t="s">
        <v>709</v>
      </c>
      <c r="F1162" s="107" t="s">
        <v>710</v>
      </c>
      <c r="G1162" s="161">
        <v>45353</v>
      </c>
      <c r="H1162" s="107">
        <f t="shared" si="23"/>
        <v>4</v>
      </c>
    </row>
    <row r="1163" spans="1:8">
      <c r="A1163" s="107">
        <v>1</v>
      </c>
      <c r="B1163" s="107">
        <v>17</v>
      </c>
      <c r="C1163" s="107">
        <v>2</v>
      </c>
      <c r="D1163" s="107">
        <v>4</v>
      </c>
      <c r="E1163" s="107" t="s">
        <v>709</v>
      </c>
      <c r="F1163" s="107" t="s">
        <v>710</v>
      </c>
      <c r="G1163" s="161">
        <v>45353</v>
      </c>
      <c r="H1163" s="107">
        <f t="shared" si="23"/>
        <v>4</v>
      </c>
    </row>
    <row r="1164" spans="1:8">
      <c r="A1164" s="107">
        <v>1</v>
      </c>
      <c r="B1164" s="107">
        <v>17</v>
      </c>
      <c r="C1164" s="107">
        <v>3</v>
      </c>
      <c r="D1164" s="107">
        <v>1</v>
      </c>
      <c r="E1164" s="107" t="s">
        <v>700</v>
      </c>
      <c r="F1164" s="107" t="s">
        <v>701</v>
      </c>
      <c r="G1164" s="161">
        <v>45353</v>
      </c>
      <c r="H1164" s="107">
        <f t="shared" si="23"/>
        <v>4</v>
      </c>
    </row>
    <row r="1165" spans="1:8">
      <c r="A1165" s="107">
        <v>1</v>
      </c>
      <c r="B1165" s="107">
        <v>17</v>
      </c>
      <c r="C1165" s="107">
        <v>3</v>
      </c>
      <c r="D1165" s="107">
        <v>2</v>
      </c>
      <c r="E1165" s="107" t="s">
        <v>700</v>
      </c>
      <c r="F1165" s="107" t="s">
        <v>701</v>
      </c>
      <c r="G1165" s="161">
        <v>45353</v>
      </c>
      <c r="H1165" s="107">
        <f t="shared" si="23"/>
        <v>4</v>
      </c>
    </row>
    <row r="1166" spans="1:8">
      <c r="A1166" s="107">
        <v>1</v>
      </c>
      <c r="B1166" s="107">
        <v>17</v>
      </c>
      <c r="C1166" s="107">
        <v>3</v>
      </c>
      <c r="D1166" s="107">
        <v>3</v>
      </c>
      <c r="E1166" s="107" t="s">
        <v>700</v>
      </c>
      <c r="F1166" s="107" t="s">
        <v>701</v>
      </c>
      <c r="G1166" s="161">
        <v>45353</v>
      </c>
      <c r="H1166" s="107">
        <f t="shared" si="23"/>
        <v>4</v>
      </c>
    </row>
    <row r="1167" spans="1:8">
      <c r="A1167" s="107">
        <v>1</v>
      </c>
      <c r="B1167" s="107">
        <v>17</v>
      </c>
      <c r="C1167" s="107">
        <v>3</v>
      </c>
      <c r="D1167" s="107">
        <v>4</v>
      </c>
      <c r="E1167" s="107" t="s">
        <v>700</v>
      </c>
      <c r="F1167" s="107" t="s">
        <v>701</v>
      </c>
      <c r="G1167" s="161">
        <v>45353</v>
      </c>
      <c r="H1167" s="107">
        <f t="shared" si="23"/>
        <v>4</v>
      </c>
    </row>
    <row r="1168" spans="1:8">
      <c r="A1168" s="107">
        <v>1</v>
      </c>
      <c r="B1168" s="107">
        <v>17</v>
      </c>
      <c r="C1168" s="107">
        <v>4</v>
      </c>
      <c r="D1168" s="107">
        <v>1</v>
      </c>
      <c r="E1168" s="107" t="s">
        <v>692</v>
      </c>
      <c r="F1168" s="107" t="s">
        <v>693</v>
      </c>
      <c r="G1168" s="161">
        <v>45353</v>
      </c>
      <c r="H1168" s="107">
        <f t="shared" si="23"/>
        <v>4</v>
      </c>
    </row>
    <row r="1169" spans="1:8">
      <c r="A1169" s="107">
        <v>1</v>
      </c>
      <c r="B1169" s="107">
        <v>17</v>
      </c>
      <c r="C1169" s="107">
        <v>4</v>
      </c>
      <c r="D1169" s="107">
        <v>2</v>
      </c>
      <c r="E1169" s="107" t="s">
        <v>692</v>
      </c>
      <c r="F1169" s="107" t="s">
        <v>693</v>
      </c>
      <c r="G1169" s="161">
        <v>45353</v>
      </c>
      <c r="H1169" s="107">
        <f t="shared" si="23"/>
        <v>4</v>
      </c>
    </row>
    <row r="1170" spans="1:8">
      <c r="A1170" s="107">
        <v>1</v>
      </c>
      <c r="B1170" s="107">
        <v>17</v>
      </c>
      <c r="C1170" s="107">
        <v>4</v>
      </c>
      <c r="D1170" s="107">
        <v>3</v>
      </c>
      <c r="E1170" s="107" t="s">
        <v>692</v>
      </c>
      <c r="F1170" s="107" t="s">
        <v>693</v>
      </c>
      <c r="G1170" s="161">
        <v>45353</v>
      </c>
      <c r="H1170" s="107">
        <f t="shared" si="23"/>
        <v>4</v>
      </c>
    </row>
    <row r="1171" spans="1:8">
      <c r="A1171" s="107">
        <v>1</v>
      </c>
      <c r="B1171" s="107">
        <v>17</v>
      </c>
      <c r="C1171" s="107">
        <v>4</v>
      </c>
      <c r="D1171" s="107">
        <v>4</v>
      </c>
      <c r="E1171" s="107" t="s">
        <v>692</v>
      </c>
      <c r="F1171" s="107" t="s">
        <v>693</v>
      </c>
      <c r="G1171" s="161">
        <v>45353</v>
      </c>
      <c r="H1171" s="107">
        <f t="shared" si="23"/>
        <v>4</v>
      </c>
    </row>
    <row r="1172" spans="1:8">
      <c r="A1172" s="107">
        <v>1</v>
      </c>
      <c r="B1172" s="107">
        <v>17</v>
      </c>
      <c r="C1172" s="107">
        <v>5</v>
      </c>
      <c r="D1172" s="107">
        <v>1</v>
      </c>
      <c r="E1172" s="107" t="s">
        <v>686</v>
      </c>
      <c r="F1172" s="107" t="s">
        <v>687</v>
      </c>
      <c r="G1172" s="161">
        <v>45354</v>
      </c>
      <c r="H1172" s="107">
        <f t="shared" si="23"/>
        <v>5</v>
      </c>
    </row>
    <row r="1173" spans="1:8">
      <c r="A1173" s="107">
        <v>1</v>
      </c>
      <c r="B1173" s="107">
        <v>17</v>
      </c>
      <c r="C1173" s="107">
        <v>5</v>
      </c>
      <c r="D1173" s="107">
        <v>2</v>
      </c>
      <c r="E1173" s="107" t="s">
        <v>686</v>
      </c>
      <c r="F1173" s="107" t="s">
        <v>687</v>
      </c>
      <c r="G1173" s="161">
        <v>45353</v>
      </c>
      <c r="H1173" s="107">
        <f t="shared" si="23"/>
        <v>4</v>
      </c>
    </row>
    <row r="1174" spans="1:8">
      <c r="A1174" s="107">
        <v>1</v>
      </c>
      <c r="B1174" s="107">
        <v>17</v>
      </c>
      <c r="C1174" s="107">
        <v>5</v>
      </c>
      <c r="D1174" s="107">
        <v>3</v>
      </c>
      <c r="E1174" s="107" t="s">
        <v>686</v>
      </c>
      <c r="F1174" s="107" t="s">
        <v>687</v>
      </c>
      <c r="G1174" s="107"/>
      <c r="H1174" s="107"/>
    </row>
    <row r="1175" spans="1:8">
      <c r="A1175" s="107">
        <v>1</v>
      </c>
      <c r="B1175" s="107">
        <v>17</v>
      </c>
      <c r="C1175" s="107">
        <v>5</v>
      </c>
      <c r="D1175" s="107">
        <v>4</v>
      </c>
      <c r="E1175" s="107" t="s">
        <v>686</v>
      </c>
      <c r="F1175" s="107" t="s">
        <v>687</v>
      </c>
      <c r="G1175" s="161">
        <v>45353</v>
      </c>
      <c r="H1175" s="107">
        <f t="shared" si="23"/>
        <v>4</v>
      </c>
    </row>
    <row r="1176" spans="1:8">
      <c r="A1176" s="107">
        <v>1</v>
      </c>
      <c r="B1176" s="107">
        <v>17</v>
      </c>
      <c r="C1176" s="107">
        <v>6</v>
      </c>
      <c r="D1176" s="107">
        <v>1</v>
      </c>
      <c r="E1176" s="107" t="s">
        <v>704</v>
      </c>
      <c r="F1176" s="107" t="s">
        <v>705</v>
      </c>
      <c r="G1176" s="161">
        <v>45354</v>
      </c>
      <c r="H1176" s="107">
        <f t="shared" si="23"/>
        <v>5</v>
      </c>
    </row>
    <row r="1177" spans="1:8">
      <c r="A1177" s="107">
        <v>1</v>
      </c>
      <c r="B1177" s="107">
        <v>17</v>
      </c>
      <c r="C1177" s="107">
        <v>6</v>
      </c>
      <c r="D1177" s="107">
        <v>2</v>
      </c>
      <c r="E1177" s="107" t="s">
        <v>704</v>
      </c>
      <c r="F1177" s="107" t="s">
        <v>705</v>
      </c>
      <c r="G1177" s="161">
        <v>45353</v>
      </c>
      <c r="H1177" s="107">
        <f t="shared" si="23"/>
        <v>4</v>
      </c>
    </row>
    <row r="1178" spans="1:8">
      <c r="A1178" s="107">
        <v>1</v>
      </c>
      <c r="B1178" s="107">
        <v>17</v>
      </c>
      <c r="C1178" s="107">
        <v>6</v>
      </c>
      <c r="D1178" s="107">
        <v>3</v>
      </c>
      <c r="E1178" s="107" t="s">
        <v>704</v>
      </c>
      <c r="F1178" s="107" t="s">
        <v>705</v>
      </c>
      <c r="G1178" s="161">
        <v>45354</v>
      </c>
      <c r="H1178" s="107">
        <f t="shared" si="23"/>
        <v>5</v>
      </c>
    </row>
    <row r="1179" spans="1:8">
      <c r="A1179" s="107">
        <v>1</v>
      </c>
      <c r="B1179" s="107">
        <v>17</v>
      </c>
      <c r="C1179" s="107">
        <v>6</v>
      </c>
      <c r="D1179" s="107">
        <v>4</v>
      </c>
      <c r="E1179" s="107" t="s">
        <v>704</v>
      </c>
      <c r="F1179" s="107" t="s">
        <v>705</v>
      </c>
      <c r="G1179" s="161">
        <v>45353</v>
      </c>
      <c r="H1179" s="107">
        <f t="shared" si="23"/>
        <v>4</v>
      </c>
    </row>
    <row r="1180" spans="1:8">
      <c r="A1180" s="107">
        <v>1</v>
      </c>
      <c r="B1180" s="107">
        <v>17</v>
      </c>
      <c r="C1180" s="107">
        <v>7</v>
      </c>
      <c r="D1180" s="107">
        <v>1</v>
      </c>
      <c r="E1180" s="107" t="s">
        <v>690</v>
      </c>
      <c r="F1180" s="107" t="s">
        <v>691</v>
      </c>
      <c r="G1180" s="161">
        <v>45353</v>
      </c>
      <c r="H1180" s="107">
        <f t="shared" si="23"/>
        <v>4</v>
      </c>
    </row>
    <row r="1181" spans="1:8">
      <c r="A1181" s="107">
        <v>1</v>
      </c>
      <c r="B1181" s="107">
        <v>17</v>
      </c>
      <c r="C1181" s="107">
        <v>7</v>
      </c>
      <c r="D1181" s="107">
        <v>2</v>
      </c>
      <c r="E1181" s="107" t="s">
        <v>690</v>
      </c>
      <c r="F1181" s="107" t="s">
        <v>691</v>
      </c>
      <c r="G1181" s="161">
        <v>45353</v>
      </c>
      <c r="H1181" s="107">
        <f t="shared" si="23"/>
        <v>4</v>
      </c>
    </row>
    <row r="1182" spans="1:8">
      <c r="A1182" s="107">
        <v>1</v>
      </c>
      <c r="B1182" s="107">
        <v>17</v>
      </c>
      <c r="C1182" s="107">
        <v>7</v>
      </c>
      <c r="D1182" s="107">
        <v>3</v>
      </c>
      <c r="E1182" s="107" t="s">
        <v>690</v>
      </c>
      <c r="F1182" s="107" t="s">
        <v>691</v>
      </c>
      <c r="G1182" s="161">
        <v>45354</v>
      </c>
      <c r="H1182" s="107">
        <f t="shared" si="23"/>
        <v>5</v>
      </c>
    </row>
    <row r="1183" spans="1:8">
      <c r="A1183" s="107">
        <v>1</v>
      </c>
      <c r="B1183" s="107">
        <v>17</v>
      </c>
      <c r="C1183" s="107">
        <v>7</v>
      </c>
      <c r="D1183" s="107">
        <v>4</v>
      </c>
      <c r="E1183" s="107" t="s">
        <v>690</v>
      </c>
      <c r="F1183" s="107" t="s">
        <v>691</v>
      </c>
      <c r="G1183" s="161">
        <v>45353</v>
      </c>
      <c r="H1183" s="107">
        <f t="shared" si="23"/>
        <v>4</v>
      </c>
    </row>
    <row r="1184" spans="1:8">
      <c r="A1184" s="107">
        <v>1</v>
      </c>
      <c r="B1184" s="107">
        <v>17</v>
      </c>
      <c r="C1184" s="107">
        <v>8</v>
      </c>
      <c r="D1184" s="107">
        <v>1</v>
      </c>
      <c r="E1184" s="107" t="s">
        <v>698</v>
      </c>
      <c r="F1184" s="107" t="s">
        <v>699</v>
      </c>
      <c r="G1184" s="161">
        <v>45353</v>
      </c>
      <c r="H1184" s="107">
        <f t="shared" si="23"/>
        <v>4</v>
      </c>
    </row>
    <row r="1185" spans="1:8">
      <c r="A1185" s="107">
        <v>1</v>
      </c>
      <c r="B1185" s="107">
        <v>17</v>
      </c>
      <c r="C1185" s="107">
        <v>8</v>
      </c>
      <c r="D1185" s="107">
        <v>2</v>
      </c>
      <c r="E1185" s="107" t="s">
        <v>698</v>
      </c>
      <c r="F1185" s="107" t="s">
        <v>699</v>
      </c>
      <c r="G1185" s="161">
        <v>45354</v>
      </c>
      <c r="H1185" s="107">
        <f t="shared" si="23"/>
        <v>5</v>
      </c>
    </row>
    <row r="1186" spans="1:8">
      <c r="A1186" s="107">
        <v>1</v>
      </c>
      <c r="B1186" s="107">
        <v>17</v>
      </c>
      <c r="C1186" s="107">
        <v>8</v>
      </c>
      <c r="D1186" s="107">
        <v>3</v>
      </c>
      <c r="E1186" s="107" t="s">
        <v>698</v>
      </c>
      <c r="F1186" s="107" t="s">
        <v>699</v>
      </c>
      <c r="G1186" s="107"/>
      <c r="H1186" s="107"/>
    </row>
    <row r="1187" spans="1:8">
      <c r="A1187" s="107">
        <v>1</v>
      </c>
      <c r="B1187" s="107">
        <v>17</v>
      </c>
      <c r="C1187" s="107">
        <v>8</v>
      </c>
      <c r="D1187" s="107">
        <v>4</v>
      </c>
      <c r="E1187" s="107" t="s">
        <v>698</v>
      </c>
      <c r="F1187" s="107" t="s">
        <v>699</v>
      </c>
      <c r="G1187" s="161">
        <v>45353</v>
      </c>
      <c r="H1187" s="107">
        <f t="shared" si="23"/>
        <v>4</v>
      </c>
    </row>
    <row r="1188" spans="1:8">
      <c r="A1188" s="107">
        <v>1</v>
      </c>
      <c r="B1188" s="107">
        <v>17</v>
      </c>
      <c r="C1188" s="107">
        <v>9</v>
      </c>
      <c r="D1188" s="107">
        <v>1</v>
      </c>
      <c r="E1188" s="107" t="s">
        <v>717</v>
      </c>
      <c r="F1188" s="107" t="s">
        <v>718</v>
      </c>
      <c r="G1188" s="161">
        <v>45353</v>
      </c>
      <c r="H1188" s="107">
        <f t="shared" si="23"/>
        <v>4</v>
      </c>
    </row>
    <row r="1189" spans="1:8">
      <c r="A1189" s="107">
        <v>1</v>
      </c>
      <c r="B1189" s="107">
        <v>17</v>
      </c>
      <c r="C1189" s="107">
        <v>9</v>
      </c>
      <c r="D1189" s="107">
        <v>2</v>
      </c>
      <c r="E1189" s="107" t="s">
        <v>717</v>
      </c>
      <c r="F1189" s="107" t="s">
        <v>718</v>
      </c>
      <c r="G1189" s="161">
        <v>45353</v>
      </c>
      <c r="H1189" s="107">
        <f t="shared" si="23"/>
        <v>4</v>
      </c>
    </row>
    <row r="1190" spans="1:8">
      <c r="A1190" s="107">
        <v>1</v>
      </c>
      <c r="B1190" s="107">
        <v>17</v>
      </c>
      <c r="C1190" s="107">
        <v>9</v>
      </c>
      <c r="D1190" s="107">
        <v>3</v>
      </c>
      <c r="E1190" s="107" t="s">
        <v>717</v>
      </c>
      <c r="F1190" s="107" t="s">
        <v>718</v>
      </c>
      <c r="G1190" s="161">
        <v>45353</v>
      </c>
      <c r="H1190" s="107">
        <f t="shared" si="23"/>
        <v>4</v>
      </c>
    </row>
    <row r="1191" spans="1:8">
      <c r="A1191" s="107">
        <v>1</v>
      </c>
      <c r="B1191" s="107">
        <v>17</v>
      </c>
      <c r="C1191" s="107">
        <v>9</v>
      </c>
      <c r="D1191" s="107">
        <v>4</v>
      </c>
      <c r="E1191" s="107" t="s">
        <v>717</v>
      </c>
      <c r="F1191" s="107" t="s">
        <v>718</v>
      </c>
      <c r="G1191" s="161">
        <v>45353</v>
      </c>
      <c r="H1191" s="107">
        <f t="shared" si="23"/>
        <v>4</v>
      </c>
    </row>
    <row r="1192" spans="1:8">
      <c r="A1192" s="107">
        <v>1</v>
      </c>
      <c r="B1192" s="107">
        <v>17</v>
      </c>
      <c r="C1192" s="107">
        <v>10</v>
      </c>
      <c r="D1192" s="107">
        <v>1</v>
      </c>
      <c r="E1192" s="107" t="s">
        <v>707</v>
      </c>
      <c r="F1192" s="107" t="s">
        <v>708</v>
      </c>
      <c r="G1192" s="161">
        <v>45353</v>
      </c>
      <c r="H1192" s="107">
        <f t="shared" si="23"/>
        <v>4</v>
      </c>
    </row>
    <row r="1193" spans="1:8">
      <c r="A1193" s="107">
        <v>1</v>
      </c>
      <c r="B1193" s="107">
        <v>17</v>
      </c>
      <c r="C1193" s="107">
        <v>10</v>
      </c>
      <c r="D1193" s="107">
        <v>2</v>
      </c>
      <c r="E1193" s="107" t="s">
        <v>707</v>
      </c>
      <c r="F1193" s="107" t="s">
        <v>708</v>
      </c>
      <c r="G1193" s="161">
        <v>45354</v>
      </c>
      <c r="H1193" s="107">
        <f t="shared" si="23"/>
        <v>5</v>
      </c>
    </row>
    <row r="1194" spans="1:8">
      <c r="A1194" s="107">
        <v>1</v>
      </c>
      <c r="B1194" s="107">
        <v>17</v>
      </c>
      <c r="C1194" s="107">
        <v>10</v>
      </c>
      <c r="D1194" s="107">
        <v>3</v>
      </c>
      <c r="E1194" s="107" t="s">
        <v>707</v>
      </c>
      <c r="F1194" s="107" t="s">
        <v>708</v>
      </c>
      <c r="G1194" s="161">
        <v>45353</v>
      </c>
      <c r="H1194" s="107">
        <f t="shared" si="23"/>
        <v>4</v>
      </c>
    </row>
    <row r="1195" spans="1:8">
      <c r="A1195" s="107">
        <v>1</v>
      </c>
      <c r="B1195" s="107">
        <v>17</v>
      </c>
      <c r="C1195" s="107">
        <v>10</v>
      </c>
      <c r="D1195" s="107">
        <v>4</v>
      </c>
      <c r="E1195" s="107" t="s">
        <v>707</v>
      </c>
      <c r="F1195" s="107" t="s">
        <v>708</v>
      </c>
      <c r="G1195" s="161">
        <v>45353</v>
      </c>
      <c r="H1195" s="107">
        <f t="shared" si="23"/>
        <v>4</v>
      </c>
    </row>
    <row r="1196" spans="1:8">
      <c r="A1196" s="107">
        <v>1</v>
      </c>
      <c r="B1196" s="107">
        <v>17</v>
      </c>
      <c r="C1196" s="107">
        <v>11</v>
      </c>
      <c r="D1196" s="107">
        <v>1</v>
      </c>
      <c r="E1196" s="107" t="s">
        <v>713</v>
      </c>
      <c r="F1196" s="107" t="s">
        <v>714</v>
      </c>
      <c r="G1196" s="161">
        <v>45354</v>
      </c>
      <c r="H1196" s="107">
        <f t="shared" si="23"/>
        <v>5</v>
      </c>
    </row>
    <row r="1197" spans="1:8">
      <c r="A1197" s="107">
        <v>1</v>
      </c>
      <c r="B1197" s="107">
        <v>17</v>
      </c>
      <c r="C1197" s="107">
        <v>11</v>
      </c>
      <c r="D1197" s="107">
        <v>2</v>
      </c>
      <c r="E1197" s="107" t="s">
        <v>713</v>
      </c>
      <c r="F1197" s="107" t="s">
        <v>714</v>
      </c>
      <c r="G1197" s="161">
        <v>45353</v>
      </c>
      <c r="H1197" s="107">
        <f t="shared" si="23"/>
        <v>4</v>
      </c>
    </row>
    <row r="1198" spans="1:8">
      <c r="A1198" s="107">
        <v>1</v>
      </c>
      <c r="B1198" s="107">
        <v>17</v>
      </c>
      <c r="C1198" s="107">
        <v>11</v>
      </c>
      <c r="D1198" s="107">
        <v>3</v>
      </c>
      <c r="E1198" s="107" t="s">
        <v>713</v>
      </c>
      <c r="F1198" s="107" t="s">
        <v>714</v>
      </c>
      <c r="G1198" s="161">
        <v>45353</v>
      </c>
      <c r="H1198" s="107">
        <f t="shared" si="23"/>
        <v>4</v>
      </c>
    </row>
    <row r="1199" spans="1:8">
      <c r="A1199" s="107">
        <v>1</v>
      </c>
      <c r="B1199" s="107">
        <v>17</v>
      </c>
      <c r="C1199" s="107">
        <v>11</v>
      </c>
      <c r="D1199" s="107">
        <v>4</v>
      </c>
      <c r="E1199" s="107" t="s">
        <v>713</v>
      </c>
      <c r="F1199" s="107" t="s">
        <v>714</v>
      </c>
      <c r="G1199" s="161">
        <v>45354</v>
      </c>
      <c r="H1199" s="107">
        <f t="shared" si="23"/>
        <v>5</v>
      </c>
    </row>
    <row r="1200" spans="1:8">
      <c r="A1200" s="107">
        <v>1</v>
      </c>
      <c r="B1200" s="107">
        <v>17</v>
      </c>
      <c r="C1200" s="107">
        <v>12</v>
      </c>
      <c r="D1200" s="107">
        <v>1</v>
      </c>
      <c r="E1200" s="107" t="s">
        <v>706</v>
      </c>
      <c r="F1200" s="107" t="s">
        <v>137</v>
      </c>
      <c r="G1200" s="161">
        <v>45354</v>
      </c>
      <c r="H1200" s="107">
        <f t="shared" si="23"/>
        <v>5</v>
      </c>
    </row>
    <row r="1201" spans="1:8">
      <c r="A1201" s="107">
        <v>1</v>
      </c>
      <c r="B1201" s="107">
        <v>17</v>
      </c>
      <c r="C1201" s="107">
        <v>12</v>
      </c>
      <c r="D1201" s="107">
        <v>2</v>
      </c>
      <c r="E1201" s="107" t="s">
        <v>706</v>
      </c>
      <c r="F1201" s="107" t="s">
        <v>137</v>
      </c>
      <c r="G1201" s="161">
        <v>45353</v>
      </c>
      <c r="H1201" s="107">
        <f t="shared" si="23"/>
        <v>4</v>
      </c>
    </row>
    <row r="1202" spans="1:8">
      <c r="A1202" s="107">
        <v>1</v>
      </c>
      <c r="B1202" s="107">
        <v>17</v>
      </c>
      <c r="C1202" s="107">
        <v>12</v>
      </c>
      <c r="D1202" s="107">
        <v>3</v>
      </c>
      <c r="E1202" s="107" t="s">
        <v>706</v>
      </c>
      <c r="F1202" s="107" t="s">
        <v>137</v>
      </c>
      <c r="G1202" s="161">
        <v>45354</v>
      </c>
      <c r="H1202" s="107">
        <f t="shared" si="23"/>
        <v>5</v>
      </c>
    </row>
    <row r="1203" spans="1:8">
      <c r="A1203" s="107">
        <v>1</v>
      </c>
      <c r="B1203" s="107">
        <v>17</v>
      </c>
      <c r="C1203" s="107">
        <v>12</v>
      </c>
      <c r="D1203" s="107">
        <v>4</v>
      </c>
      <c r="E1203" s="107" t="s">
        <v>706</v>
      </c>
      <c r="F1203" s="107" t="s">
        <v>137</v>
      </c>
      <c r="G1203" s="161">
        <v>45354</v>
      </c>
      <c r="H1203" s="107">
        <f t="shared" si="23"/>
        <v>5</v>
      </c>
    </row>
    <row r="1204" spans="1:8">
      <c r="A1204" s="107">
        <v>1</v>
      </c>
      <c r="B1204" s="107">
        <v>17</v>
      </c>
      <c r="C1204" s="107">
        <v>13</v>
      </c>
      <c r="D1204" s="107">
        <v>1</v>
      </c>
      <c r="E1204" s="107" t="s">
        <v>684</v>
      </c>
      <c r="F1204" s="107" t="s">
        <v>685</v>
      </c>
      <c r="G1204" s="161">
        <v>45354</v>
      </c>
      <c r="H1204" s="107">
        <f t="shared" si="23"/>
        <v>5</v>
      </c>
    </row>
    <row r="1205" spans="1:8">
      <c r="A1205" s="107">
        <v>1</v>
      </c>
      <c r="B1205" s="107">
        <v>17</v>
      </c>
      <c r="C1205" s="107">
        <v>13</v>
      </c>
      <c r="D1205" s="107">
        <v>2</v>
      </c>
      <c r="E1205" s="107" t="s">
        <v>684</v>
      </c>
      <c r="F1205" s="107" t="s">
        <v>685</v>
      </c>
      <c r="G1205" s="161">
        <v>45354</v>
      </c>
      <c r="H1205" s="107">
        <f t="shared" si="23"/>
        <v>5</v>
      </c>
    </row>
    <row r="1206" spans="1:8">
      <c r="A1206" s="107">
        <v>1</v>
      </c>
      <c r="B1206" s="107">
        <v>17</v>
      </c>
      <c r="C1206" s="107">
        <v>13</v>
      </c>
      <c r="D1206" s="107">
        <v>3</v>
      </c>
      <c r="E1206" s="107" t="s">
        <v>684</v>
      </c>
      <c r="F1206" s="107" t="s">
        <v>685</v>
      </c>
      <c r="G1206" s="161">
        <v>45353</v>
      </c>
      <c r="H1206" s="107">
        <f t="shared" si="23"/>
        <v>4</v>
      </c>
    </row>
    <row r="1207" spans="1:8">
      <c r="A1207" s="107">
        <v>1</v>
      </c>
      <c r="B1207" s="107">
        <v>17</v>
      </c>
      <c r="C1207" s="107">
        <v>13</v>
      </c>
      <c r="D1207" s="107">
        <v>4</v>
      </c>
      <c r="E1207" s="107" t="s">
        <v>684</v>
      </c>
      <c r="F1207" s="107" t="s">
        <v>685</v>
      </c>
      <c r="G1207" s="161">
        <v>45353</v>
      </c>
      <c r="H1207" s="107">
        <f t="shared" si="23"/>
        <v>4</v>
      </c>
    </row>
    <row r="1208" spans="1:8">
      <c r="A1208" s="107">
        <v>1</v>
      </c>
      <c r="B1208" s="107">
        <v>17</v>
      </c>
      <c r="C1208" s="107">
        <v>14</v>
      </c>
      <c r="D1208" s="107">
        <v>1</v>
      </c>
      <c r="E1208" s="107" t="s">
        <v>711</v>
      </c>
      <c r="F1208" s="107" t="s">
        <v>712</v>
      </c>
      <c r="G1208" s="161">
        <v>45354</v>
      </c>
      <c r="H1208" s="107">
        <f t="shared" si="23"/>
        <v>5</v>
      </c>
    </row>
    <row r="1209" spans="1:8">
      <c r="A1209" s="107">
        <v>1</v>
      </c>
      <c r="B1209" s="107">
        <v>17</v>
      </c>
      <c r="C1209" s="107">
        <v>14</v>
      </c>
      <c r="D1209" s="107">
        <v>2</v>
      </c>
      <c r="E1209" s="107" t="s">
        <v>711</v>
      </c>
      <c r="F1209" s="107" t="s">
        <v>712</v>
      </c>
      <c r="G1209" s="161">
        <v>45354</v>
      </c>
      <c r="H1209" s="107">
        <f t="shared" si="23"/>
        <v>5</v>
      </c>
    </row>
    <row r="1210" spans="1:8">
      <c r="A1210" s="107">
        <v>1</v>
      </c>
      <c r="B1210" s="107">
        <v>17</v>
      </c>
      <c r="C1210" s="107">
        <v>14</v>
      </c>
      <c r="D1210" s="107">
        <v>3</v>
      </c>
      <c r="E1210" s="107" t="s">
        <v>711</v>
      </c>
      <c r="F1210" s="107" t="s">
        <v>712</v>
      </c>
      <c r="G1210" s="161">
        <v>45354</v>
      </c>
      <c r="H1210" s="107">
        <f t="shared" si="23"/>
        <v>5</v>
      </c>
    </row>
    <row r="1211" spans="1:8">
      <c r="A1211" s="107">
        <v>1</v>
      </c>
      <c r="B1211" s="107">
        <v>17</v>
      </c>
      <c r="C1211" s="107">
        <v>14</v>
      </c>
      <c r="D1211" s="107">
        <v>4</v>
      </c>
      <c r="E1211" s="107" t="s">
        <v>711</v>
      </c>
      <c r="F1211" s="107" t="s">
        <v>712</v>
      </c>
      <c r="G1211" s="161">
        <v>45355</v>
      </c>
      <c r="H1211" s="107">
        <f t="shared" si="23"/>
        <v>6</v>
      </c>
    </row>
    <row r="1212" spans="1:8">
      <c r="A1212" s="107">
        <v>1</v>
      </c>
      <c r="B1212" s="107">
        <v>17</v>
      </c>
      <c r="C1212" s="107">
        <v>15</v>
      </c>
      <c r="D1212" s="107">
        <v>1</v>
      </c>
      <c r="E1212" s="107" t="s">
        <v>694</v>
      </c>
      <c r="F1212" s="107" t="s">
        <v>695</v>
      </c>
      <c r="G1212" s="107"/>
      <c r="H1212" s="107"/>
    </row>
    <row r="1213" spans="1:8">
      <c r="A1213" s="107">
        <v>1</v>
      </c>
      <c r="B1213" s="107">
        <v>17</v>
      </c>
      <c r="C1213" s="107">
        <v>15</v>
      </c>
      <c r="D1213" s="107">
        <v>2</v>
      </c>
      <c r="E1213" s="107" t="s">
        <v>694</v>
      </c>
      <c r="F1213" s="107" t="s">
        <v>695</v>
      </c>
      <c r="G1213" s="161">
        <v>45354</v>
      </c>
      <c r="H1213" s="107">
        <f t="shared" si="23"/>
        <v>5</v>
      </c>
    </row>
    <row r="1214" spans="1:8">
      <c r="A1214" s="107">
        <v>1</v>
      </c>
      <c r="B1214" s="107">
        <v>17</v>
      </c>
      <c r="C1214" s="107">
        <v>15</v>
      </c>
      <c r="D1214" s="107">
        <v>3</v>
      </c>
      <c r="E1214" s="107" t="s">
        <v>694</v>
      </c>
      <c r="F1214" s="107" t="s">
        <v>695</v>
      </c>
      <c r="G1214" s="161">
        <v>45356</v>
      </c>
      <c r="H1214" s="107">
        <f t="shared" si="23"/>
        <v>7</v>
      </c>
    </row>
    <row r="1215" spans="1:8">
      <c r="A1215" s="107">
        <v>1</v>
      </c>
      <c r="B1215" s="107">
        <v>17</v>
      </c>
      <c r="C1215" s="107">
        <v>15</v>
      </c>
      <c r="D1215" s="107">
        <v>4</v>
      </c>
      <c r="E1215" s="107" t="s">
        <v>694</v>
      </c>
      <c r="F1215" s="107" t="s">
        <v>695</v>
      </c>
      <c r="G1215" s="107"/>
      <c r="H1215" s="107"/>
    </row>
    <row r="1216" spans="1:8">
      <c r="A1216" s="107">
        <v>1</v>
      </c>
      <c r="B1216" s="107">
        <v>17</v>
      </c>
      <c r="C1216" s="107">
        <v>16</v>
      </c>
      <c r="D1216" s="107">
        <v>1</v>
      </c>
      <c r="E1216" s="107" t="s">
        <v>688</v>
      </c>
      <c r="F1216" s="107" t="s">
        <v>689</v>
      </c>
      <c r="G1216" s="161">
        <v>45353</v>
      </c>
      <c r="H1216" s="107">
        <f t="shared" si="23"/>
        <v>4</v>
      </c>
    </row>
    <row r="1217" spans="1:8">
      <c r="A1217" s="107">
        <v>1</v>
      </c>
      <c r="B1217" s="107">
        <v>17</v>
      </c>
      <c r="C1217" s="107">
        <v>16</v>
      </c>
      <c r="D1217" s="107">
        <v>2</v>
      </c>
      <c r="E1217" s="107" t="s">
        <v>688</v>
      </c>
      <c r="F1217" s="107" t="s">
        <v>689</v>
      </c>
      <c r="G1217" s="161">
        <v>45353</v>
      </c>
      <c r="H1217" s="107">
        <f t="shared" si="23"/>
        <v>4</v>
      </c>
    </row>
    <row r="1218" spans="1:8">
      <c r="A1218" s="107">
        <v>1</v>
      </c>
      <c r="B1218" s="107">
        <v>17</v>
      </c>
      <c r="C1218" s="107">
        <v>16</v>
      </c>
      <c r="D1218" s="107">
        <v>3</v>
      </c>
      <c r="E1218" s="107" t="s">
        <v>688</v>
      </c>
      <c r="F1218" s="107" t="s">
        <v>689</v>
      </c>
      <c r="G1218" s="107"/>
      <c r="H1218" s="107"/>
    </row>
    <row r="1219" spans="1:8">
      <c r="A1219" s="107">
        <v>1</v>
      </c>
      <c r="B1219" s="107">
        <v>17</v>
      </c>
      <c r="C1219" s="107">
        <v>16</v>
      </c>
      <c r="D1219" s="107">
        <v>4</v>
      </c>
      <c r="E1219" s="107" t="s">
        <v>688</v>
      </c>
      <c r="F1219" s="107" t="s">
        <v>689</v>
      </c>
      <c r="G1219" s="161">
        <v>45353</v>
      </c>
      <c r="H1219" s="107">
        <f t="shared" si="23"/>
        <v>4</v>
      </c>
    </row>
    <row r="1220" spans="1:8">
      <c r="A1220" s="107">
        <v>1</v>
      </c>
      <c r="B1220" s="107">
        <v>17</v>
      </c>
      <c r="C1220" s="107">
        <v>17</v>
      </c>
      <c r="D1220" s="107">
        <v>1</v>
      </c>
      <c r="E1220" s="107" t="s">
        <v>702</v>
      </c>
      <c r="F1220" s="107" t="s">
        <v>703</v>
      </c>
      <c r="G1220" s="161">
        <v>45354</v>
      </c>
      <c r="H1220" s="107">
        <f t="shared" si="23"/>
        <v>5</v>
      </c>
    </row>
    <row r="1221" spans="1:8">
      <c r="A1221" s="107">
        <v>1</v>
      </c>
      <c r="B1221" s="107">
        <v>17</v>
      </c>
      <c r="C1221" s="107">
        <v>17</v>
      </c>
      <c r="D1221" s="107">
        <v>2</v>
      </c>
      <c r="E1221" s="107" t="s">
        <v>702</v>
      </c>
      <c r="F1221" s="107" t="s">
        <v>703</v>
      </c>
      <c r="G1221" s="161">
        <v>45353</v>
      </c>
      <c r="H1221" s="107">
        <f t="shared" ref="H1221:H1284" si="24">DATEDIF($H$2,G1221,"d")</f>
        <v>4</v>
      </c>
    </row>
    <row r="1222" spans="1:8">
      <c r="A1222" s="107">
        <v>1</v>
      </c>
      <c r="B1222" s="107">
        <v>17</v>
      </c>
      <c r="C1222" s="107">
        <v>17</v>
      </c>
      <c r="D1222" s="107">
        <v>3</v>
      </c>
      <c r="E1222" s="107" t="s">
        <v>702</v>
      </c>
      <c r="F1222" s="107" t="s">
        <v>703</v>
      </c>
      <c r="G1222" s="161">
        <v>45353</v>
      </c>
      <c r="H1222" s="107">
        <f t="shared" si="24"/>
        <v>4</v>
      </c>
    </row>
    <row r="1223" spans="1:8">
      <c r="A1223" s="107">
        <v>1</v>
      </c>
      <c r="B1223" s="107">
        <v>17</v>
      </c>
      <c r="C1223" s="107">
        <v>17</v>
      </c>
      <c r="D1223" s="107">
        <v>4</v>
      </c>
      <c r="E1223" s="107" t="s">
        <v>702</v>
      </c>
      <c r="F1223" s="107" t="s">
        <v>703</v>
      </c>
      <c r="G1223" s="161">
        <v>45354</v>
      </c>
      <c r="H1223" s="107">
        <f t="shared" si="24"/>
        <v>5</v>
      </c>
    </row>
    <row r="1224" spans="1:8">
      <c r="A1224" s="107">
        <v>1</v>
      </c>
      <c r="B1224" s="107">
        <v>17</v>
      </c>
      <c r="C1224" s="107">
        <v>18</v>
      </c>
      <c r="D1224" s="107">
        <v>1</v>
      </c>
      <c r="E1224" s="107" t="s">
        <v>715</v>
      </c>
      <c r="F1224" s="107" t="s">
        <v>716</v>
      </c>
      <c r="G1224" s="161">
        <v>45354</v>
      </c>
      <c r="H1224" s="107">
        <f t="shared" si="24"/>
        <v>5</v>
      </c>
    </row>
    <row r="1225" spans="1:8">
      <c r="A1225" s="107">
        <v>1</v>
      </c>
      <c r="B1225" s="107">
        <v>17</v>
      </c>
      <c r="C1225" s="107">
        <v>18</v>
      </c>
      <c r="D1225" s="107">
        <v>2</v>
      </c>
      <c r="E1225" s="107" t="s">
        <v>715</v>
      </c>
      <c r="F1225" s="107" t="s">
        <v>716</v>
      </c>
      <c r="G1225" s="161">
        <v>45353</v>
      </c>
      <c r="H1225" s="107">
        <f t="shared" si="24"/>
        <v>4</v>
      </c>
    </row>
    <row r="1226" spans="1:8">
      <c r="A1226" s="107">
        <v>1</v>
      </c>
      <c r="B1226" s="107">
        <v>17</v>
      </c>
      <c r="C1226" s="107">
        <v>18</v>
      </c>
      <c r="D1226" s="107">
        <v>3</v>
      </c>
      <c r="E1226" s="107" t="s">
        <v>715</v>
      </c>
      <c r="F1226" s="107" t="s">
        <v>716</v>
      </c>
      <c r="G1226" s="161">
        <v>45353</v>
      </c>
      <c r="H1226" s="107">
        <f t="shared" si="24"/>
        <v>4</v>
      </c>
    </row>
    <row r="1227" spans="1:8">
      <c r="A1227" s="107">
        <v>1</v>
      </c>
      <c r="B1227" s="107">
        <v>17</v>
      </c>
      <c r="C1227" s="107">
        <v>18</v>
      </c>
      <c r="D1227" s="107">
        <v>4</v>
      </c>
      <c r="E1227" s="107" t="s">
        <v>715</v>
      </c>
      <c r="F1227" s="107" t="s">
        <v>716</v>
      </c>
      <c r="G1227" s="161">
        <v>45353</v>
      </c>
      <c r="H1227" s="107">
        <f t="shared" si="24"/>
        <v>4</v>
      </c>
    </row>
    <row r="1228" spans="1:8">
      <c r="A1228" s="107">
        <v>1</v>
      </c>
      <c r="B1228" s="107">
        <v>18</v>
      </c>
      <c r="C1228" s="107">
        <v>1</v>
      </c>
      <c r="D1228" s="107">
        <v>1</v>
      </c>
      <c r="E1228" s="107" t="s">
        <v>719</v>
      </c>
      <c r="F1228" s="107" t="s">
        <v>720</v>
      </c>
      <c r="G1228" s="161">
        <v>45353</v>
      </c>
      <c r="H1228" s="107">
        <f t="shared" si="24"/>
        <v>4</v>
      </c>
    </row>
    <row r="1229" spans="1:8">
      <c r="A1229" s="107">
        <v>1</v>
      </c>
      <c r="B1229" s="107">
        <v>18</v>
      </c>
      <c r="C1229" s="107">
        <v>1</v>
      </c>
      <c r="D1229" s="107">
        <v>2</v>
      </c>
      <c r="E1229" s="107" t="s">
        <v>719</v>
      </c>
      <c r="F1229" s="107" t="s">
        <v>720</v>
      </c>
      <c r="G1229" s="161">
        <v>45353</v>
      </c>
      <c r="H1229" s="107">
        <f t="shared" si="24"/>
        <v>4</v>
      </c>
    </row>
    <row r="1230" spans="1:8">
      <c r="A1230" s="107">
        <v>1</v>
      </c>
      <c r="B1230" s="107">
        <v>18</v>
      </c>
      <c r="C1230" s="107">
        <v>1</v>
      </c>
      <c r="D1230" s="107">
        <v>3</v>
      </c>
      <c r="E1230" s="107" t="s">
        <v>719</v>
      </c>
      <c r="F1230" s="107" t="s">
        <v>720</v>
      </c>
      <c r="G1230" s="161">
        <v>45353</v>
      </c>
      <c r="H1230" s="107">
        <f t="shared" si="24"/>
        <v>4</v>
      </c>
    </row>
    <row r="1231" spans="1:8">
      <c r="A1231" s="107">
        <v>1</v>
      </c>
      <c r="B1231" s="107">
        <v>18</v>
      </c>
      <c r="C1231" s="107">
        <v>1</v>
      </c>
      <c r="D1231" s="107">
        <v>4</v>
      </c>
      <c r="E1231" s="107" t="s">
        <v>719</v>
      </c>
      <c r="F1231" s="107" t="s">
        <v>720</v>
      </c>
      <c r="G1231" s="161">
        <v>45353</v>
      </c>
      <c r="H1231" s="107">
        <f t="shared" si="24"/>
        <v>4</v>
      </c>
    </row>
    <row r="1232" spans="1:8">
      <c r="A1232" s="107">
        <v>1</v>
      </c>
      <c r="B1232" s="107">
        <v>18</v>
      </c>
      <c r="C1232" s="107">
        <v>2</v>
      </c>
      <c r="D1232" s="107">
        <v>1</v>
      </c>
      <c r="E1232" s="107" t="s">
        <v>749</v>
      </c>
      <c r="F1232" s="107" t="s">
        <v>750</v>
      </c>
      <c r="G1232" s="161">
        <v>45354</v>
      </c>
      <c r="H1232" s="107">
        <f t="shared" si="24"/>
        <v>5</v>
      </c>
    </row>
    <row r="1233" spans="1:8">
      <c r="A1233" s="107">
        <v>1</v>
      </c>
      <c r="B1233" s="107">
        <v>18</v>
      </c>
      <c r="C1233" s="107">
        <v>2</v>
      </c>
      <c r="D1233" s="107">
        <v>2</v>
      </c>
      <c r="E1233" s="107" t="s">
        <v>749</v>
      </c>
      <c r="F1233" s="107" t="s">
        <v>750</v>
      </c>
      <c r="G1233" s="161">
        <v>45353</v>
      </c>
      <c r="H1233" s="107">
        <f t="shared" si="24"/>
        <v>4</v>
      </c>
    </row>
    <row r="1234" spans="1:8">
      <c r="A1234" s="107">
        <v>1</v>
      </c>
      <c r="B1234" s="107">
        <v>18</v>
      </c>
      <c r="C1234" s="107">
        <v>2</v>
      </c>
      <c r="D1234" s="107">
        <v>3</v>
      </c>
      <c r="E1234" s="107" t="s">
        <v>749</v>
      </c>
      <c r="F1234" s="107" t="s">
        <v>750</v>
      </c>
      <c r="G1234" s="161">
        <v>45354</v>
      </c>
      <c r="H1234" s="107">
        <f t="shared" si="24"/>
        <v>5</v>
      </c>
    </row>
    <row r="1235" spans="1:8">
      <c r="A1235" s="107">
        <v>1</v>
      </c>
      <c r="B1235" s="107">
        <v>18</v>
      </c>
      <c r="C1235" s="107">
        <v>2</v>
      </c>
      <c r="D1235" s="107">
        <v>4</v>
      </c>
      <c r="E1235" s="107" t="s">
        <v>749</v>
      </c>
      <c r="F1235" s="107" t="s">
        <v>750</v>
      </c>
      <c r="G1235" s="161">
        <v>45353</v>
      </c>
      <c r="H1235" s="107">
        <f t="shared" si="24"/>
        <v>4</v>
      </c>
    </row>
    <row r="1236" spans="1:8">
      <c r="A1236" s="107">
        <v>1</v>
      </c>
      <c r="B1236" s="107">
        <v>18</v>
      </c>
      <c r="C1236" s="107">
        <v>3</v>
      </c>
      <c r="D1236" s="107">
        <v>1</v>
      </c>
      <c r="E1236" s="107" t="s">
        <v>751</v>
      </c>
      <c r="F1236" s="107" t="s">
        <v>752</v>
      </c>
      <c r="G1236" s="161">
        <v>45353</v>
      </c>
      <c r="H1236" s="107">
        <f t="shared" si="24"/>
        <v>4</v>
      </c>
    </row>
    <row r="1237" spans="1:8">
      <c r="A1237" s="107">
        <v>1</v>
      </c>
      <c r="B1237" s="107">
        <v>18</v>
      </c>
      <c r="C1237" s="107">
        <v>3</v>
      </c>
      <c r="D1237" s="107">
        <v>2</v>
      </c>
      <c r="E1237" s="107" t="s">
        <v>751</v>
      </c>
      <c r="F1237" s="107" t="s">
        <v>752</v>
      </c>
      <c r="G1237" s="161">
        <v>45353</v>
      </c>
      <c r="H1237" s="107">
        <f t="shared" si="24"/>
        <v>4</v>
      </c>
    </row>
    <row r="1238" spans="1:8">
      <c r="A1238" s="107">
        <v>1</v>
      </c>
      <c r="B1238" s="107">
        <v>18</v>
      </c>
      <c r="C1238" s="107">
        <v>3</v>
      </c>
      <c r="D1238" s="107">
        <v>3</v>
      </c>
      <c r="E1238" s="107" t="s">
        <v>751</v>
      </c>
      <c r="F1238" s="107" t="s">
        <v>752</v>
      </c>
      <c r="G1238" s="161">
        <v>45353</v>
      </c>
      <c r="H1238" s="107">
        <f t="shared" si="24"/>
        <v>4</v>
      </c>
    </row>
    <row r="1239" spans="1:8">
      <c r="A1239" s="107">
        <v>1</v>
      </c>
      <c r="B1239" s="107">
        <v>18</v>
      </c>
      <c r="C1239" s="107">
        <v>3</v>
      </c>
      <c r="D1239" s="107">
        <v>4</v>
      </c>
      <c r="E1239" s="107" t="s">
        <v>751</v>
      </c>
      <c r="F1239" s="107" t="s">
        <v>752</v>
      </c>
      <c r="G1239" s="161">
        <v>45353</v>
      </c>
      <c r="H1239" s="107">
        <f t="shared" si="24"/>
        <v>4</v>
      </c>
    </row>
    <row r="1240" spans="1:8">
      <c r="A1240" s="107">
        <v>1</v>
      </c>
      <c r="B1240" s="107">
        <v>18</v>
      </c>
      <c r="C1240" s="107">
        <v>4</v>
      </c>
      <c r="D1240" s="107">
        <v>1</v>
      </c>
      <c r="E1240" s="107" t="s">
        <v>741</v>
      </c>
      <c r="F1240" s="107" t="s">
        <v>742</v>
      </c>
      <c r="G1240" s="161">
        <v>45353</v>
      </c>
      <c r="H1240" s="107">
        <f t="shared" si="24"/>
        <v>4</v>
      </c>
    </row>
    <row r="1241" spans="1:8">
      <c r="A1241" s="107">
        <v>1</v>
      </c>
      <c r="B1241" s="107">
        <v>18</v>
      </c>
      <c r="C1241" s="107">
        <v>4</v>
      </c>
      <c r="D1241" s="107">
        <v>2</v>
      </c>
      <c r="E1241" s="107" t="s">
        <v>741</v>
      </c>
      <c r="F1241" s="107" t="s">
        <v>742</v>
      </c>
      <c r="G1241" s="161">
        <v>45353</v>
      </c>
      <c r="H1241" s="107">
        <f t="shared" si="24"/>
        <v>4</v>
      </c>
    </row>
    <row r="1242" spans="1:8">
      <c r="A1242" s="107">
        <v>1</v>
      </c>
      <c r="B1242" s="107">
        <v>18</v>
      </c>
      <c r="C1242" s="107">
        <v>4</v>
      </c>
      <c r="D1242" s="107">
        <v>3</v>
      </c>
      <c r="E1242" s="107" t="s">
        <v>741</v>
      </c>
      <c r="F1242" s="107" t="s">
        <v>742</v>
      </c>
      <c r="G1242" s="161">
        <v>45354</v>
      </c>
      <c r="H1242" s="107">
        <f t="shared" si="24"/>
        <v>5</v>
      </c>
    </row>
    <row r="1243" spans="1:8">
      <c r="A1243" s="107">
        <v>1</v>
      </c>
      <c r="B1243" s="107">
        <v>18</v>
      </c>
      <c r="C1243" s="107">
        <v>4</v>
      </c>
      <c r="D1243" s="107">
        <v>4</v>
      </c>
      <c r="E1243" s="107" t="s">
        <v>741</v>
      </c>
      <c r="F1243" s="107" t="s">
        <v>742</v>
      </c>
      <c r="G1243" s="161">
        <v>45354</v>
      </c>
      <c r="H1243" s="107">
        <f t="shared" si="24"/>
        <v>5</v>
      </c>
    </row>
    <row r="1244" spans="1:8">
      <c r="A1244" s="107">
        <v>1</v>
      </c>
      <c r="B1244" s="107">
        <v>18</v>
      </c>
      <c r="C1244" s="107">
        <v>5</v>
      </c>
      <c r="D1244" s="107">
        <v>1</v>
      </c>
      <c r="E1244" s="107" t="s">
        <v>731</v>
      </c>
      <c r="F1244" s="107" t="s">
        <v>732</v>
      </c>
      <c r="G1244" s="161">
        <v>45353</v>
      </c>
      <c r="H1244" s="107">
        <f t="shared" si="24"/>
        <v>4</v>
      </c>
    </row>
    <row r="1245" spans="1:8">
      <c r="A1245" s="107">
        <v>1</v>
      </c>
      <c r="B1245" s="107">
        <v>18</v>
      </c>
      <c r="C1245" s="107">
        <v>5</v>
      </c>
      <c r="D1245" s="107">
        <v>2</v>
      </c>
      <c r="E1245" s="107" t="s">
        <v>731</v>
      </c>
      <c r="F1245" s="107" t="s">
        <v>732</v>
      </c>
      <c r="G1245" s="161">
        <v>45353</v>
      </c>
      <c r="H1245" s="107">
        <f t="shared" si="24"/>
        <v>4</v>
      </c>
    </row>
    <row r="1246" spans="1:8">
      <c r="A1246" s="107">
        <v>1</v>
      </c>
      <c r="B1246" s="107">
        <v>18</v>
      </c>
      <c r="C1246" s="107">
        <v>5</v>
      </c>
      <c r="D1246" s="107">
        <v>3</v>
      </c>
      <c r="E1246" s="107" t="s">
        <v>731</v>
      </c>
      <c r="F1246" s="107" t="s">
        <v>732</v>
      </c>
      <c r="G1246" s="161">
        <v>45353</v>
      </c>
      <c r="H1246" s="107">
        <f t="shared" si="24"/>
        <v>4</v>
      </c>
    </row>
    <row r="1247" spans="1:8">
      <c r="A1247" s="107">
        <v>1</v>
      </c>
      <c r="B1247" s="107">
        <v>18</v>
      </c>
      <c r="C1247" s="107">
        <v>5</v>
      </c>
      <c r="D1247" s="107">
        <v>4</v>
      </c>
      <c r="E1247" s="107" t="s">
        <v>731</v>
      </c>
      <c r="F1247" s="107" t="s">
        <v>732</v>
      </c>
      <c r="G1247" s="161">
        <v>45353</v>
      </c>
      <c r="H1247" s="107">
        <f t="shared" si="24"/>
        <v>4</v>
      </c>
    </row>
    <row r="1248" spans="1:8">
      <c r="A1248" s="107">
        <v>1</v>
      </c>
      <c r="B1248" s="107">
        <v>18</v>
      </c>
      <c r="C1248" s="107">
        <v>6</v>
      </c>
      <c r="D1248" s="107">
        <v>1</v>
      </c>
      <c r="E1248" s="107" t="s">
        <v>723</v>
      </c>
      <c r="F1248" s="107" t="s">
        <v>724</v>
      </c>
      <c r="G1248" s="107"/>
      <c r="H1248" s="107"/>
    </row>
    <row r="1249" spans="1:8">
      <c r="A1249" s="107">
        <v>1</v>
      </c>
      <c r="B1249" s="107">
        <v>18</v>
      </c>
      <c r="C1249" s="107">
        <v>6</v>
      </c>
      <c r="D1249" s="107">
        <v>2</v>
      </c>
      <c r="E1249" s="107" t="s">
        <v>723</v>
      </c>
      <c r="F1249" s="107" t="s">
        <v>724</v>
      </c>
      <c r="G1249" s="161">
        <v>45354</v>
      </c>
      <c r="H1249" s="107">
        <f t="shared" si="24"/>
        <v>5</v>
      </c>
    </row>
    <row r="1250" spans="1:8">
      <c r="A1250" s="107">
        <v>1</v>
      </c>
      <c r="B1250" s="107">
        <v>18</v>
      </c>
      <c r="C1250" s="107">
        <v>6</v>
      </c>
      <c r="D1250" s="107">
        <v>3</v>
      </c>
      <c r="E1250" s="107" t="s">
        <v>723</v>
      </c>
      <c r="F1250" s="107" t="s">
        <v>724</v>
      </c>
      <c r="G1250" s="161">
        <v>45354</v>
      </c>
      <c r="H1250" s="107">
        <f t="shared" si="24"/>
        <v>5</v>
      </c>
    </row>
    <row r="1251" spans="1:8">
      <c r="A1251" s="107">
        <v>1</v>
      </c>
      <c r="B1251" s="107">
        <v>18</v>
      </c>
      <c r="C1251" s="107">
        <v>6</v>
      </c>
      <c r="D1251" s="107">
        <v>4</v>
      </c>
      <c r="E1251" s="107" t="s">
        <v>723</v>
      </c>
      <c r="F1251" s="107" t="s">
        <v>724</v>
      </c>
      <c r="G1251" s="161">
        <v>45354</v>
      </c>
      <c r="H1251" s="107">
        <f t="shared" si="24"/>
        <v>5</v>
      </c>
    </row>
    <row r="1252" spans="1:8">
      <c r="A1252" s="107">
        <v>1</v>
      </c>
      <c r="B1252" s="107">
        <v>18</v>
      </c>
      <c r="C1252" s="107">
        <v>7</v>
      </c>
      <c r="D1252" s="107">
        <v>1</v>
      </c>
      <c r="E1252" s="107" t="s">
        <v>743</v>
      </c>
      <c r="F1252" s="107" t="s">
        <v>744</v>
      </c>
      <c r="G1252" s="161">
        <v>45354</v>
      </c>
      <c r="H1252" s="107">
        <f t="shared" si="24"/>
        <v>5</v>
      </c>
    </row>
    <row r="1253" spans="1:8">
      <c r="A1253" s="107">
        <v>1</v>
      </c>
      <c r="B1253" s="107">
        <v>18</v>
      </c>
      <c r="C1253" s="107">
        <v>7</v>
      </c>
      <c r="D1253" s="107">
        <v>2</v>
      </c>
      <c r="E1253" s="107" t="s">
        <v>743</v>
      </c>
      <c r="F1253" s="107" t="s">
        <v>744</v>
      </c>
      <c r="G1253" s="161">
        <v>45354</v>
      </c>
      <c r="H1253" s="107">
        <f t="shared" si="24"/>
        <v>5</v>
      </c>
    </row>
    <row r="1254" spans="1:8">
      <c r="A1254" s="107">
        <v>1</v>
      </c>
      <c r="B1254" s="107">
        <v>18</v>
      </c>
      <c r="C1254" s="107">
        <v>7</v>
      </c>
      <c r="D1254" s="107">
        <v>3</v>
      </c>
      <c r="E1254" s="107" t="s">
        <v>743</v>
      </c>
      <c r="F1254" s="107" t="s">
        <v>744</v>
      </c>
      <c r="G1254" s="161">
        <v>45354</v>
      </c>
      <c r="H1254" s="107">
        <f t="shared" si="24"/>
        <v>5</v>
      </c>
    </row>
    <row r="1255" spans="1:8">
      <c r="A1255" s="107">
        <v>1</v>
      </c>
      <c r="B1255" s="107">
        <v>18</v>
      </c>
      <c r="C1255" s="107">
        <v>7</v>
      </c>
      <c r="D1255" s="107">
        <v>4</v>
      </c>
      <c r="E1255" s="107" t="s">
        <v>743</v>
      </c>
      <c r="F1255" s="107" t="s">
        <v>744</v>
      </c>
      <c r="G1255" s="161">
        <v>45356</v>
      </c>
      <c r="H1255" s="107">
        <f t="shared" si="24"/>
        <v>7</v>
      </c>
    </row>
    <row r="1256" spans="1:8">
      <c r="A1256" s="107">
        <v>1</v>
      </c>
      <c r="B1256" s="107">
        <v>18</v>
      </c>
      <c r="C1256" s="107">
        <v>8</v>
      </c>
      <c r="D1256" s="107">
        <v>1</v>
      </c>
      <c r="E1256" s="107" t="s">
        <v>747</v>
      </c>
      <c r="F1256" s="107" t="s">
        <v>748</v>
      </c>
      <c r="G1256" s="161">
        <v>45353</v>
      </c>
      <c r="H1256" s="107">
        <f t="shared" si="24"/>
        <v>4</v>
      </c>
    </row>
    <row r="1257" spans="1:8">
      <c r="A1257" s="107">
        <v>1</v>
      </c>
      <c r="B1257" s="107">
        <v>18</v>
      </c>
      <c r="C1257" s="107">
        <v>8</v>
      </c>
      <c r="D1257" s="107">
        <v>2</v>
      </c>
      <c r="E1257" s="107" t="s">
        <v>747</v>
      </c>
      <c r="F1257" s="107" t="s">
        <v>748</v>
      </c>
      <c r="G1257" s="161">
        <v>45353</v>
      </c>
      <c r="H1257" s="107">
        <f t="shared" si="24"/>
        <v>4</v>
      </c>
    </row>
    <row r="1258" spans="1:8">
      <c r="A1258" s="107">
        <v>1</v>
      </c>
      <c r="B1258" s="107">
        <v>18</v>
      </c>
      <c r="C1258" s="107">
        <v>8</v>
      </c>
      <c r="D1258" s="107">
        <v>3</v>
      </c>
      <c r="E1258" s="107" t="s">
        <v>747</v>
      </c>
      <c r="F1258" s="107" t="s">
        <v>748</v>
      </c>
      <c r="G1258" s="161">
        <v>45354</v>
      </c>
      <c r="H1258" s="107">
        <f t="shared" si="24"/>
        <v>5</v>
      </c>
    </row>
    <row r="1259" spans="1:8">
      <c r="A1259" s="107">
        <v>1</v>
      </c>
      <c r="B1259" s="107">
        <v>18</v>
      </c>
      <c r="C1259" s="107">
        <v>8</v>
      </c>
      <c r="D1259" s="107">
        <v>4</v>
      </c>
      <c r="E1259" s="107" t="s">
        <v>747</v>
      </c>
      <c r="F1259" s="107" t="s">
        <v>748</v>
      </c>
      <c r="G1259" s="161">
        <v>45353</v>
      </c>
      <c r="H1259" s="107">
        <f t="shared" si="24"/>
        <v>4</v>
      </c>
    </row>
    <row r="1260" spans="1:8">
      <c r="A1260" s="107">
        <v>1</v>
      </c>
      <c r="B1260" s="107">
        <v>18</v>
      </c>
      <c r="C1260" s="107">
        <v>9</v>
      </c>
      <c r="D1260" s="107">
        <v>1</v>
      </c>
      <c r="E1260" s="107" t="s">
        <v>753</v>
      </c>
      <c r="F1260" s="107" t="s">
        <v>754</v>
      </c>
      <c r="G1260" s="161">
        <v>45353</v>
      </c>
      <c r="H1260" s="107">
        <f t="shared" si="24"/>
        <v>4</v>
      </c>
    </row>
    <row r="1261" spans="1:8">
      <c r="A1261" s="107">
        <v>1</v>
      </c>
      <c r="B1261" s="107">
        <v>18</v>
      </c>
      <c r="C1261" s="107">
        <v>9</v>
      </c>
      <c r="D1261" s="107">
        <v>2</v>
      </c>
      <c r="E1261" s="107" t="s">
        <v>753</v>
      </c>
      <c r="F1261" s="107" t="s">
        <v>754</v>
      </c>
      <c r="G1261" s="161">
        <v>45354</v>
      </c>
      <c r="H1261" s="107">
        <f t="shared" si="24"/>
        <v>5</v>
      </c>
    </row>
    <row r="1262" spans="1:8">
      <c r="A1262" s="107">
        <v>1</v>
      </c>
      <c r="B1262" s="107">
        <v>18</v>
      </c>
      <c r="C1262" s="107">
        <v>9</v>
      </c>
      <c r="D1262" s="107">
        <v>3</v>
      </c>
      <c r="E1262" s="107" t="s">
        <v>753</v>
      </c>
      <c r="F1262" s="107" t="s">
        <v>754</v>
      </c>
      <c r="G1262" s="161">
        <v>45353</v>
      </c>
      <c r="H1262" s="107">
        <f t="shared" si="24"/>
        <v>4</v>
      </c>
    </row>
    <row r="1263" spans="1:8">
      <c r="A1263" s="107">
        <v>1</v>
      </c>
      <c r="B1263" s="107">
        <v>18</v>
      </c>
      <c r="C1263" s="107">
        <v>9</v>
      </c>
      <c r="D1263" s="107">
        <v>4</v>
      </c>
      <c r="E1263" s="107" t="s">
        <v>753</v>
      </c>
      <c r="F1263" s="107" t="s">
        <v>754</v>
      </c>
      <c r="G1263" s="161">
        <v>45353</v>
      </c>
      <c r="H1263" s="107">
        <f t="shared" si="24"/>
        <v>4</v>
      </c>
    </row>
    <row r="1264" spans="1:8">
      <c r="A1264" s="107">
        <v>1</v>
      </c>
      <c r="B1264" s="107">
        <v>18</v>
      </c>
      <c r="C1264" s="107">
        <v>10</v>
      </c>
      <c r="D1264" s="107">
        <v>1</v>
      </c>
      <c r="E1264" s="107" t="s">
        <v>725</v>
      </c>
      <c r="F1264" s="107" t="s">
        <v>726</v>
      </c>
      <c r="G1264" s="161">
        <v>45354</v>
      </c>
      <c r="H1264" s="107">
        <f t="shared" si="24"/>
        <v>5</v>
      </c>
    </row>
    <row r="1265" spans="1:8">
      <c r="A1265" s="107">
        <v>1</v>
      </c>
      <c r="B1265" s="107">
        <v>18</v>
      </c>
      <c r="C1265" s="107">
        <v>10</v>
      </c>
      <c r="D1265" s="107">
        <v>2</v>
      </c>
      <c r="E1265" s="107" t="s">
        <v>725</v>
      </c>
      <c r="F1265" s="107" t="s">
        <v>726</v>
      </c>
      <c r="G1265" s="161"/>
      <c r="H1265" s="107"/>
    </row>
    <row r="1266" spans="1:8">
      <c r="A1266" s="107">
        <v>1</v>
      </c>
      <c r="B1266" s="107">
        <v>18</v>
      </c>
      <c r="C1266" s="107">
        <v>10</v>
      </c>
      <c r="D1266" s="107">
        <v>3</v>
      </c>
      <c r="E1266" s="107" t="s">
        <v>725</v>
      </c>
      <c r="F1266" s="107" t="s">
        <v>726</v>
      </c>
      <c r="G1266" s="161">
        <v>45353</v>
      </c>
      <c r="H1266" s="107">
        <f t="shared" si="24"/>
        <v>4</v>
      </c>
    </row>
    <row r="1267" spans="1:8">
      <c r="A1267" s="107">
        <v>1</v>
      </c>
      <c r="B1267" s="107">
        <v>18</v>
      </c>
      <c r="C1267" s="107">
        <v>10</v>
      </c>
      <c r="D1267" s="107">
        <v>4</v>
      </c>
      <c r="E1267" s="107" t="s">
        <v>725</v>
      </c>
      <c r="F1267" s="107" t="s">
        <v>726</v>
      </c>
      <c r="G1267" s="161">
        <v>45353</v>
      </c>
      <c r="H1267" s="107">
        <f t="shared" si="24"/>
        <v>4</v>
      </c>
    </row>
    <row r="1268" spans="1:8">
      <c r="A1268" s="107">
        <v>1</v>
      </c>
      <c r="B1268" s="107">
        <v>18</v>
      </c>
      <c r="C1268" s="107">
        <v>11</v>
      </c>
      <c r="D1268" s="107">
        <v>1</v>
      </c>
      <c r="E1268" s="107" t="s">
        <v>733</v>
      </c>
      <c r="F1268" s="107" t="s">
        <v>734</v>
      </c>
      <c r="G1268" s="161">
        <v>45354</v>
      </c>
      <c r="H1268" s="107">
        <f t="shared" si="24"/>
        <v>5</v>
      </c>
    </row>
    <row r="1269" spans="1:8">
      <c r="A1269" s="107">
        <v>1</v>
      </c>
      <c r="B1269" s="107">
        <v>18</v>
      </c>
      <c r="C1269" s="107">
        <v>11</v>
      </c>
      <c r="D1269" s="107">
        <v>2</v>
      </c>
      <c r="E1269" s="107" t="s">
        <v>733</v>
      </c>
      <c r="F1269" s="107" t="s">
        <v>734</v>
      </c>
      <c r="G1269" s="161">
        <v>45353</v>
      </c>
      <c r="H1269" s="107">
        <f t="shared" si="24"/>
        <v>4</v>
      </c>
    </row>
    <row r="1270" spans="1:8">
      <c r="A1270" s="107">
        <v>1</v>
      </c>
      <c r="B1270" s="107">
        <v>18</v>
      </c>
      <c r="C1270" s="107">
        <v>11</v>
      </c>
      <c r="D1270" s="107">
        <v>3</v>
      </c>
      <c r="E1270" s="107" t="s">
        <v>733</v>
      </c>
      <c r="F1270" s="107" t="s">
        <v>734</v>
      </c>
      <c r="G1270" s="161">
        <v>45354</v>
      </c>
      <c r="H1270" s="107">
        <f t="shared" si="24"/>
        <v>5</v>
      </c>
    </row>
    <row r="1271" spans="1:8">
      <c r="A1271" s="107">
        <v>1</v>
      </c>
      <c r="B1271" s="107">
        <v>18</v>
      </c>
      <c r="C1271" s="107">
        <v>11</v>
      </c>
      <c r="D1271" s="107">
        <v>4</v>
      </c>
      <c r="E1271" s="107" t="s">
        <v>733</v>
      </c>
      <c r="F1271" s="107" t="s">
        <v>734</v>
      </c>
      <c r="G1271" s="161">
        <v>45353</v>
      </c>
      <c r="H1271" s="107">
        <f t="shared" si="24"/>
        <v>4</v>
      </c>
    </row>
    <row r="1272" spans="1:8">
      <c r="A1272" s="107">
        <v>1</v>
      </c>
      <c r="B1272" s="107">
        <v>18</v>
      </c>
      <c r="C1272" s="107">
        <v>12</v>
      </c>
      <c r="D1272" s="107">
        <v>1</v>
      </c>
      <c r="E1272" s="107" t="s">
        <v>737</v>
      </c>
      <c r="F1272" s="107" t="s">
        <v>738</v>
      </c>
      <c r="G1272" s="161">
        <v>45356</v>
      </c>
      <c r="H1272" s="107">
        <f t="shared" si="24"/>
        <v>7</v>
      </c>
    </row>
    <row r="1273" spans="1:8">
      <c r="A1273" s="107">
        <v>1</v>
      </c>
      <c r="B1273" s="107">
        <v>18</v>
      </c>
      <c r="C1273" s="107">
        <v>12</v>
      </c>
      <c r="D1273" s="107">
        <v>2</v>
      </c>
      <c r="E1273" s="107" t="s">
        <v>737</v>
      </c>
      <c r="F1273" s="107" t="s">
        <v>738</v>
      </c>
      <c r="G1273" s="161">
        <v>45354</v>
      </c>
      <c r="H1273" s="107">
        <f t="shared" si="24"/>
        <v>5</v>
      </c>
    </row>
    <row r="1274" spans="1:8">
      <c r="A1274" s="107">
        <v>1</v>
      </c>
      <c r="B1274" s="107">
        <v>18</v>
      </c>
      <c r="C1274" s="107">
        <v>12</v>
      </c>
      <c r="D1274" s="107">
        <v>3</v>
      </c>
      <c r="E1274" s="107" t="s">
        <v>737</v>
      </c>
      <c r="F1274" s="107" t="s">
        <v>738</v>
      </c>
      <c r="G1274" s="107"/>
      <c r="H1274" s="107"/>
    </row>
    <row r="1275" spans="1:8">
      <c r="A1275" s="107">
        <v>1</v>
      </c>
      <c r="B1275" s="107">
        <v>18</v>
      </c>
      <c r="C1275" s="107">
        <v>12</v>
      </c>
      <c r="D1275" s="107">
        <v>4</v>
      </c>
      <c r="E1275" s="107" t="s">
        <v>737</v>
      </c>
      <c r="F1275" s="107" t="s">
        <v>738</v>
      </c>
      <c r="G1275" s="161">
        <v>45356</v>
      </c>
      <c r="H1275" s="107">
        <f t="shared" si="24"/>
        <v>7</v>
      </c>
    </row>
    <row r="1276" spans="1:8">
      <c r="A1276" s="107">
        <v>1</v>
      </c>
      <c r="B1276" s="107">
        <v>18</v>
      </c>
      <c r="C1276" s="107">
        <v>13</v>
      </c>
      <c r="D1276" s="107">
        <v>1</v>
      </c>
      <c r="E1276" s="107" t="s">
        <v>727</v>
      </c>
      <c r="F1276" s="107" t="s">
        <v>728</v>
      </c>
      <c r="G1276" s="161">
        <v>45354</v>
      </c>
      <c r="H1276" s="107">
        <f t="shared" si="24"/>
        <v>5</v>
      </c>
    </row>
    <row r="1277" spans="1:8">
      <c r="A1277" s="107">
        <v>1</v>
      </c>
      <c r="B1277" s="107">
        <v>18</v>
      </c>
      <c r="C1277" s="107">
        <v>13</v>
      </c>
      <c r="D1277" s="107">
        <v>2</v>
      </c>
      <c r="E1277" s="107" t="s">
        <v>727</v>
      </c>
      <c r="F1277" s="107" t="s">
        <v>728</v>
      </c>
      <c r="G1277" s="161">
        <v>45354</v>
      </c>
      <c r="H1277" s="107">
        <f t="shared" si="24"/>
        <v>5</v>
      </c>
    </row>
    <row r="1278" spans="1:8">
      <c r="A1278" s="107">
        <v>1</v>
      </c>
      <c r="B1278" s="107">
        <v>18</v>
      </c>
      <c r="C1278" s="107">
        <v>13</v>
      </c>
      <c r="D1278" s="107">
        <v>3</v>
      </c>
      <c r="E1278" s="107" t="s">
        <v>727</v>
      </c>
      <c r="F1278" s="107" t="s">
        <v>728</v>
      </c>
      <c r="G1278" s="161">
        <v>45353</v>
      </c>
      <c r="H1278" s="107">
        <f t="shared" si="24"/>
        <v>4</v>
      </c>
    </row>
    <row r="1279" spans="1:8">
      <c r="A1279" s="107">
        <v>1</v>
      </c>
      <c r="B1279" s="107">
        <v>18</v>
      </c>
      <c r="C1279" s="107">
        <v>13</v>
      </c>
      <c r="D1279" s="107">
        <v>4</v>
      </c>
      <c r="E1279" s="107" t="s">
        <v>727</v>
      </c>
      <c r="F1279" s="107" t="s">
        <v>728</v>
      </c>
      <c r="G1279" s="161">
        <v>45353</v>
      </c>
      <c r="H1279" s="107">
        <f t="shared" si="24"/>
        <v>4</v>
      </c>
    </row>
    <row r="1280" spans="1:8">
      <c r="A1280" s="107">
        <v>1</v>
      </c>
      <c r="B1280" s="107">
        <v>18</v>
      </c>
      <c r="C1280" s="107">
        <v>14</v>
      </c>
      <c r="D1280" s="107">
        <v>1</v>
      </c>
      <c r="E1280" s="107" t="s">
        <v>729</v>
      </c>
      <c r="F1280" s="107" t="s">
        <v>730</v>
      </c>
      <c r="G1280" s="161">
        <v>45354</v>
      </c>
      <c r="H1280" s="107">
        <f t="shared" si="24"/>
        <v>5</v>
      </c>
    </row>
    <row r="1281" spans="1:8">
      <c r="A1281" s="107">
        <v>1</v>
      </c>
      <c r="B1281" s="107">
        <v>18</v>
      </c>
      <c r="C1281" s="107">
        <v>14</v>
      </c>
      <c r="D1281" s="107">
        <v>2</v>
      </c>
      <c r="E1281" s="107" t="s">
        <v>729</v>
      </c>
      <c r="F1281" s="107" t="s">
        <v>730</v>
      </c>
      <c r="G1281" s="161">
        <v>45353</v>
      </c>
      <c r="H1281" s="107">
        <f t="shared" si="24"/>
        <v>4</v>
      </c>
    </row>
    <row r="1282" spans="1:8">
      <c r="A1282" s="107">
        <v>1</v>
      </c>
      <c r="B1282" s="107">
        <v>18</v>
      </c>
      <c r="C1282" s="107">
        <v>14</v>
      </c>
      <c r="D1282" s="107">
        <v>3</v>
      </c>
      <c r="E1282" s="107" t="s">
        <v>729</v>
      </c>
      <c r="F1282" s="107" t="s">
        <v>730</v>
      </c>
      <c r="G1282" s="161">
        <v>45353</v>
      </c>
      <c r="H1282" s="107">
        <f t="shared" si="24"/>
        <v>4</v>
      </c>
    </row>
    <row r="1283" spans="1:8">
      <c r="A1283" s="107">
        <v>1</v>
      </c>
      <c r="B1283" s="107">
        <v>18</v>
      </c>
      <c r="C1283" s="107">
        <v>14</v>
      </c>
      <c r="D1283" s="107">
        <v>4</v>
      </c>
      <c r="E1283" s="107" t="s">
        <v>729</v>
      </c>
      <c r="F1283" s="107" t="s">
        <v>730</v>
      </c>
      <c r="G1283" s="161">
        <v>45354</v>
      </c>
      <c r="H1283" s="107">
        <f t="shared" si="24"/>
        <v>5</v>
      </c>
    </row>
    <row r="1284" spans="1:8">
      <c r="A1284" s="107">
        <v>1</v>
      </c>
      <c r="B1284" s="107">
        <v>18</v>
      </c>
      <c r="C1284" s="107">
        <v>15</v>
      </c>
      <c r="D1284" s="107">
        <v>1</v>
      </c>
      <c r="E1284" s="107" t="s">
        <v>735</v>
      </c>
      <c r="F1284" s="107" t="s">
        <v>736</v>
      </c>
      <c r="G1284" s="161">
        <v>45353</v>
      </c>
      <c r="H1284" s="107">
        <f t="shared" si="24"/>
        <v>4</v>
      </c>
    </row>
    <row r="1285" spans="1:8">
      <c r="A1285" s="107">
        <v>1</v>
      </c>
      <c r="B1285" s="107">
        <v>18</v>
      </c>
      <c r="C1285" s="107">
        <v>15</v>
      </c>
      <c r="D1285" s="107">
        <v>2</v>
      </c>
      <c r="E1285" s="107" t="s">
        <v>735</v>
      </c>
      <c r="F1285" s="107" t="s">
        <v>736</v>
      </c>
      <c r="G1285" s="161">
        <v>45354</v>
      </c>
      <c r="H1285" s="107">
        <f t="shared" ref="H1285:H1348" si="25">DATEDIF($H$2,G1285,"d")</f>
        <v>5</v>
      </c>
    </row>
    <row r="1286" spans="1:8">
      <c r="A1286" s="107">
        <v>1</v>
      </c>
      <c r="B1286" s="107">
        <v>18</v>
      </c>
      <c r="C1286" s="107">
        <v>15</v>
      </c>
      <c r="D1286" s="107">
        <v>3</v>
      </c>
      <c r="E1286" s="107" t="s">
        <v>735</v>
      </c>
      <c r="F1286" s="107" t="s">
        <v>736</v>
      </c>
      <c r="G1286" s="161">
        <v>45354</v>
      </c>
      <c r="H1286" s="107">
        <f t="shared" si="25"/>
        <v>5</v>
      </c>
    </row>
    <row r="1287" spans="1:8">
      <c r="A1287" s="107">
        <v>1</v>
      </c>
      <c r="B1287" s="107">
        <v>18</v>
      </c>
      <c r="C1287" s="107">
        <v>15</v>
      </c>
      <c r="D1287" s="107">
        <v>4</v>
      </c>
      <c r="E1287" s="107" t="s">
        <v>735</v>
      </c>
      <c r="F1287" s="107" t="s">
        <v>736</v>
      </c>
      <c r="G1287" s="161">
        <v>45356</v>
      </c>
      <c r="H1287" s="107">
        <f t="shared" si="25"/>
        <v>7</v>
      </c>
    </row>
    <row r="1288" spans="1:8">
      <c r="A1288" s="107">
        <v>1</v>
      </c>
      <c r="B1288" s="107">
        <v>18</v>
      </c>
      <c r="C1288" s="107">
        <v>16</v>
      </c>
      <c r="D1288" s="107">
        <v>1</v>
      </c>
      <c r="E1288" s="107" t="s">
        <v>721</v>
      </c>
      <c r="F1288" s="107" t="s">
        <v>722</v>
      </c>
      <c r="G1288" s="161">
        <v>45353</v>
      </c>
      <c r="H1288" s="107">
        <f t="shared" si="25"/>
        <v>4</v>
      </c>
    </row>
    <row r="1289" spans="1:8">
      <c r="A1289" s="107">
        <v>1</v>
      </c>
      <c r="B1289" s="107">
        <v>18</v>
      </c>
      <c r="C1289" s="107">
        <v>16</v>
      </c>
      <c r="D1289" s="107">
        <v>2</v>
      </c>
      <c r="E1289" s="107" t="s">
        <v>721</v>
      </c>
      <c r="F1289" s="107" t="s">
        <v>722</v>
      </c>
      <c r="G1289" s="161">
        <v>45354</v>
      </c>
      <c r="H1289" s="107">
        <f t="shared" si="25"/>
        <v>5</v>
      </c>
    </row>
    <row r="1290" spans="1:8">
      <c r="A1290" s="107">
        <v>1</v>
      </c>
      <c r="B1290" s="107">
        <v>18</v>
      </c>
      <c r="C1290" s="107">
        <v>16</v>
      </c>
      <c r="D1290" s="107">
        <v>3</v>
      </c>
      <c r="E1290" s="107" t="s">
        <v>721</v>
      </c>
      <c r="F1290" s="107" t="s">
        <v>722</v>
      </c>
      <c r="G1290" s="161">
        <v>45354</v>
      </c>
      <c r="H1290" s="107">
        <f t="shared" si="25"/>
        <v>5</v>
      </c>
    </row>
    <row r="1291" spans="1:8">
      <c r="A1291" s="107">
        <v>1</v>
      </c>
      <c r="B1291" s="107">
        <v>18</v>
      </c>
      <c r="C1291" s="107">
        <v>16</v>
      </c>
      <c r="D1291" s="107">
        <v>4</v>
      </c>
      <c r="E1291" s="107" t="s">
        <v>721</v>
      </c>
      <c r="F1291" s="107" t="s">
        <v>722</v>
      </c>
      <c r="G1291" s="161">
        <v>45353</v>
      </c>
      <c r="H1291" s="107">
        <f t="shared" si="25"/>
        <v>4</v>
      </c>
    </row>
    <row r="1292" spans="1:8">
      <c r="A1292" s="107">
        <v>1</v>
      </c>
      <c r="B1292" s="107">
        <v>18</v>
      </c>
      <c r="C1292" s="107">
        <v>17</v>
      </c>
      <c r="D1292" s="107">
        <v>1</v>
      </c>
      <c r="E1292" s="107" t="s">
        <v>739</v>
      </c>
      <c r="F1292" s="107" t="s">
        <v>740</v>
      </c>
      <c r="G1292" s="161">
        <v>45354</v>
      </c>
      <c r="H1292" s="107">
        <f t="shared" si="25"/>
        <v>5</v>
      </c>
    </row>
    <row r="1293" spans="1:8">
      <c r="A1293" s="107">
        <v>1</v>
      </c>
      <c r="B1293" s="107">
        <v>18</v>
      </c>
      <c r="C1293" s="107">
        <v>17</v>
      </c>
      <c r="D1293" s="107">
        <v>2</v>
      </c>
      <c r="E1293" s="107" t="s">
        <v>739</v>
      </c>
      <c r="F1293" s="107" t="s">
        <v>740</v>
      </c>
      <c r="G1293" s="161">
        <v>45354</v>
      </c>
      <c r="H1293" s="107">
        <f t="shared" si="25"/>
        <v>5</v>
      </c>
    </row>
    <row r="1294" spans="1:8">
      <c r="A1294" s="107">
        <v>1</v>
      </c>
      <c r="B1294" s="107">
        <v>18</v>
      </c>
      <c r="C1294" s="107">
        <v>17</v>
      </c>
      <c r="D1294" s="107">
        <v>3</v>
      </c>
      <c r="E1294" s="107" t="s">
        <v>739</v>
      </c>
      <c r="F1294" s="107" t="s">
        <v>740</v>
      </c>
      <c r="G1294" s="161">
        <v>45354</v>
      </c>
      <c r="H1294" s="107">
        <f t="shared" si="25"/>
        <v>5</v>
      </c>
    </row>
    <row r="1295" spans="1:8">
      <c r="A1295" s="107">
        <v>1</v>
      </c>
      <c r="B1295" s="107">
        <v>18</v>
      </c>
      <c r="C1295" s="107">
        <v>17</v>
      </c>
      <c r="D1295" s="107">
        <v>4</v>
      </c>
      <c r="E1295" s="107" t="s">
        <v>739</v>
      </c>
      <c r="F1295" s="107" t="s">
        <v>740</v>
      </c>
      <c r="G1295" s="161">
        <v>45353</v>
      </c>
      <c r="H1295" s="107">
        <f t="shared" si="25"/>
        <v>4</v>
      </c>
    </row>
    <row r="1296" spans="1:8">
      <c r="A1296" s="107">
        <v>1</v>
      </c>
      <c r="B1296" s="107">
        <v>18</v>
      </c>
      <c r="C1296" s="107">
        <v>18</v>
      </c>
      <c r="D1296" s="107">
        <v>1</v>
      </c>
      <c r="E1296" s="107" t="s">
        <v>745</v>
      </c>
      <c r="F1296" s="107" t="s">
        <v>746</v>
      </c>
      <c r="G1296" s="161">
        <v>45354</v>
      </c>
      <c r="H1296" s="107">
        <f t="shared" si="25"/>
        <v>5</v>
      </c>
    </row>
    <row r="1297" spans="1:8">
      <c r="A1297" s="107">
        <v>1</v>
      </c>
      <c r="B1297" s="107">
        <v>18</v>
      </c>
      <c r="C1297" s="107">
        <v>18</v>
      </c>
      <c r="D1297" s="107">
        <v>2</v>
      </c>
      <c r="E1297" s="107" t="s">
        <v>745</v>
      </c>
      <c r="F1297" s="107" t="s">
        <v>746</v>
      </c>
      <c r="G1297" s="161">
        <v>45353</v>
      </c>
      <c r="H1297" s="107">
        <f t="shared" si="25"/>
        <v>4</v>
      </c>
    </row>
    <row r="1298" spans="1:8">
      <c r="A1298" s="107">
        <v>1</v>
      </c>
      <c r="B1298" s="107">
        <v>18</v>
      </c>
      <c r="C1298" s="107">
        <v>18</v>
      </c>
      <c r="D1298" s="107">
        <v>3</v>
      </c>
      <c r="E1298" s="107" t="s">
        <v>745</v>
      </c>
      <c r="F1298" s="107" t="s">
        <v>746</v>
      </c>
      <c r="G1298" s="161">
        <v>45354</v>
      </c>
      <c r="H1298" s="107">
        <f t="shared" si="25"/>
        <v>5</v>
      </c>
    </row>
    <row r="1299" spans="1:8">
      <c r="A1299" s="107">
        <v>1</v>
      </c>
      <c r="B1299" s="107">
        <v>18</v>
      </c>
      <c r="C1299" s="107">
        <v>18</v>
      </c>
      <c r="D1299" s="107">
        <v>4</v>
      </c>
      <c r="E1299" s="107" t="s">
        <v>745</v>
      </c>
      <c r="F1299" s="107" t="s">
        <v>746</v>
      </c>
      <c r="G1299" s="161">
        <v>45354</v>
      </c>
      <c r="H1299" s="107">
        <f t="shared" si="25"/>
        <v>5</v>
      </c>
    </row>
    <row r="1300" spans="1:8">
      <c r="A1300" s="107">
        <v>2</v>
      </c>
      <c r="B1300" s="107">
        <v>19</v>
      </c>
      <c r="C1300" s="107">
        <v>1</v>
      </c>
      <c r="D1300" s="107">
        <v>1</v>
      </c>
      <c r="E1300" s="107" t="s">
        <v>598</v>
      </c>
      <c r="F1300" s="107" t="s">
        <v>599</v>
      </c>
      <c r="G1300" s="161">
        <v>45354</v>
      </c>
      <c r="H1300" s="107">
        <f t="shared" si="25"/>
        <v>5</v>
      </c>
    </row>
    <row r="1301" spans="1:8">
      <c r="A1301" s="107">
        <v>2</v>
      </c>
      <c r="B1301" s="107">
        <v>19</v>
      </c>
      <c r="C1301" s="107">
        <v>1</v>
      </c>
      <c r="D1301" s="107">
        <v>2</v>
      </c>
      <c r="E1301" s="107" t="s">
        <v>598</v>
      </c>
      <c r="F1301" s="107" t="s">
        <v>599</v>
      </c>
      <c r="G1301" s="107"/>
      <c r="H1301" s="107"/>
    </row>
    <row r="1302" spans="1:8">
      <c r="A1302" s="107">
        <v>2</v>
      </c>
      <c r="B1302" s="107">
        <v>19</v>
      </c>
      <c r="C1302" s="107">
        <v>1</v>
      </c>
      <c r="D1302" s="107">
        <v>3</v>
      </c>
      <c r="E1302" s="107" t="s">
        <v>598</v>
      </c>
      <c r="F1302" s="107" t="s">
        <v>599</v>
      </c>
      <c r="G1302" s="161">
        <v>45354</v>
      </c>
      <c r="H1302" s="107">
        <f t="shared" si="25"/>
        <v>5</v>
      </c>
    </row>
    <row r="1303" spans="1:8">
      <c r="A1303" s="107">
        <v>2</v>
      </c>
      <c r="B1303" s="107">
        <v>19</v>
      </c>
      <c r="C1303" s="107">
        <v>1</v>
      </c>
      <c r="D1303" s="107">
        <v>4</v>
      </c>
      <c r="E1303" s="107" t="s">
        <v>598</v>
      </c>
      <c r="F1303" s="107" t="s">
        <v>599</v>
      </c>
      <c r="G1303" s="161">
        <v>45354</v>
      </c>
      <c r="H1303" s="107">
        <f t="shared" si="25"/>
        <v>5</v>
      </c>
    </row>
    <row r="1304" spans="1:8">
      <c r="A1304" s="107">
        <v>2</v>
      </c>
      <c r="B1304" s="107">
        <v>19</v>
      </c>
      <c r="C1304" s="107">
        <v>2</v>
      </c>
      <c r="D1304" s="107">
        <v>1</v>
      </c>
      <c r="E1304" s="107" t="s">
        <v>178</v>
      </c>
      <c r="F1304" s="107" t="s">
        <v>179</v>
      </c>
      <c r="G1304" s="161">
        <v>45354</v>
      </c>
      <c r="H1304" s="107">
        <f t="shared" si="25"/>
        <v>5</v>
      </c>
    </row>
    <row r="1305" spans="1:8">
      <c r="A1305" s="107">
        <v>2</v>
      </c>
      <c r="B1305" s="107">
        <v>19</v>
      </c>
      <c r="C1305" s="107">
        <v>2</v>
      </c>
      <c r="D1305" s="107">
        <v>2</v>
      </c>
      <c r="E1305" s="107" t="s">
        <v>178</v>
      </c>
      <c r="F1305" s="107" t="s">
        <v>179</v>
      </c>
      <c r="G1305" s="161">
        <v>45353</v>
      </c>
      <c r="H1305" s="107">
        <f t="shared" si="25"/>
        <v>4</v>
      </c>
    </row>
    <row r="1306" spans="1:8">
      <c r="A1306" s="107">
        <v>2</v>
      </c>
      <c r="B1306" s="107">
        <v>19</v>
      </c>
      <c r="C1306" s="107">
        <v>2</v>
      </c>
      <c r="D1306" s="107">
        <v>3</v>
      </c>
      <c r="E1306" s="107" t="s">
        <v>178</v>
      </c>
      <c r="F1306" s="107" t="s">
        <v>179</v>
      </c>
      <c r="G1306" s="161">
        <v>45353</v>
      </c>
      <c r="H1306" s="107">
        <f t="shared" si="25"/>
        <v>4</v>
      </c>
    </row>
    <row r="1307" spans="1:8">
      <c r="A1307" s="107">
        <v>2</v>
      </c>
      <c r="B1307" s="107">
        <v>19</v>
      </c>
      <c r="C1307" s="107">
        <v>2</v>
      </c>
      <c r="D1307" s="107">
        <v>4</v>
      </c>
      <c r="E1307" s="107" t="s">
        <v>178</v>
      </c>
      <c r="F1307" s="107" t="s">
        <v>179</v>
      </c>
      <c r="G1307" s="161">
        <v>45353</v>
      </c>
      <c r="H1307" s="107">
        <f t="shared" si="25"/>
        <v>4</v>
      </c>
    </row>
    <row r="1308" spans="1:8">
      <c r="A1308" s="107">
        <v>2</v>
      </c>
      <c r="B1308" s="107">
        <v>19</v>
      </c>
      <c r="C1308" s="107">
        <v>3</v>
      </c>
      <c r="D1308" s="107">
        <v>1</v>
      </c>
      <c r="E1308" s="107" t="s">
        <v>751</v>
      </c>
      <c r="F1308" s="107" t="s">
        <v>752</v>
      </c>
      <c r="G1308" s="161">
        <v>45353</v>
      </c>
      <c r="H1308" s="107">
        <f t="shared" si="25"/>
        <v>4</v>
      </c>
    </row>
    <row r="1309" spans="1:8">
      <c r="A1309" s="107">
        <v>2</v>
      </c>
      <c r="B1309" s="107">
        <v>19</v>
      </c>
      <c r="C1309" s="107">
        <v>3</v>
      </c>
      <c r="D1309" s="107">
        <v>2</v>
      </c>
      <c r="E1309" s="107" t="s">
        <v>751</v>
      </c>
      <c r="F1309" s="107" t="s">
        <v>752</v>
      </c>
      <c r="G1309" s="161">
        <v>45354</v>
      </c>
      <c r="H1309" s="107">
        <f t="shared" si="25"/>
        <v>5</v>
      </c>
    </row>
    <row r="1310" spans="1:8">
      <c r="A1310" s="107">
        <v>2</v>
      </c>
      <c r="B1310" s="107">
        <v>19</v>
      </c>
      <c r="C1310" s="107">
        <v>3</v>
      </c>
      <c r="D1310" s="107">
        <v>3</v>
      </c>
      <c r="E1310" s="107" t="s">
        <v>751</v>
      </c>
      <c r="F1310" s="107" t="s">
        <v>752</v>
      </c>
      <c r="G1310" s="161">
        <v>45354</v>
      </c>
      <c r="H1310" s="107">
        <f t="shared" si="25"/>
        <v>5</v>
      </c>
    </row>
    <row r="1311" spans="1:8">
      <c r="A1311" s="107">
        <v>2</v>
      </c>
      <c r="B1311" s="107">
        <v>19</v>
      </c>
      <c r="C1311" s="107">
        <v>3</v>
      </c>
      <c r="D1311" s="107">
        <v>4</v>
      </c>
      <c r="E1311" s="107" t="s">
        <v>751</v>
      </c>
      <c r="F1311" s="107" t="s">
        <v>752</v>
      </c>
      <c r="G1311" s="161">
        <v>45354</v>
      </c>
      <c r="H1311" s="107">
        <f t="shared" si="25"/>
        <v>5</v>
      </c>
    </row>
    <row r="1312" spans="1:8">
      <c r="A1312" s="107">
        <v>2</v>
      </c>
      <c r="B1312" s="107">
        <v>19</v>
      </c>
      <c r="C1312" s="107">
        <v>4</v>
      </c>
      <c r="D1312" s="107">
        <v>1</v>
      </c>
      <c r="E1312" s="107" t="s">
        <v>477</v>
      </c>
      <c r="F1312" s="107" t="s">
        <v>478</v>
      </c>
      <c r="G1312" s="161">
        <v>45354</v>
      </c>
      <c r="H1312" s="107">
        <f t="shared" si="25"/>
        <v>5</v>
      </c>
    </row>
    <row r="1313" spans="1:8">
      <c r="A1313" s="107">
        <v>2</v>
      </c>
      <c r="B1313" s="107">
        <v>19</v>
      </c>
      <c r="C1313" s="107">
        <v>4</v>
      </c>
      <c r="D1313" s="107">
        <v>2</v>
      </c>
      <c r="E1313" s="107" t="s">
        <v>477</v>
      </c>
      <c r="F1313" s="107" t="s">
        <v>478</v>
      </c>
      <c r="G1313" s="161">
        <v>45354</v>
      </c>
      <c r="H1313" s="107">
        <f t="shared" si="25"/>
        <v>5</v>
      </c>
    </row>
    <row r="1314" spans="1:8">
      <c r="A1314" s="107">
        <v>2</v>
      </c>
      <c r="B1314" s="107">
        <v>19</v>
      </c>
      <c r="C1314" s="107">
        <v>4</v>
      </c>
      <c r="D1314" s="107">
        <v>3</v>
      </c>
      <c r="E1314" s="107" t="s">
        <v>477</v>
      </c>
      <c r="F1314" s="107" t="s">
        <v>478</v>
      </c>
      <c r="G1314" s="107"/>
      <c r="H1314" s="107"/>
    </row>
    <row r="1315" spans="1:8">
      <c r="A1315" s="107">
        <v>2</v>
      </c>
      <c r="B1315" s="107">
        <v>19</v>
      </c>
      <c r="C1315" s="107">
        <v>4</v>
      </c>
      <c r="D1315" s="107">
        <v>4</v>
      </c>
      <c r="E1315" s="107" t="s">
        <v>477</v>
      </c>
      <c r="F1315" s="107" t="s">
        <v>478</v>
      </c>
      <c r="G1315" s="161">
        <v>45354</v>
      </c>
      <c r="H1315" s="107">
        <f t="shared" si="25"/>
        <v>5</v>
      </c>
    </row>
    <row r="1316" spans="1:8">
      <c r="A1316" s="107">
        <v>2</v>
      </c>
      <c r="B1316" s="107">
        <v>19</v>
      </c>
      <c r="C1316" s="107">
        <v>5</v>
      </c>
      <c r="D1316" s="107">
        <v>1</v>
      </c>
      <c r="E1316" s="107" t="s">
        <v>285</v>
      </c>
      <c r="F1316" s="107" t="s">
        <v>286</v>
      </c>
      <c r="G1316" s="161">
        <v>45354</v>
      </c>
      <c r="H1316" s="107">
        <f t="shared" si="25"/>
        <v>5</v>
      </c>
    </row>
    <row r="1317" spans="1:8">
      <c r="A1317" s="107">
        <v>2</v>
      </c>
      <c r="B1317" s="107">
        <v>19</v>
      </c>
      <c r="C1317" s="107">
        <v>5</v>
      </c>
      <c r="D1317" s="107">
        <v>2</v>
      </c>
      <c r="E1317" s="107" t="s">
        <v>285</v>
      </c>
      <c r="F1317" s="107" t="s">
        <v>286</v>
      </c>
      <c r="G1317" s="161">
        <v>45354</v>
      </c>
      <c r="H1317" s="107">
        <f t="shared" si="25"/>
        <v>5</v>
      </c>
    </row>
    <row r="1318" spans="1:8">
      <c r="A1318" s="107">
        <v>2</v>
      </c>
      <c r="B1318" s="107">
        <v>19</v>
      </c>
      <c r="C1318" s="107">
        <v>5</v>
      </c>
      <c r="D1318" s="107">
        <v>3</v>
      </c>
      <c r="E1318" s="107" t="s">
        <v>285</v>
      </c>
      <c r="F1318" s="107" t="s">
        <v>286</v>
      </c>
      <c r="G1318" s="161">
        <v>45354</v>
      </c>
      <c r="H1318" s="107">
        <f t="shared" si="25"/>
        <v>5</v>
      </c>
    </row>
    <row r="1319" spans="1:8">
      <c r="A1319" s="107">
        <v>2</v>
      </c>
      <c r="B1319" s="107">
        <v>19</v>
      </c>
      <c r="C1319" s="107">
        <v>5</v>
      </c>
      <c r="D1319" s="107">
        <v>4</v>
      </c>
      <c r="E1319" s="107" t="s">
        <v>285</v>
      </c>
      <c r="F1319" s="107" t="s">
        <v>286</v>
      </c>
      <c r="G1319" s="161">
        <v>45354</v>
      </c>
      <c r="H1319" s="107">
        <f t="shared" si="25"/>
        <v>5</v>
      </c>
    </row>
    <row r="1320" spans="1:8">
      <c r="A1320" s="107">
        <v>2</v>
      </c>
      <c r="B1320" s="107">
        <v>19</v>
      </c>
      <c r="C1320" s="107">
        <v>6</v>
      </c>
      <c r="D1320" s="107">
        <v>1</v>
      </c>
      <c r="E1320" s="107" t="s">
        <v>562</v>
      </c>
      <c r="F1320" s="107" t="s">
        <v>563</v>
      </c>
      <c r="G1320" s="161">
        <v>45354</v>
      </c>
      <c r="H1320" s="107">
        <f t="shared" si="25"/>
        <v>5</v>
      </c>
    </row>
    <row r="1321" spans="1:8">
      <c r="A1321" s="107">
        <v>2</v>
      </c>
      <c r="B1321" s="107">
        <v>19</v>
      </c>
      <c r="C1321" s="107">
        <v>6</v>
      </c>
      <c r="D1321" s="107">
        <v>2</v>
      </c>
      <c r="E1321" s="107" t="s">
        <v>562</v>
      </c>
      <c r="F1321" s="107" t="s">
        <v>563</v>
      </c>
      <c r="G1321" s="161">
        <v>45354</v>
      </c>
      <c r="H1321" s="107">
        <f t="shared" si="25"/>
        <v>5</v>
      </c>
    </row>
    <row r="1322" spans="1:8">
      <c r="A1322" s="107">
        <v>2</v>
      </c>
      <c r="B1322" s="107">
        <v>19</v>
      </c>
      <c r="C1322" s="107">
        <v>6</v>
      </c>
      <c r="D1322" s="107">
        <v>3</v>
      </c>
      <c r="E1322" s="107" t="s">
        <v>562</v>
      </c>
      <c r="F1322" s="107" t="s">
        <v>563</v>
      </c>
      <c r="G1322" s="161">
        <v>45354</v>
      </c>
      <c r="H1322" s="107">
        <f t="shared" si="25"/>
        <v>5</v>
      </c>
    </row>
    <row r="1323" spans="1:8">
      <c r="A1323" s="107">
        <v>2</v>
      </c>
      <c r="B1323" s="107">
        <v>19</v>
      </c>
      <c r="C1323" s="107">
        <v>6</v>
      </c>
      <c r="D1323" s="107">
        <v>4</v>
      </c>
      <c r="E1323" s="107" t="s">
        <v>562</v>
      </c>
      <c r="F1323" s="107" t="s">
        <v>563</v>
      </c>
      <c r="G1323" s="161">
        <v>45353</v>
      </c>
      <c r="H1323" s="107">
        <f t="shared" si="25"/>
        <v>4</v>
      </c>
    </row>
    <row r="1324" spans="1:8">
      <c r="A1324" s="107">
        <v>2</v>
      </c>
      <c r="B1324" s="107">
        <v>19</v>
      </c>
      <c r="C1324" s="107">
        <v>7</v>
      </c>
      <c r="D1324" s="107">
        <v>1</v>
      </c>
      <c r="E1324" s="107" t="s">
        <v>417</v>
      </c>
      <c r="F1324" s="107" t="s">
        <v>418</v>
      </c>
      <c r="G1324" s="161">
        <v>45354</v>
      </c>
      <c r="H1324" s="107">
        <f t="shared" si="25"/>
        <v>5</v>
      </c>
    </row>
    <row r="1325" spans="1:8">
      <c r="A1325" s="107">
        <v>2</v>
      </c>
      <c r="B1325" s="107">
        <v>19</v>
      </c>
      <c r="C1325" s="107">
        <v>7</v>
      </c>
      <c r="D1325" s="107">
        <v>2</v>
      </c>
      <c r="E1325" s="107" t="s">
        <v>417</v>
      </c>
      <c r="F1325" s="107" t="s">
        <v>418</v>
      </c>
      <c r="G1325" s="161">
        <v>45354</v>
      </c>
      <c r="H1325" s="107">
        <f t="shared" si="25"/>
        <v>5</v>
      </c>
    </row>
    <row r="1326" spans="1:8">
      <c r="A1326" s="107">
        <v>2</v>
      </c>
      <c r="B1326" s="107">
        <v>19</v>
      </c>
      <c r="C1326" s="107">
        <v>7</v>
      </c>
      <c r="D1326" s="107">
        <v>3</v>
      </c>
      <c r="E1326" s="107" t="s">
        <v>417</v>
      </c>
      <c r="F1326" s="107" t="s">
        <v>418</v>
      </c>
      <c r="G1326" s="161">
        <v>45354</v>
      </c>
      <c r="H1326" s="107">
        <f t="shared" si="25"/>
        <v>5</v>
      </c>
    </row>
    <row r="1327" spans="1:8">
      <c r="A1327" s="107">
        <v>2</v>
      </c>
      <c r="B1327" s="107">
        <v>19</v>
      </c>
      <c r="C1327" s="107">
        <v>7</v>
      </c>
      <c r="D1327" s="107">
        <v>4</v>
      </c>
      <c r="E1327" s="107" t="s">
        <v>417</v>
      </c>
      <c r="F1327" s="107" t="s">
        <v>418</v>
      </c>
      <c r="G1327" s="161">
        <v>45354</v>
      </c>
      <c r="H1327" s="107">
        <f t="shared" si="25"/>
        <v>5</v>
      </c>
    </row>
    <row r="1328" spans="1:8">
      <c r="A1328" s="107">
        <v>2</v>
      </c>
      <c r="B1328" s="107">
        <v>19</v>
      </c>
      <c r="C1328" s="107">
        <v>8</v>
      </c>
      <c r="D1328" s="107">
        <v>1</v>
      </c>
      <c r="E1328" s="107" t="s">
        <v>250</v>
      </c>
      <c r="F1328" s="107" t="s">
        <v>251</v>
      </c>
      <c r="G1328" s="161">
        <v>45354</v>
      </c>
      <c r="H1328" s="107">
        <f t="shared" si="25"/>
        <v>5</v>
      </c>
    </row>
    <row r="1329" spans="1:8">
      <c r="A1329" s="107">
        <v>2</v>
      </c>
      <c r="B1329" s="107">
        <v>19</v>
      </c>
      <c r="C1329" s="107">
        <v>8</v>
      </c>
      <c r="D1329" s="107">
        <v>2</v>
      </c>
      <c r="E1329" s="107" t="s">
        <v>250</v>
      </c>
      <c r="F1329" s="107" t="s">
        <v>251</v>
      </c>
      <c r="G1329" s="161">
        <v>45354</v>
      </c>
      <c r="H1329" s="107">
        <f t="shared" si="25"/>
        <v>5</v>
      </c>
    </row>
    <row r="1330" spans="1:8">
      <c r="A1330" s="107">
        <v>2</v>
      </c>
      <c r="B1330" s="107">
        <v>19</v>
      </c>
      <c r="C1330" s="107">
        <v>8</v>
      </c>
      <c r="D1330" s="107">
        <v>3</v>
      </c>
      <c r="E1330" s="107" t="s">
        <v>250</v>
      </c>
      <c r="F1330" s="107" t="s">
        <v>251</v>
      </c>
      <c r="G1330" s="161">
        <v>45354</v>
      </c>
      <c r="H1330" s="107">
        <f t="shared" si="25"/>
        <v>5</v>
      </c>
    </row>
    <row r="1331" spans="1:8">
      <c r="A1331" s="107">
        <v>2</v>
      </c>
      <c r="B1331" s="107">
        <v>19</v>
      </c>
      <c r="C1331" s="107">
        <v>8</v>
      </c>
      <c r="D1331" s="107">
        <v>4</v>
      </c>
      <c r="E1331" s="107" t="s">
        <v>250</v>
      </c>
      <c r="F1331" s="107" t="s">
        <v>251</v>
      </c>
      <c r="G1331" s="161">
        <v>45353</v>
      </c>
      <c r="H1331" s="107">
        <f t="shared" si="25"/>
        <v>4</v>
      </c>
    </row>
    <row r="1332" spans="1:8">
      <c r="A1332" s="107">
        <v>2</v>
      </c>
      <c r="B1332" s="107">
        <v>19</v>
      </c>
      <c r="C1332" s="107">
        <v>9</v>
      </c>
      <c r="D1332" s="107">
        <v>1</v>
      </c>
      <c r="E1332" s="107" t="s">
        <v>538</v>
      </c>
      <c r="F1332" s="107" t="s">
        <v>539</v>
      </c>
      <c r="G1332" s="161">
        <v>45353</v>
      </c>
      <c r="H1332" s="107">
        <f t="shared" si="25"/>
        <v>4</v>
      </c>
    </row>
    <row r="1333" spans="1:8">
      <c r="A1333" s="107">
        <v>2</v>
      </c>
      <c r="B1333" s="107">
        <v>19</v>
      </c>
      <c r="C1333" s="107">
        <v>9</v>
      </c>
      <c r="D1333" s="107">
        <v>2</v>
      </c>
      <c r="E1333" s="107" t="s">
        <v>538</v>
      </c>
      <c r="F1333" s="107" t="s">
        <v>539</v>
      </c>
      <c r="G1333" s="161">
        <v>45354</v>
      </c>
      <c r="H1333" s="107">
        <f t="shared" si="25"/>
        <v>5</v>
      </c>
    </row>
    <row r="1334" spans="1:8">
      <c r="A1334" s="107">
        <v>2</v>
      </c>
      <c r="B1334" s="107">
        <v>19</v>
      </c>
      <c r="C1334" s="107">
        <v>9</v>
      </c>
      <c r="D1334" s="107">
        <v>3</v>
      </c>
      <c r="E1334" s="107" t="s">
        <v>538</v>
      </c>
      <c r="F1334" s="107" t="s">
        <v>539</v>
      </c>
      <c r="G1334" s="161">
        <v>45354</v>
      </c>
      <c r="H1334" s="107">
        <f t="shared" si="25"/>
        <v>5</v>
      </c>
    </row>
    <row r="1335" spans="1:8">
      <c r="A1335" s="107">
        <v>2</v>
      </c>
      <c r="B1335" s="107">
        <v>19</v>
      </c>
      <c r="C1335" s="107">
        <v>9</v>
      </c>
      <c r="D1335" s="107">
        <v>4</v>
      </c>
      <c r="E1335" s="107" t="s">
        <v>538</v>
      </c>
      <c r="F1335" s="107" t="s">
        <v>539</v>
      </c>
      <c r="G1335" s="161">
        <v>45354</v>
      </c>
      <c r="H1335" s="107">
        <f t="shared" si="25"/>
        <v>5</v>
      </c>
    </row>
    <row r="1336" spans="1:8">
      <c r="A1336" s="107">
        <v>2</v>
      </c>
      <c r="B1336" s="107">
        <v>19</v>
      </c>
      <c r="C1336" s="107">
        <v>10</v>
      </c>
      <c r="D1336" s="107">
        <v>1</v>
      </c>
      <c r="E1336" s="107" t="s">
        <v>309</v>
      </c>
      <c r="F1336" s="107" t="s">
        <v>310</v>
      </c>
      <c r="G1336" s="161">
        <v>45354</v>
      </c>
      <c r="H1336" s="107">
        <f t="shared" si="25"/>
        <v>5</v>
      </c>
    </row>
    <row r="1337" spans="1:8">
      <c r="A1337" s="107">
        <v>2</v>
      </c>
      <c r="B1337" s="107">
        <v>19</v>
      </c>
      <c r="C1337" s="107">
        <v>10</v>
      </c>
      <c r="D1337" s="107">
        <v>2</v>
      </c>
      <c r="E1337" s="107" t="s">
        <v>309</v>
      </c>
      <c r="F1337" s="107" t="s">
        <v>310</v>
      </c>
      <c r="G1337" s="161">
        <v>45354</v>
      </c>
      <c r="H1337" s="107">
        <f t="shared" si="25"/>
        <v>5</v>
      </c>
    </row>
    <row r="1338" spans="1:8">
      <c r="A1338" s="107">
        <v>2</v>
      </c>
      <c r="B1338" s="107">
        <v>19</v>
      </c>
      <c r="C1338" s="107">
        <v>10</v>
      </c>
      <c r="D1338" s="107">
        <v>3</v>
      </c>
      <c r="E1338" s="107" t="s">
        <v>309</v>
      </c>
      <c r="F1338" s="107" t="s">
        <v>310</v>
      </c>
      <c r="G1338" s="161">
        <v>45354</v>
      </c>
      <c r="H1338" s="107">
        <f t="shared" si="25"/>
        <v>5</v>
      </c>
    </row>
    <row r="1339" spans="1:8">
      <c r="A1339" s="107">
        <v>2</v>
      </c>
      <c r="B1339" s="107">
        <v>19</v>
      </c>
      <c r="C1339" s="107">
        <v>10</v>
      </c>
      <c r="D1339" s="107">
        <v>4</v>
      </c>
      <c r="E1339" s="107" t="s">
        <v>309</v>
      </c>
      <c r="F1339" s="107" t="s">
        <v>310</v>
      </c>
      <c r="G1339" s="161">
        <v>45355</v>
      </c>
      <c r="H1339" s="107">
        <f t="shared" si="25"/>
        <v>6</v>
      </c>
    </row>
    <row r="1340" spans="1:8">
      <c r="A1340" s="107">
        <v>2</v>
      </c>
      <c r="B1340" s="107">
        <v>19</v>
      </c>
      <c r="C1340" s="107">
        <v>11</v>
      </c>
      <c r="D1340" s="107">
        <v>1</v>
      </c>
      <c r="E1340" s="107" t="s">
        <v>614</v>
      </c>
      <c r="F1340" s="107" t="s">
        <v>615</v>
      </c>
      <c r="G1340" s="161">
        <v>45354</v>
      </c>
      <c r="H1340" s="107">
        <f t="shared" si="25"/>
        <v>5</v>
      </c>
    </row>
    <row r="1341" spans="1:8">
      <c r="A1341" s="107">
        <v>2</v>
      </c>
      <c r="B1341" s="107">
        <v>19</v>
      </c>
      <c r="C1341" s="107">
        <v>11</v>
      </c>
      <c r="D1341" s="107">
        <v>2</v>
      </c>
      <c r="E1341" s="107" t="s">
        <v>614</v>
      </c>
      <c r="F1341" s="107" t="s">
        <v>615</v>
      </c>
      <c r="G1341" s="161">
        <v>45354</v>
      </c>
      <c r="H1341" s="107">
        <f t="shared" si="25"/>
        <v>5</v>
      </c>
    </row>
    <row r="1342" spans="1:8">
      <c r="A1342" s="107">
        <v>2</v>
      </c>
      <c r="B1342" s="107">
        <v>19</v>
      </c>
      <c r="C1342" s="107">
        <v>11</v>
      </c>
      <c r="D1342" s="107">
        <v>3</v>
      </c>
      <c r="E1342" s="107" t="s">
        <v>614</v>
      </c>
      <c r="F1342" s="107" t="s">
        <v>615</v>
      </c>
      <c r="G1342" s="161">
        <v>45355</v>
      </c>
      <c r="H1342" s="107">
        <f t="shared" si="25"/>
        <v>6</v>
      </c>
    </row>
    <row r="1343" spans="1:8">
      <c r="A1343" s="107">
        <v>2</v>
      </c>
      <c r="B1343" s="107">
        <v>19</v>
      </c>
      <c r="C1343" s="107">
        <v>11</v>
      </c>
      <c r="D1343" s="107">
        <v>4</v>
      </c>
      <c r="E1343" s="107" t="s">
        <v>614</v>
      </c>
      <c r="F1343" s="107" t="s">
        <v>615</v>
      </c>
      <c r="G1343" s="161">
        <v>45354</v>
      </c>
      <c r="H1343" s="107">
        <f t="shared" si="25"/>
        <v>5</v>
      </c>
    </row>
    <row r="1344" spans="1:8">
      <c r="A1344" s="107">
        <v>2</v>
      </c>
      <c r="B1344" s="107">
        <v>19</v>
      </c>
      <c r="C1344" s="107">
        <v>12</v>
      </c>
      <c r="D1344" s="107">
        <v>1</v>
      </c>
      <c r="E1344" s="107" t="s">
        <v>692</v>
      </c>
      <c r="F1344" s="107" t="s">
        <v>693</v>
      </c>
      <c r="G1344" s="161">
        <v>45354</v>
      </c>
      <c r="H1344" s="107">
        <f t="shared" si="25"/>
        <v>5</v>
      </c>
    </row>
    <row r="1345" spans="1:8">
      <c r="A1345" s="107">
        <v>2</v>
      </c>
      <c r="B1345" s="107">
        <v>19</v>
      </c>
      <c r="C1345" s="107">
        <v>12</v>
      </c>
      <c r="D1345" s="107">
        <v>2</v>
      </c>
      <c r="E1345" s="107" t="s">
        <v>692</v>
      </c>
      <c r="F1345" s="107" t="s">
        <v>693</v>
      </c>
      <c r="G1345" s="161">
        <v>45353</v>
      </c>
      <c r="H1345" s="107">
        <f t="shared" si="25"/>
        <v>4</v>
      </c>
    </row>
    <row r="1346" spans="1:8">
      <c r="A1346" s="107">
        <v>2</v>
      </c>
      <c r="B1346" s="107">
        <v>19</v>
      </c>
      <c r="C1346" s="107">
        <v>12</v>
      </c>
      <c r="D1346" s="107">
        <v>3</v>
      </c>
      <c r="E1346" s="107" t="s">
        <v>692</v>
      </c>
      <c r="F1346" s="107" t="s">
        <v>693</v>
      </c>
      <c r="G1346" s="161">
        <v>45353</v>
      </c>
      <c r="H1346" s="107">
        <f t="shared" si="25"/>
        <v>4</v>
      </c>
    </row>
    <row r="1347" spans="1:8">
      <c r="A1347" s="107">
        <v>2</v>
      </c>
      <c r="B1347" s="107">
        <v>19</v>
      </c>
      <c r="C1347" s="107">
        <v>12</v>
      </c>
      <c r="D1347" s="107">
        <v>4</v>
      </c>
      <c r="E1347" s="107" t="s">
        <v>692</v>
      </c>
      <c r="F1347" s="107" t="s">
        <v>693</v>
      </c>
      <c r="G1347" s="161">
        <v>45355</v>
      </c>
      <c r="H1347" s="107">
        <f t="shared" si="25"/>
        <v>6</v>
      </c>
    </row>
    <row r="1348" spans="1:8">
      <c r="A1348" s="107">
        <v>2</v>
      </c>
      <c r="B1348" s="107">
        <v>19</v>
      </c>
      <c r="C1348" s="107">
        <v>13</v>
      </c>
      <c r="D1348" s="107">
        <v>1</v>
      </c>
      <c r="E1348" s="107" t="s">
        <v>236</v>
      </c>
      <c r="F1348" s="107" t="s">
        <v>237</v>
      </c>
      <c r="G1348" s="161">
        <v>45354</v>
      </c>
      <c r="H1348" s="107">
        <f t="shared" si="25"/>
        <v>5</v>
      </c>
    </row>
    <row r="1349" spans="1:8">
      <c r="A1349" s="107">
        <v>2</v>
      </c>
      <c r="B1349" s="107">
        <v>19</v>
      </c>
      <c r="C1349" s="107">
        <v>13</v>
      </c>
      <c r="D1349" s="107">
        <v>2</v>
      </c>
      <c r="E1349" s="107" t="s">
        <v>236</v>
      </c>
      <c r="F1349" s="107" t="s">
        <v>237</v>
      </c>
      <c r="G1349" s="107"/>
      <c r="H1349" s="107"/>
    </row>
    <row r="1350" spans="1:8">
      <c r="A1350" s="107">
        <v>2</v>
      </c>
      <c r="B1350" s="107">
        <v>19</v>
      </c>
      <c r="C1350" s="107">
        <v>13</v>
      </c>
      <c r="D1350" s="107">
        <v>3</v>
      </c>
      <c r="E1350" s="107" t="s">
        <v>236</v>
      </c>
      <c r="F1350" s="107" t="s">
        <v>237</v>
      </c>
      <c r="G1350" s="107"/>
      <c r="H1350" s="107"/>
    </row>
    <row r="1351" spans="1:8">
      <c r="A1351" s="107">
        <v>2</v>
      </c>
      <c r="B1351" s="107">
        <v>19</v>
      </c>
      <c r="C1351" s="107">
        <v>13</v>
      </c>
      <c r="D1351" s="107">
        <v>4</v>
      </c>
      <c r="E1351" s="107" t="s">
        <v>236</v>
      </c>
      <c r="F1351" s="107" t="s">
        <v>237</v>
      </c>
      <c r="G1351" s="161">
        <v>45353</v>
      </c>
      <c r="H1351" s="107">
        <f t="shared" ref="H1351:H1412" si="26">DATEDIF($H$2,G1351,"d")</f>
        <v>4</v>
      </c>
    </row>
    <row r="1352" spans="1:8">
      <c r="A1352" s="107">
        <v>2</v>
      </c>
      <c r="B1352" s="107">
        <v>19</v>
      </c>
      <c r="C1352" s="107">
        <v>14</v>
      </c>
      <c r="D1352" s="107">
        <v>1</v>
      </c>
      <c r="E1352" s="107" t="s">
        <v>511</v>
      </c>
      <c r="F1352" s="107" t="s">
        <v>512</v>
      </c>
      <c r="G1352" s="161">
        <v>45354</v>
      </c>
      <c r="H1352" s="107">
        <f t="shared" si="26"/>
        <v>5</v>
      </c>
    </row>
    <row r="1353" spans="1:8">
      <c r="A1353" s="107">
        <v>2</v>
      </c>
      <c r="B1353" s="107">
        <v>19</v>
      </c>
      <c r="C1353" s="107">
        <v>14</v>
      </c>
      <c r="D1353" s="107">
        <v>2</v>
      </c>
      <c r="E1353" s="107" t="s">
        <v>511</v>
      </c>
      <c r="F1353" s="107" t="s">
        <v>512</v>
      </c>
      <c r="G1353" s="161">
        <v>45354</v>
      </c>
      <c r="H1353" s="107">
        <f t="shared" si="26"/>
        <v>5</v>
      </c>
    </row>
    <row r="1354" spans="1:8">
      <c r="A1354" s="107">
        <v>2</v>
      </c>
      <c r="B1354" s="107">
        <v>19</v>
      </c>
      <c r="C1354" s="107">
        <v>14</v>
      </c>
      <c r="D1354" s="107">
        <v>3</v>
      </c>
      <c r="E1354" s="107" t="s">
        <v>511</v>
      </c>
      <c r="F1354" s="107" t="s">
        <v>512</v>
      </c>
      <c r="G1354" s="161">
        <v>45354</v>
      </c>
      <c r="H1354" s="107">
        <f t="shared" si="26"/>
        <v>5</v>
      </c>
    </row>
    <row r="1355" spans="1:8">
      <c r="A1355" s="107">
        <v>2</v>
      </c>
      <c r="B1355" s="107">
        <v>19</v>
      </c>
      <c r="C1355" s="107">
        <v>14</v>
      </c>
      <c r="D1355" s="107">
        <v>4</v>
      </c>
      <c r="E1355" s="107" t="s">
        <v>511</v>
      </c>
      <c r="F1355" s="107" t="s">
        <v>512</v>
      </c>
      <c r="G1355" s="161">
        <v>45354</v>
      </c>
      <c r="H1355" s="107">
        <f t="shared" si="26"/>
        <v>5</v>
      </c>
    </row>
    <row r="1356" spans="1:8">
      <c r="A1356" s="107">
        <v>2</v>
      </c>
      <c r="B1356" s="107">
        <v>19</v>
      </c>
      <c r="C1356" s="107">
        <v>15</v>
      </c>
      <c r="D1356" s="107">
        <v>1</v>
      </c>
      <c r="E1356" s="107" t="s">
        <v>407</v>
      </c>
      <c r="F1356" s="107" t="s">
        <v>408</v>
      </c>
      <c r="G1356" s="161">
        <v>45354</v>
      </c>
      <c r="H1356" s="107">
        <f t="shared" si="26"/>
        <v>5</v>
      </c>
    </row>
    <row r="1357" spans="1:8">
      <c r="A1357" s="107">
        <v>2</v>
      </c>
      <c r="B1357" s="107">
        <v>19</v>
      </c>
      <c r="C1357" s="107">
        <v>15</v>
      </c>
      <c r="D1357" s="107">
        <v>2</v>
      </c>
      <c r="E1357" s="107" t="s">
        <v>407</v>
      </c>
      <c r="F1357" s="107" t="s">
        <v>408</v>
      </c>
      <c r="G1357" s="161">
        <v>45354</v>
      </c>
      <c r="H1357" s="107">
        <f t="shared" si="26"/>
        <v>5</v>
      </c>
    </row>
    <row r="1358" spans="1:8">
      <c r="A1358" s="107">
        <v>2</v>
      </c>
      <c r="B1358" s="107">
        <v>19</v>
      </c>
      <c r="C1358" s="107">
        <v>15</v>
      </c>
      <c r="D1358" s="107">
        <v>3</v>
      </c>
      <c r="E1358" s="107" t="s">
        <v>407</v>
      </c>
      <c r="F1358" s="107" t="s">
        <v>408</v>
      </c>
      <c r="G1358" s="161">
        <v>45353</v>
      </c>
      <c r="H1358" s="107">
        <f t="shared" si="26"/>
        <v>4</v>
      </c>
    </row>
    <row r="1359" spans="1:8">
      <c r="A1359" s="107">
        <v>2</v>
      </c>
      <c r="B1359" s="107">
        <v>19</v>
      </c>
      <c r="C1359" s="107">
        <v>15</v>
      </c>
      <c r="D1359" s="107">
        <v>4</v>
      </c>
      <c r="E1359" s="107" t="s">
        <v>407</v>
      </c>
      <c r="F1359" s="107" t="s">
        <v>408</v>
      </c>
      <c r="G1359" s="161">
        <v>45354</v>
      </c>
      <c r="H1359" s="107">
        <f t="shared" si="26"/>
        <v>5</v>
      </c>
    </row>
    <row r="1360" spans="1:8">
      <c r="A1360" s="107">
        <v>2</v>
      </c>
      <c r="B1360" s="107">
        <v>19</v>
      </c>
      <c r="C1360" s="107">
        <v>16</v>
      </c>
      <c r="D1360" s="107">
        <v>1</v>
      </c>
      <c r="E1360" s="107" t="s">
        <v>664</v>
      </c>
      <c r="F1360" s="107" t="s">
        <v>665</v>
      </c>
      <c r="G1360" s="161">
        <v>45354</v>
      </c>
      <c r="H1360" s="107">
        <f t="shared" si="26"/>
        <v>5</v>
      </c>
    </row>
    <row r="1361" spans="1:8">
      <c r="A1361" s="107">
        <v>2</v>
      </c>
      <c r="B1361" s="107">
        <v>19</v>
      </c>
      <c r="C1361" s="107">
        <v>16</v>
      </c>
      <c r="D1361" s="107">
        <v>2</v>
      </c>
      <c r="E1361" s="107" t="s">
        <v>664</v>
      </c>
      <c r="F1361" s="107" t="s">
        <v>665</v>
      </c>
      <c r="G1361" s="161">
        <v>45354</v>
      </c>
      <c r="H1361" s="107">
        <f t="shared" si="26"/>
        <v>5</v>
      </c>
    </row>
    <row r="1362" spans="1:8">
      <c r="A1362" s="107">
        <v>2</v>
      </c>
      <c r="B1362" s="107">
        <v>19</v>
      </c>
      <c r="C1362" s="107">
        <v>16</v>
      </c>
      <c r="D1362" s="107">
        <v>3</v>
      </c>
      <c r="E1362" s="107" t="s">
        <v>664</v>
      </c>
      <c r="F1362" s="107" t="s">
        <v>665</v>
      </c>
      <c r="G1362" s="161">
        <v>45354</v>
      </c>
      <c r="H1362" s="107">
        <f t="shared" si="26"/>
        <v>5</v>
      </c>
    </row>
    <row r="1363" spans="1:8">
      <c r="A1363" s="107">
        <v>2</v>
      </c>
      <c r="B1363" s="107">
        <v>19</v>
      </c>
      <c r="C1363" s="107">
        <v>16</v>
      </c>
      <c r="D1363" s="107">
        <v>4</v>
      </c>
      <c r="E1363" s="107" t="s">
        <v>664</v>
      </c>
      <c r="F1363" s="107" t="s">
        <v>665</v>
      </c>
      <c r="G1363" s="161">
        <v>45354</v>
      </c>
      <c r="H1363" s="107">
        <f t="shared" si="26"/>
        <v>5</v>
      </c>
    </row>
    <row r="1364" spans="1:8">
      <c r="A1364" s="107">
        <v>2</v>
      </c>
      <c r="B1364" s="107">
        <v>19</v>
      </c>
      <c r="C1364" s="107">
        <v>17</v>
      </c>
      <c r="D1364" s="107">
        <v>1</v>
      </c>
      <c r="E1364" s="107" t="s">
        <v>345</v>
      </c>
      <c r="F1364" s="107" t="s">
        <v>346</v>
      </c>
      <c r="G1364" s="161">
        <v>45353</v>
      </c>
      <c r="H1364" s="107">
        <f t="shared" si="26"/>
        <v>4</v>
      </c>
    </row>
    <row r="1365" spans="1:8">
      <c r="A1365" s="107">
        <v>2</v>
      </c>
      <c r="B1365" s="107">
        <v>19</v>
      </c>
      <c r="C1365" s="107">
        <v>17</v>
      </c>
      <c r="D1365" s="107">
        <v>2</v>
      </c>
      <c r="E1365" s="107" t="s">
        <v>345</v>
      </c>
      <c r="F1365" s="107" t="s">
        <v>346</v>
      </c>
      <c r="G1365" s="161">
        <v>45354</v>
      </c>
      <c r="H1365" s="107">
        <f t="shared" si="26"/>
        <v>5</v>
      </c>
    </row>
    <row r="1366" spans="1:8">
      <c r="A1366" s="107">
        <v>2</v>
      </c>
      <c r="B1366" s="107">
        <v>19</v>
      </c>
      <c r="C1366" s="107">
        <v>17</v>
      </c>
      <c r="D1366" s="107">
        <v>3</v>
      </c>
      <c r="E1366" s="107" t="s">
        <v>345</v>
      </c>
      <c r="F1366" s="107" t="s">
        <v>346</v>
      </c>
      <c r="G1366" s="161">
        <v>45354</v>
      </c>
      <c r="H1366" s="107">
        <f t="shared" si="26"/>
        <v>5</v>
      </c>
    </row>
    <row r="1367" spans="1:8">
      <c r="A1367" s="107">
        <v>2</v>
      </c>
      <c r="B1367" s="107">
        <v>19</v>
      </c>
      <c r="C1367" s="107">
        <v>17</v>
      </c>
      <c r="D1367" s="107">
        <v>4</v>
      </c>
      <c r="E1367" s="107" t="s">
        <v>345</v>
      </c>
      <c r="F1367" s="107" t="s">
        <v>346</v>
      </c>
      <c r="G1367" s="161">
        <v>45354</v>
      </c>
      <c r="H1367" s="107">
        <f t="shared" si="26"/>
        <v>5</v>
      </c>
    </row>
    <row r="1368" spans="1:8">
      <c r="A1368" s="107">
        <v>2</v>
      </c>
      <c r="B1368" s="107">
        <v>19</v>
      </c>
      <c r="C1368" s="107">
        <v>18</v>
      </c>
      <c r="D1368" s="107">
        <v>1</v>
      </c>
      <c r="E1368" s="107" t="s">
        <v>160</v>
      </c>
      <c r="F1368" s="107" t="s">
        <v>161</v>
      </c>
      <c r="G1368" s="161">
        <v>45355</v>
      </c>
      <c r="H1368" s="107">
        <f t="shared" si="26"/>
        <v>6</v>
      </c>
    </row>
    <row r="1369" spans="1:8">
      <c r="A1369" s="107">
        <v>2</v>
      </c>
      <c r="B1369" s="107">
        <v>19</v>
      </c>
      <c r="C1369" s="107">
        <v>18</v>
      </c>
      <c r="D1369" s="107">
        <v>2</v>
      </c>
      <c r="E1369" s="107" t="s">
        <v>160</v>
      </c>
      <c r="F1369" s="107" t="s">
        <v>161</v>
      </c>
      <c r="G1369" s="107"/>
      <c r="H1369" s="107"/>
    </row>
    <row r="1370" spans="1:8">
      <c r="A1370" s="107">
        <v>2</v>
      </c>
      <c r="B1370" s="107">
        <v>19</v>
      </c>
      <c r="C1370" s="107">
        <v>18</v>
      </c>
      <c r="D1370" s="107">
        <v>3</v>
      </c>
      <c r="E1370" s="107" t="s">
        <v>160</v>
      </c>
      <c r="F1370" s="107" t="s">
        <v>161</v>
      </c>
      <c r="G1370" s="161">
        <v>45355</v>
      </c>
      <c r="H1370" s="107">
        <f t="shared" si="26"/>
        <v>6</v>
      </c>
    </row>
    <row r="1371" spans="1:8">
      <c r="A1371" s="107">
        <v>2</v>
      </c>
      <c r="B1371" s="107">
        <v>19</v>
      </c>
      <c r="C1371" s="107">
        <v>18</v>
      </c>
      <c r="D1371" s="107">
        <v>4</v>
      </c>
      <c r="E1371" s="107" t="s">
        <v>160</v>
      </c>
      <c r="F1371" s="107" t="s">
        <v>161</v>
      </c>
      <c r="G1371" s="161">
        <v>45354</v>
      </c>
      <c r="H1371" s="107">
        <f t="shared" si="26"/>
        <v>5</v>
      </c>
    </row>
    <row r="1372" spans="1:8">
      <c r="A1372" s="107">
        <v>2</v>
      </c>
      <c r="B1372" s="107">
        <v>20</v>
      </c>
      <c r="C1372" s="107">
        <v>1</v>
      </c>
      <c r="D1372" s="107">
        <v>1</v>
      </c>
      <c r="E1372" s="107" t="s">
        <v>214</v>
      </c>
      <c r="F1372" s="107" t="s">
        <v>215</v>
      </c>
      <c r="G1372" s="161">
        <v>45353</v>
      </c>
      <c r="H1372" s="107">
        <f t="shared" si="26"/>
        <v>4</v>
      </c>
    </row>
    <row r="1373" spans="1:8">
      <c r="A1373" s="107">
        <v>2</v>
      </c>
      <c r="B1373" s="107">
        <v>20</v>
      </c>
      <c r="C1373" s="107">
        <v>1</v>
      </c>
      <c r="D1373" s="107">
        <v>2</v>
      </c>
      <c r="E1373" s="107" t="s">
        <v>214</v>
      </c>
      <c r="F1373" s="107" t="s">
        <v>215</v>
      </c>
      <c r="G1373" s="161">
        <v>45354</v>
      </c>
      <c r="H1373" s="107">
        <f t="shared" si="26"/>
        <v>5</v>
      </c>
    </row>
    <row r="1374" spans="1:8">
      <c r="A1374" s="107">
        <v>2</v>
      </c>
      <c r="B1374" s="107">
        <v>20</v>
      </c>
      <c r="C1374" s="107">
        <v>1</v>
      </c>
      <c r="D1374" s="107">
        <v>3</v>
      </c>
      <c r="E1374" s="107" t="s">
        <v>214</v>
      </c>
      <c r="F1374" s="107" t="s">
        <v>215</v>
      </c>
      <c r="G1374" s="161">
        <v>45353</v>
      </c>
      <c r="H1374" s="107">
        <f t="shared" si="26"/>
        <v>4</v>
      </c>
    </row>
    <row r="1375" spans="1:8">
      <c r="A1375" s="107">
        <v>2</v>
      </c>
      <c r="B1375" s="107">
        <v>20</v>
      </c>
      <c r="C1375" s="107">
        <v>1</v>
      </c>
      <c r="D1375" s="107">
        <v>4</v>
      </c>
      <c r="E1375" s="107" t="s">
        <v>214</v>
      </c>
      <c r="F1375" s="107" t="s">
        <v>215</v>
      </c>
      <c r="G1375" s="161">
        <v>45356</v>
      </c>
      <c r="H1375" s="107">
        <f t="shared" si="26"/>
        <v>7</v>
      </c>
    </row>
    <row r="1376" spans="1:8">
      <c r="A1376" s="107">
        <v>2</v>
      </c>
      <c r="B1376" s="107">
        <v>20</v>
      </c>
      <c r="C1376" s="107">
        <v>2</v>
      </c>
      <c r="D1376" s="107">
        <v>1</v>
      </c>
      <c r="E1376" s="107" t="s">
        <v>582</v>
      </c>
      <c r="F1376" s="107" t="s">
        <v>583</v>
      </c>
      <c r="G1376" s="161">
        <v>45353</v>
      </c>
      <c r="H1376" s="107">
        <f t="shared" si="26"/>
        <v>4</v>
      </c>
    </row>
    <row r="1377" spans="1:8">
      <c r="A1377" s="107">
        <v>2</v>
      </c>
      <c r="B1377" s="107">
        <v>20</v>
      </c>
      <c r="C1377" s="107">
        <v>2</v>
      </c>
      <c r="D1377" s="107">
        <v>2</v>
      </c>
      <c r="E1377" s="107" t="s">
        <v>582</v>
      </c>
      <c r="F1377" s="107" t="s">
        <v>583</v>
      </c>
      <c r="G1377" s="161">
        <v>45353</v>
      </c>
      <c r="H1377" s="107">
        <f t="shared" si="26"/>
        <v>4</v>
      </c>
    </row>
    <row r="1378" spans="1:8">
      <c r="A1378" s="107">
        <v>2</v>
      </c>
      <c r="B1378" s="107">
        <v>20</v>
      </c>
      <c r="C1378" s="107">
        <v>2</v>
      </c>
      <c r="D1378" s="107">
        <v>3</v>
      </c>
      <c r="E1378" s="107" t="s">
        <v>582</v>
      </c>
      <c r="F1378" s="107" t="s">
        <v>583</v>
      </c>
      <c r="G1378" s="161">
        <v>45353</v>
      </c>
      <c r="H1378" s="107">
        <f t="shared" si="26"/>
        <v>4</v>
      </c>
    </row>
    <row r="1379" spans="1:8">
      <c r="A1379" s="107">
        <v>2</v>
      </c>
      <c r="B1379" s="107">
        <v>20</v>
      </c>
      <c r="C1379" s="107">
        <v>2</v>
      </c>
      <c r="D1379" s="107">
        <v>4</v>
      </c>
      <c r="E1379" s="107" t="s">
        <v>582</v>
      </c>
      <c r="F1379" s="107" t="s">
        <v>583</v>
      </c>
      <c r="G1379" s="161">
        <v>45353</v>
      </c>
      <c r="H1379" s="107">
        <f t="shared" si="26"/>
        <v>4</v>
      </c>
    </row>
    <row r="1380" spans="1:8">
      <c r="A1380" s="107">
        <v>2</v>
      </c>
      <c r="B1380" s="107">
        <v>20</v>
      </c>
      <c r="C1380" s="107">
        <v>3</v>
      </c>
      <c r="D1380" s="107">
        <v>1</v>
      </c>
      <c r="E1380" s="107" t="s">
        <v>393</v>
      </c>
      <c r="F1380" s="107" t="s">
        <v>394</v>
      </c>
      <c r="G1380" s="161">
        <v>45353</v>
      </c>
      <c r="H1380" s="107">
        <f t="shared" si="26"/>
        <v>4</v>
      </c>
    </row>
    <row r="1381" spans="1:8">
      <c r="A1381" s="107">
        <v>2</v>
      </c>
      <c r="B1381" s="107">
        <v>20</v>
      </c>
      <c r="C1381" s="107">
        <v>3</v>
      </c>
      <c r="D1381" s="107">
        <v>2</v>
      </c>
      <c r="E1381" s="107" t="s">
        <v>393</v>
      </c>
      <c r="F1381" s="107" t="s">
        <v>394</v>
      </c>
      <c r="G1381" s="161">
        <v>45353</v>
      </c>
      <c r="H1381" s="107">
        <f t="shared" si="26"/>
        <v>4</v>
      </c>
    </row>
    <row r="1382" spans="1:8">
      <c r="A1382" s="107">
        <v>2</v>
      </c>
      <c r="B1382" s="107">
        <v>20</v>
      </c>
      <c r="C1382" s="107">
        <v>3</v>
      </c>
      <c r="D1382" s="107">
        <v>3</v>
      </c>
      <c r="E1382" s="107" t="s">
        <v>393</v>
      </c>
      <c r="F1382" s="107" t="s">
        <v>394</v>
      </c>
      <c r="G1382" s="161">
        <v>45353</v>
      </c>
      <c r="H1382" s="107">
        <f t="shared" si="26"/>
        <v>4</v>
      </c>
    </row>
    <row r="1383" spans="1:8">
      <c r="A1383" s="107">
        <v>2</v>
      </c>
      <c r="B1383" s="107">
        <v>20</v>
      </c>
      <c r="C1383" s="107">
        <v>3</v>
      </c>
      <c r="D1383" s="107">
        <v>4</v>
      </c>
      <c r="E1383" s="107" t="s">
        <v>393</v>
      </c>
      <c r="F1383" s="107" t="s">
        <v>394</v>
      </c>
      <c r="G1383" s="161">
        <v>45353</v>
      </c>
      <c r="H1383" s="107">
        <f t="shared" si="26"/>
        <v>4</v>
      </c>
    </row>
    <row r="1384" spans="1:8">
      <c r="A1384" s="107">
        <v>2</v>
      </c>
      <c r="B1384" s="107">
        <v>20</v>
      </c>
      <c r="C1384" s="107">
        <v>4</v>
      </c>
      <c r="D1384" s="107">
        <v>1</v>
      </c>
      <c r="E1384" s="107" t="s">
        <v>270</v>
      </c>
      <c r="F1384" s="107" t="s">
        <v>163</v>
      </c>
      <c r="G1384" s="161">
        <v>45353</v>
      </c>
      <c r="H1384" s="107">
        <f t="shared" si="26"/>
        <v>4</v>
      </c>
    </row>
    <row r="1385" spans="1:8">
      <c r="A1385" s="107">
        <v>2</v>
      </c>
      <c r="B1385" s="107">
        <v>20</v>
      </c>
      <c r="C1385" s="107">
        <v>4</v>
      </c>
      <c r="D1385" s="107">
        <v>2</v>
      </c>
      <c r="E1385" s="107" t="s">
        <v>270</v>
      </c>
      <c r="F1385" s="107" t="s">
        <v>163</v>
      </c>
      <c r="G1385" s="161">
        <v>45353</v>
      </c>
      <c r="H1385" s="107">
        <f t="shared" si="26"/>
        <v>4</v>
      </c>
    </row>
    <row r="1386" spans="1:8">
      <c r="A1386" s="107">
        <v>2</v>
      </c>
      <c r="B1386" s="107">
        <v>20</v>
      </c>
      <c r="C1386" s="107">
        <v>4</v>
      </c>
      <c r="D1386" s="107">
        <v>3</v>
      </c>
      <c r="E1386" s="107" t="s">
        <v>270</v>
      </c>
      <c r="F1386" s="107" t="s">
        <v>163</v>
      </c>
      <c r="G1386" s="161">
        <v>45353</v>
      </c>
      <c r="H1386" s="107">
        <f t="shared" si="26"/>
        <v>4</v>
      </c>
    </row>
    <row r="1387" spans="1:8">
      <c r="A1387" s="107">
        <v>2</v>
      </c>
      <c r="B1387" s="107">
        <v>20</v>
      </c>
      <c r="C1387" s="107">
        <v>4</v>
      </c>
      <c r="D1387" s="107">
        <v>4</v>
      </c>
      <c r="E1387" s="107" t="s">
        <v>270</v>
      </c>
      <c r="F1387" s="107" t="s">
        <v>163</v>
      </c>
      <c r="G1387" s="107"/>
      <c r="H1387" s="107"/>
    </row>
    <row r="1388" spans="1:8">
      <c r="A1388" s="107">
        <v>2</v>
      </c>
      <c r="B1388" s="107">
        <v>20</v>
      </c>
      <c r="C1388" s="107">
        <v>5</v>
      </c>
      <c r="D1388" s="107">
        <v>1</v>
      </c>
      <c r="E1388" s="107" t="s">
        <v>154</v>
      </c>
      <c r="F1388" s="107" t="s">
        <v>155</v>
      </c>
      <c r="G1388" s="161">
        <v>45353</v>
      </c>
      <c r="H1388" s="107">
        <f t="shared" si="26"/>
        <v>4</v>
      </c>
    </row>
    <row r="1389" spans="1:8">
      <c r="A1389" s="107">
        <v>2</v>
      </c>
      <c r="B1389" s="107">
        <v>20</v>
      </c>
      <c r="C1389" s="107">
        <v>5</v>
      </c>
      <c r="D1389" s="107">
        <v>2</v>
      </c>
      <c r="E1389" s="107" t="s">
        <v>154</v>
      </c>
      <c r="F1389" s="107" t="s">
        <v>155</v>
      </c>
      <c r="G1389" s="161">
        <v>45355</v>
      </c>
      <c r="H1389" s="107">
        <f t="shared" si="26"/>
        <v>6</v>
      </c>
    </row>
    <row r="1390" spans="1:8">
      <c r="A1390" s="107">
        <v>2</v>
      </c>
      <c r="B1390" s="107">
        <v>20</v>
      </c>
      <c r="C1390" s="107">
        <v>5</v>
      </c>
      <c r="D1390" s="107">
        <v>3</v>
      </c>
      <c r="E1390" s="107" t="s">
        <v>154</v>
      </c>
      <c r="F1390" s="107" t="s">
        <v>155</v>
      </c>
      <c r="G1390" s="161">
        <v>45354</v>
      </c>
      <c r="H1390" s="107">
        <f t="shared" si="26"/>
        <v>5</v>
      </c>
    </row>
    <row r="1391" spans="1:8">
      <c r="A1391" s="107">
        <v>2</v>
      </c>
      <c r="B1391" s="107">
        <v>20</v>
      </c>
      <c r="C1391" s="107">
        <v>5</v>
      </c>
      <c r="D1391" s="107">
        <v>4</v>
      </c>
      <c r="E1391" s="107" t="s">
        <v>154</v>
      </c>
      <c r="F1391" s="107" t="s">
        <v>155</v>
      </c>
      <c r="G1391" s="161">
        <v>45353</v>
      </c>
      <c r="H1391" s="107">
        <f t="shared" si="26"/>
        <v>4</v>
      </c>
    </row>
    <row r="1392" spans="1:8">
      <c r="A1392" s="107">
        <v>2</v>
      </c>
      <c r="B1392" s="107">
        <v>20</v>
      </c>
      <c r="C1392" s="107">
        <v>6</v>
      </c>
      <c r="D1392" s="107">
        <v>1</v>
      </c>
      <c r="E1392" s="107" t="s">
        <v>295</v>
      </c>
      <c r="F1392" s="107" t="s">
        <v>296</v>
      </c>
      <c r="G1392" s="161">
        <v>45354</v>
      </c>
      <c r="H1392" s="107">
        <f t="shared" si="26"/>
        <v>5</v>
      </c>
    </row>
    <row r="1393" spans="1:8">
      <c r="A1393" s="107">
        <v>2</v>
      </c>
      <c r="B1393" s="107">
        <v>20</v>
      </c>
      <c r="C1393" s="107">
        <v>6</v>
      </c>
      <c r="D1393" s="107">
        <v>2</v>
      </c>
      <c r="E1393" s="107" t="s">
        <v>295</v>
      </c>
      <c r="F1393" s="107" t="s">
        <v>296</v>
      </c>
      <c r="G1393" s="161">
        <v>45354</v>
      </c>
      <c r="H1393" s="107">
        <f t="shared" si="26"/>
        <v>5</v>
      </c>
    </row>
    <row r="1394" spans="1:8">
      <c r="A1394" s="107">
        <v>2</v>
      </c>
      <c r="B1394" s="107">
        <v>20</v>
      </c>
      <c r="C1394" s="107">
        <v>6</v>
      </c>
      <c r="D1394" s="107">
        <v>3</v>
      </c>
      <c r="E1394" s="107" t="s">
        <v>295</v>
      </c>
      <c r="F1394" s="107" t="s">
        <v>296</v>
      </c>
      <c r="G1394" s="161">
        <v>45354</v>
      </c>
      <c r="H1394" s="107">
        <f t="shared" si="26"/>
        <v>5</v>
      </c>
    </row>
    <row r="1395" spans="1:8">
      <c r="A1395" s="107">
        <v>2</v>
      </c>
      <c r="B1395" s="107">
        <v>20</v>
      </c>
      <c r="C1395" s="107">
        <v>6</v>
      </c>
      <c r="D1395" s="107">
        <v>4</v>
      </c>
      <c r="E1395" s="107" t="s">
        <v>295</v>
      </c>
      <c r="F1395" s="107" t="s">
        <v>296</v>
      </c>
      <c r="G1395" s="161">
        <v>45354</v>
      </c>
      <c r="H1395" s="107">
        <f t="shared" si="26"/>
        <v>5</v>
      </c>
    </row>
    <row r="1396" spans="1:8">
      <c r="A1396" s="107">
        <v>2</v>
      </c>
      <c r="B1396" s="107">
        <v>20</v>
      </c>
      <c r="C1396" s="107">
        <v>7</v>
      </c>
      <c r="D1396" s="107">
        <v>1</v>
      </c>
      <c r="E1396" s="107" t="s">
        <v>182</v>
      </c>
      <c r="F1396" s="107" t="s">
        <v>183</v>
      </c>
      <c r="G1396" s="161">
        <v>45353</v>
      </c>
      <c r="H1396" s="107">
        <f t="shared" si="26"/>
        <v>4</v>
      </c>
    </row>
    <row r="1397" spans="1:8">
      <c r="A1397" s="107">
        <v>2</v>
      </c>
      <c r="B1397" s="107">
        <v>20</v>
      </c>
      <c r="C1397" s="107">
        <v>7</v>
      </c>
      <c r="D1397" s="107">
        <v>2</v>
      </c>
      <c r="E1397" s="107" t="s">
        <v>182</v>
      </c>
      <c r="F1397" s="107" t="s">
        <v>183</v>
      </c>
      <c r="G1397" s="161">
        <v>45353</v>
      </c>
      <c r="H1397" s="107">
        <f t="shared" si="26"/>
        <v>4</v>
      </c>
    </row>
    <row r="1398" spans="1:8">
      <c r="A1398" s="107">
        <v>2</v>
      </c>
      <c r="B1398" s="107">
        <v>20</v>
      </c>
      <c r="C1398" s="107">
        <v>7</v>
      </c>
      <c r="D1398" s="107">
        <v>3</v>
      </c>
      <c r="E1398" s="107" t="s">
        <v>182</v>
      </c>
      <c r="F1398" s="107" t="s">
        <v>183</v>
      </c>
      <c r="G1398" s="161">
        <v>45354</v>
      </c>
      <c r="H1398" s="107">
        <f t="shared" si="26"/>
        <v>5</v>
      </c>
    </row>
    <row r="1399" spans="1:8">
      <c r="A1399" s="107">
        <v>2</v>
      </c>
      <c r="B1399" s="107">
        <v>20</v>
      </c>
      <c r="C1399" s="107">
        <v>7</v>
      </c>
      <c r="D1399" s="107">
        <v>4</v>
      </c>
      <c r="E1399" s="107" t="s">
        <v>182</v>
      </c>
      <c r="F1399" s="107" t="s">
        <v>183</v>
      </c>
      <c r="G1399" s="161">
        <v>45353</v>
      </c>
      <c r="H1399" s="107">
        <f t="shared" si="26"/>
        <v>4</v>
      </c>
    </row>
    <row r="1400" spans="1:8">
      <c r="A1400" s="107">
        <v>2</v>
      </c>
      <c r="B1400" s="107">
        <v>20</v>
      </c>
      <c r="C1400" s="107">
        <v>8</v>
      </c>
      <c r="D1400" s="107">
        <v>1</v>
      </c>
      <c r="E1400" s="107" t="s">
        <v>377</v>
      </c>
      <c r="F1400" s="107" t="s">
        <v>378</v>
      </c>
      <c r="G1400" s="161">
        <v>45353</v>
      </c>
      <c r="H1400" s="107">
        <f t="shared" si="26"/>
        <v>4</v>
      </c>
    </row>
    <row r="1401" spans="1:8">
      <c r="A1401" s="107">
        <v>2</v>
      </c>
      <c r="B1401" s="107">
        <v>20</v>
      </c>
      <c r="C1401" s="107">
        <v>8</v>
      </c>
      <c r="D1401" s="107">
        <v>2</v>
      </c>
      <c r="E1401" s="107" t="s">
        <v>377</v>
      </c>
      <c r="F1401" s="107" t="s">
        <v>378</v>
      </c>
      <c r="G1401" s="161">
        <v>45353</v>
      </c>
      <c r="H1401" s="107">
        <f t="shared" si="26"/>
        <v>4</v>
      </c>
    </row>
    <row r="1402" spans="1:8">
      <c r="A1402" s="107">
        <v>2</v>
      </c>
      <c r="B1402" s="107">
        <v>20</v>
      </c>
      <c r="C1402" s="107">
        <v>8</v>
      </c>
      <c r="D1402" s="107">
        <v>3</v>
      </c>
      <c r="E1402" s="107" t="s">
        <v>377</v>
      </c>
      <c r="F1402" s="107" t="s">
        <v>378</v>
      </c>
      <c r="G1402" s="161">
        <v>45353</v>
      </c>
      <c r="H1402" s="107">
        <f t="shared" si="26"/>
        <v>4</v>
      </c>
    </row>
    <row r="1403" spans="1:8">
      <c r="A1403" s="107">
        <v>2</v>
      </c>
      <c r="B1403" s="107">
        <v>20</v>
      </c>
      <c r="C1403" s="107">
        <v>8</v>
      </c>
      <c r="D1403" s="107">
        <v>4</v>
      </c>
      <c r="E1403" s="107" t="s">
        <v>377</v>
      </c>
      <c r="F1403" s="107" t="s">
        <v>378</v>
      </c>
      <c r="G1403" s="161">
        <v>45353</v>
      </c>
      <c r="H1403" s="107">
        <f t="shared" si="26"/>
        <v>4</v>
      </c>
    </row>
    <row r="1404" spans="1:8">
      <c r="A1404" s="107">
        <v>2</v>
      </c>
      <c r="B1404" s="107">
        <v>20</v>
      </c>
      <c r="C1404" s="107">
        <v>9</v>
      </c>
      <c r="D1404" s="107">
        <v>1</v>
      </c>
      <c r="E1404" s="107" t="s">
        <v>523</v>
      </c>
      <c r="F1404" s="107" t="s">
        <v>503</v>
      </c>
      <c r="G1404" s="161">
        <v>45353</v>
      </c>
      <c r="H1404" s="107">
        <f t="shared" si="26"/>
        <v>4</v>
      </c>
    </row>
    <row r="1405" spans="1:8">
      <c r="A1405" s="107">
        <v>2</v>
      </c>
      <c r="B1405" s="107">
        <v>20</v>
      </c>
      <c r="C1405" s="107">
        <v>9</v>
      </c>
      <c r="D1405" s="107">
        <v>2</v>
      </c>
      <c r="E1405" s="107" t="s">
        <v>523</v>
      </c>
      <c r="F1405" s="107" t="s">
        <v>503</v>
      </c>
      <c r="G1405" s="161">
        <v>45354</v>
      </c>
      <c r="H1405" s="107">
        <f t="shared" si="26"/>
        <v>5</v>
      </c>
    </row>
    <row r="1406" spans="1:8">
      <c r="A1406" s="107">
        <v>2</v>
      </c>
      <c r="B1406" s="107">
        <v>20</v>
      </c>
      <c r="C1406" s="107">
        <v>9</v>
      </c>
      <c r="D1406" s="107">
        <v>3</v>
      </c>
      <c r="E1406" s="107" t="s">
        <v>523</v>
      </c>
      <c r="F1406" s="107" t="s">
        <v>503</v>
      </c>
      <c r="G1406" s="161">
        <v>45353</v>
      </c>
      <c r="H1406" s="107">
        <f t="shared" si="26"/>
        <v>4</v>
      </c>
    </row>
    <row r="1407" spans="1:8">
      <c r="A1407" s="107">
        <v>2</v>
      </c>
      <c r="B1407" s="107">
        <v>20</v>
      </c>
      <c r="C1407" s="107">
        <v>9</v>
      </c>
      <c r="D1407" s="107">
        <v>4</v>
      </c>
      <c r="E1407" s="107" t="s">
        <v>523</v>
      </c>
      <c r="F1407" s="107" t="s">
        <v>503</v>
      </c>
      <c r="G1407" s="161">
        <v>45353</v>
      </c>
      <c r="H1407" s="107">
        <f t="shared" si="26"/>
        <v>4</v>
      </c>
    </row>
    <row r="1408" spans="1:8">
      <c r="A1408" s="107">
        <v>2</v>
      </c>
      <c r="B1408" s="107">
        <v>20</v>
      </c>
      <c r="C1408" s="107">
        <v>10</v>
      </c>
      <c r="D1408" s="107">
        <v>1</v>
      </c>
      <c r="E1408" s="107" t="s">
        <v>713</v>
      </c>
      <c r="F1408" s="107" t="s">
        <v>714</v>
      </c>
      <c r="G1408" s="161">
        <v>45354</v>
      </c>
      <c r="H1408" s="107">
        <f t="shared" si="26"/>
        <v>5</v>
      </c>
    </row>
    <row r="1409" spans="1:8">
      <c r="A1409" s="107">
        <v>2</v>
      </c>
      <c r="B1409" s="107">
        <v>20</v>
      </c>
      <c r="C1409" s="107">
        <v>10</v>
      </c>
      <c r="D1409" s="107">
        <v>2</v>
      </c>
      <c r="E1409" s="107" t="s">
        <v>713</v>
      </c>
      <c r="F1409" s="107" t="s">
        <v>714</v>
      </c>
      <c r="G1409" s="161">
        <v>45353</v>
      </c>
      <c r="H1409" s="107">
        <f t="shared" si="26"/>
        <v>4</v>
      </c>
    </row>
    <row r="1410" spans="1:8">
      <c r="A1410" s="107">
        <v>2</v>
      </c>
      <c r="B1410" s="107">
        <v>20</v>
      </c>
      <c r="C1410" s="107">
        <v>10</v>
      </c>
      <c r="D1410" s="107">
        <v>3</v>
      </c>
      <c r="E1410" s="107" t="s">
        <v>713</v>
      </c>
      <c r="F1410" s="107" t="s">
        <v>714</v>
      </c>
      <c r="G1410" s="161">
        <v>45358</v>
      </c>
      <c r="H1410" s="107">
        <f t="shared" si="26"/>
        <v>9</v>
      </c>
    </row>
    <row r="1411" spans="1:8">
      <c r="A1411" s="107">
        <v>2</v>
      </c>
      <c r="B1411" s="107">
        <v>20</v>
      </c>
      <c r="C1411" s="107">
        <v>10</v>
      </c>
      <c r="D1411" s="107">
        <v>4</v>
      </c>
      <c r="E1411" s="107" t="s">
        <v>713</v>
      </c>
      <c r="F1411" s="107" t="s">
        <v>714</v>
      </c>
      <c r="G1411" s="161">
        <v>45353</v>
      </c>
      <c r="H1411" s="107">
        <f t="shared" si="26"/>
        <v>4</v>
      </c>
    </row>
    <row r="1412" spans="1:8">
      <c r="A1412" s="107">
        <v>2</v>
      </c>
      <c r="B1412" s="107">
        <v>20</v>
      </c>
      <c r="C1412" s="107">
        <v>11</v>
      </c>
      <c r="D1412" s="107">
        <v>1</v>
      </c>
      <c r="E1412" s="107" t="s">
        <v>510</v>
      </c>
      <c r="F1412" s="107" t="s">
        <v>503</v>
      </c>
      <c r="G1412" s="161">
        <v>45353</v>
      </c>
      <c r="H1412" s="107">
        <f t="shared" si="26"/>
        <v>4</v>
      </c>
    </row>
    <row r="1413" spans="1:8">
      <c r="A1413" s="107">
        <v>2</v>
      </c>
      <c r="B1413" s="107">
        <v>20</v>
      </c>
      <c r="C1413" s="107">
        <v>11</v>
      </c>
      <c r="D1413" s="107">
        <v>2</v>
      </c>
      <c r="E1413" s="107" t="s">
        <v>510</v>
      </c>
      <c r="F1413" s="107" t="s">
        <v>503</v>
      </c>
      <c r="G1413" s="161">
        <v>45353</v>
      </c>
      <c r="H1413" s="107">
        <f t="shared" ref="H1413:H1476" si="27">DATEDIF($H$2,G1413,"d")</f>
        <v>4</v>
      </c>
    </row>
    <row r="1414" spans="1:8">
      <c r="A1414" s="107">
        <v>2</v>
      </c>
      <c r="B1414" s="107">
        <v>20</v>
      </c>
      <c r="C1414" s="107">
        <v>11</v>
      </c>
      <c r="D1414" s="107">
        <v>3</v>
      </c>
      <c r="E1414" s="107" t="s">
        <v>510</v>
      </c>
      <c r="F1414" s="107" t="s">
        <v>503</v>
      </c>
      <c r="G1414" s="161">
        <v>45353</v>
      </c>
      <c r="H1414" s="107">
        <f t="shared" si="27"/>
        <v>4</v>
      </c>
    </row>
    <row r="1415" spans="1:8">
      <c r="A1415" s="107">
        <v>2</v>
      </c>
      <c r="B1415" s="107">
        <v>20</v>
      </c>
      <c r="C1415" s="107">
        <v>11</v>
      </c>
      <c r="D1415" s="107">
        <v>4</v>
      </c>
      <c r="E1415" s="107" t="s">
        <v>510</v>
      </c>
      <c r="F1415" s="107" t="s">
        <v>503</v>
      </c>
      <c r="G1415" s="161">
        <v>45353</v>
      </c>
      <c r="H1415" s="107">
        <f t="shared" si="27"/>
        <v>4</v>
      </c>
    </row>
    <row r="1416" spans="1:8">
      <c r="A1416" s="107">
        <v>2</v>
      </c>
      <c r="B1416" s="107">
        <v>20</v>
      </c>
      <c r="C1416" s="107">
        <v>12</v>
      </c>
      <c r="D1416" s="107">
        <v>1</v>
      </c>
      <c r="E1416" s="107" t="s">
        <v>723</v>
      </c>
      <c r="F1416" s="107" t="s">
        <v>724</v>
      </c>
      <c r="G1416" s="161">
        <v>45353</v>
      </c>
      <c r="H1416" s="107">
        <f t="shared" si="27"/>
        <v>4</v>
      </c>
    </row>
    <row r="1417" spans="1:8">
      <c r="A1417" s="107">
        <v>2</v>
      </c>
      <c r="B1417" s="107">
        <v>20</v>
      </c>
      <c r="C1417" s="107">
        <v>12</v>
      </c>
      <c r="D1417" s="107">
        <v>2</v>
      </c>
      <c r="E1417" s="107" t="s">
        <v>723</v>
      </c>
      <c r="F1417" s="107" t="s">
        <v>724</v>
      </c>
      <c r="G1417" s="161">
        <v>45353</v>
      </c>
      <c r="H1417" s="107">
        <f t="shared" si="27"/>
        <v>4</v>
      </c>
    </row>
    <row r="1418" spans="1:8">
      <c r="A1418" s="107">
        <v>2</v>
      </c>
      <c r="B1418" s="107">
        <v>20</v>
      </c>
      <c r="C1418" s="107">
        <v>12</v>
      </c>
      <c r="D1418" s="107">
        <v>3</v>
      </c>
      <c r="E1418" s="107" t="s">
        <v>723</v>
      </c>
      <c r="F1418" s="107" t="s">
        <v>724</v>
      </c>
      <c r="G1418" s="107"/>
      <c r="H1418" s="107"/>
    </row>
    <row r="1419" spans="1:8">
      <c r="A1419" s="107">
        <v>2</v>
      </c>
      <c r="B1419" s="107">
        <v>20</v>
      </c>
      <c r="C1419" s="107">
        <v>12</v>
      </c>
      <c r="D1419" s="107">
        <v>4</v>
      </c>
      <c r="E1419" s="107" t="s">
        <v>723</v>
      </c>
      <c r="F1419" s="107" t="s">
        <v>724</v>
      </c>
      <c r="G1419" s="161">
        <v>45355</v>
      </c>
      <c r="H1419" s="107">
        <f t="shared" si="27"/>
        <v>6</v>
      </c>
    </row>
    <row r="1420" spans="1:8">
      <c r="A1420" s="107">
        <v>2</v>
      </c>
      <c r="B1420" s="107">
        <v>20</v>
      </c>
      <c r="C1420" s="107">
        <v>13</v>
      </c>
      <c r="D1420" s="107">
        <v>1</v>
      </c>
      <c r="E1420" s="107" t="s">
        <v>321</v>
      </c>
      <c r="F1420" s="107" t="s">
        <v>322</v>
      </c>
      <c r="G1420" s="161">
        <v>45353</v>
      </c>
      <c r="H1420" s="107">
        <f t="shared" si="27"/>
        <v>4</v>
      </c>
    </row>
    <row r="1421" spans="1:8">
      <c r="A1421" s="107">
        <v>2</v>
      </c>
      <c r="B1421" s="107">
        <v>20</v>
      </c>
      <c r="C1421" s="107">
        <v>13</v>
      </c>
      <c r="D1421" s="107">
        <v>2</v>
      </c>
      <c r="E1421" s="107" t="s">
        <v>321</v>
      </c>
      <c r="F1421" s="107" t="s">
        <v>322</v>
      </c>
      <c r="G1421" s="161">
        <v>45354</v>
      </c>
      <c r="H1421" s="107">
        <f t="shared" si="27"/>
        <v>5</v>
      </c>
    </row>
    <row r="1422" spans="1:8">
      <c r="A1422" s="107">
        <v>2</v>
      </c>
      <c r="B1422" s="107">
        <v>20</v>
      </c>
      <c r="C1422" s="107">
        <v>13</v>
      </c>
      <c r="D1422" s="107">
        <v>3</v>
      </c>
      <c r="E1422" s="107" t="s">
        <v>321</v>
      </c>
      <c r="F1422" s="107" t="s">
        <v>322</v>
      </c>
      <c r="G1422" s="161">
        <v>45354</v>
      </c>
      <c r="H1422" s="107">
        <f t="shared" si="27"/>
        <v>5</v>
      </c>
    </row>
    <row r="1423" spans="1:8">
      <c r="A1423" s="107">
        <v>2</v>
      </c>
      <c r="B1423" s="107">
        <v>20</v>
      </c>
      <c r="C1423" s="107">
        <v>13</v>
      </c>
      <c r="D1423" s="107">
        <v>4</v>
      </c>
      <c r="E1423" s="107" t="s">
        <v>321</v>
      </c>
      <c r="F1423" s="107" t="s">
        <v>322</v>
      </c>
      <c r="G1423" s="161">
        <v>45353</v>
      </c>
      <c r="H1423" s="107">
        <f t="shared" si="27"/>
        <v>4</v>
      </c>
    </row>
    <row r="1424" spans="1:8">
      <c r="A1424" s="107">
        <v>2</v>
      </c>
      <c r="B1424" s="107">
        <v>20</v>
      </c>
      <c r="C1424" s="107">
        <v>14</v>
      </c>
      <c r="D1424" s="107">
        <v>1</v>
      </c>
      <c r="E1424" s="107" t="s">
        <v>612</v>
      </c>
      <c r="F1424" s="107" t="s">
        <v>613</v>
      </c>
      <c r="G1424" s="161">
        <v>45353</v>
      </c>
      <c r="H1424" s="107">
        <f t="shared" si="27"/>
        <v>4</v>
      </c>
    </row>
    <row r="1425" spans="1:8">
      <c r="A1425" s="107">
        <v>2</v>
      </c>
      <c r="B1425" s="107">
        <v>20</v>
      </c>
      <c r="C1425" s="107">
        <v>14</v>
      </c>
      <c r="D1425" s="107">
        <v>2</v>
      </c>
      <c r="E1425" s="107" t="s">
        <v>612</v>
      </c>
      <c r="F1425" s="107" t="s">
        <v>613</v>
      </c>
      <c r="G1425" s="161">
        <v>45353</v>
      </c>
      <c r="H1425" s="107">
        <f t="shared" si="27"/>
        <v>4</v>
      </c>
    </row>
    <row r="1426" spans="1:8">
      <c r="A1426" s="107">
        <v>2</v>
      </c>
      <c r="B1426" s="107">
        <v>20</v>
      </c>
      <c r="C1426" s="107">
        <v>14</v>
      </c>
      <c r="D1426" s="107">
        <v>3</v>
      </c>
      <c r="E1426" s="107" t="s">
        <v>612</v>
      </c>
      <c r="F1426" s="107" t="s">
        <v>613</v>
      </c>
      <c r="G1426" s="161">
        <v>45353</v>
      </c>
      <c r="H1426" s="107">
        <f t="shared" si="27"/>
        <v>4</v>
      </c>
    </row>
    <row r="1427" spans="1:8">
      <c r="A1427" s="107">
        <v>2</v>
      </c>
      <c r="B1427" s="107">
        <v>20</v>
      </c>
      <c r="C1427" s="107">
        <v>14</v>
      </c>
      <c r="D1427" s="107">
        <v>4</v>
      </c>
      <c r="E1427" s="107" t="s">
        <v>612</v>
      </c>
      <c r="F1427" s="107" t="s">
        <v>613</v>
      </c>
      <c r="G1427" s="161">
        <v>45353</v>
      </c>
      <c r="H1427" s="107">
        <f t="shared" si="27"/>
        <v>4</v>
      </c>
    </row>
    <row r="1428" spans="1:8">
      <c r="A1428" s="107">
        <v>2</v>
      </c>
      <c r="B1428" s="107">
        <v>20</v>
      </c>
      <c r="C1428" s="107">
        <v>15</v>
      </c>
      <c r="D1428" s="107">
        <v>1</v>
      </c>
      <c r="E1428" s="107" t="s">
        <v>544</v>
      </c>
      <c r="F1428" s="107" t="s">
        <v>545</v>
      </c>
      <c r="G1428" s="161">
        <v>45353</v>
      </c>
      <c r="H1428" s="107">
        <f t="shared" si="27"/>
        <v>4</v>
      </c>
    </row>
    <row r="1429" spans="1:8">
      <c r="A1429" s="107">
        <v>2</v>
      </c>
      <c r="B1429" s="107">
        <v>20</v>
      </c>
      <c r="C1429" s="107">
        <v>15</v>
      </c>
      <c r="D1429" s="107">
        <v>2</v>
      </c>
      <c r="E1429" s="107" t="s">
        <v>544</v>
      </c>
      <c r="F1429" s="107" t="s">
        <v>545</v>
      </c>
      <c r="G1429" s="161">
        <v>45353</v>
      </c>
      <c r="H1429" s="107">
        <f t="shared" si="27"/>
        <v>4</v>
      </c>
    </row>
    <row r="1430" spans="1:8">
      <c r="A1430" s="107">
        <v>2</v>
      </c>
      <c r="B1430" s="107">
        <v>20</v>
      </c>
      <c r="C1430" s="107">
        <v>15</v>
      </c>
      <c r="D1430" s="107">
        <v>3</v>
      </c>
      <c r="E1430" s="107" t="s">
        <v>544</v>
      </c>
      <c r="F1430" s="107" t="s">
        <v>545</v>
      </c>
      <c r="G1430" s="161">
        <v>45353</v>
      </c>
      <c r="H1430" s="107">
        <f t="shared" si="27"/>
        <v>4</v>
      </c>
    </row>
    <row r="1431" spans="1:8">
      <c r="A1431" s="107">
        <v>2</v>
      </c>
      <c r="B1431" s="107">
        <v>20</v>
      </c>
      <c r="C1431" s="107">
        <v>15</v>
      </c>
      <c r="D1431" s="107">
        <v>4</v>
      </c>
      <c r="E1431" s="107" t="s">
        <v>544</v>
      </c>
      <c r="F1431" s="107" t="s">
        <v>545</v>
      </c>
      <c r="G1431" s="161">
        <v>45353</v>
      </c>
      <c r="H1431" s="107">
        <f t="shared" si="27"/>
        <v>4</v>
      </c>
    </row>
    <row r="1432" spans="1:8">
      <c r="A1432" s="107">
        <v>2</v>
      </c>
      <c r="B1432" s="107">
        <v>20</v>
      </c>
      <c r="C1432" s="107">
        <v>16</v>
      </c>
      <c r="D1432" s="107">
        <v>1</v>
      </c>
      <c r="E1432" s="107" t="s">
        <v>455</v>
      </c>
      <c r="F1432" s="107" t="s">
        <v>456</v>
      </c>
      <c r="G1432" s="161">
        <v>45354</v>
      </c>
      <c r="H1432" s="107">
        <f t="shared" si="27"/>
        <v>5</v>
      </c>
    </row>
    <row r="1433" spans="1:8">
      <c r="A1433" s="107">
        <v>2</v>
      </c>
      <c r="B1433" s="107">
        <v>20</v>
      </c>
      <c r="C1433" s="107">
        <v>16</v>
      </c>
      <c r="D1433" s="107">
        <v>2</v>
      </c>
      <c r="E1433" s="107" t="s">
        <v>455</v>
      </c>
      <c r="F1433" s="107" t="s">
        <v>456</v>
      </c>
      <c r="G1433" s="161">
        <v>45353</v>
      </c>
      <c r="H1433" s="107">
        <f t="shared" si="27"/>
        <v>4</v>
      </c>
    </row>
    <row r="1434" spans="1:8">
      <c r="A1434" s="107">
        <v>2</v>
      </c>
      <c r="B1434" s="107">
        <v>20</v>
      </c>
      <c r="C1434" s="107">
        <v>16</v>
      </c>
      <c r="D1434" s="107">
        <v>3</v>
      </c>
      <c r="E1434" s="107" t="s">
        <v>455</v>
      </c>
      <c r="F1434" s="107" t="s">
        <v>456</v>
      </c>
      <c r="G1434" s="161">
        <v>45353</v>
      </c>
      <c r="H1434" s="107">
        <f t="shared" si="27"/>
        <v>4</v>
      </c>
    </row>
    <row r="1435" spans="1:8">
      <c r="A1435" s="107">
        <v>2</v>
      </c>
      <c r="B1435" s="107">
        <v>20</v>
      </c>
      <c r="C1435" s="107">
        <v>16</v>
      </c>
      <c r="D1435" s="107">
        <v>4</v>
      </c>
      <c r="E1435" s="107" t="s">
        <v>455</v>
      </c>
      <c r="F1435" s="107" t="s">
        <v>456</v>
      </c>
      <c r="G1435" s="161">
        <v>45353</v>
      </c>
      <c r="H1435" s="107">
        <f t="shared" si="27"/>
        <v>4</v>
      </c>
    </row>
    <row r="1436" spans="1:8">
      <c r="A1436" s="107">
        <v>2</v>
      </c>
      <c r="B1436" s="107">
        <v>20</v>
      </c>
      <c r="C1436" s="107">
        <v>17</v>
      </c>
      <c r="D1436" s="107">
        <v>1</v>
      </c>
      <c r="E1436" s="107" t="s">
        <v>658</v>
      </c>
      <c r="F1436" s="107" t="s">
        <v>659</v>
      </c>
      <c r="G1436" s="161">
        <v>45353</v>
      </c>
      <c r="H1436" s="107">
        <f t="shared" si="27"/>
        <v>4</v>
      </c>
    </row>
    <row r="1437" spans="1:8">
      <c r="A1437" s="107">
        <v>2</v>
      </c>
      <c r="B1437" s="107">
        <v>20</v>
      </c>
      <c r="C1437" s="107">
        <v>17</v>
      </c>
      <c r="D1437" s="107">
        <v>2</v>
      </c>
      <c r="E1437" s="107" t="s">
        <v>658</v>
      </c>
      <c r="F1437" s="107" t="s">
        <v>659</v>
      </c>
      <c r="G1437" s="161">
        <v>45353</v>
      </c>
      <c r="H1437" s="107">
        <f t="shared" si="27"/>
        <v>4</v>
      </c>
    </row>
    <row r="1438" spans="1:8">
      <c r="A1438" s="107">
        <v>2</v>
      </c>
      <c r="B1438" s="107">
        <v>20</v>
      </c>
      <c r="C1438" s="107">
        <v>17</v>
      </c>
      <c r="D1438" s="107">
        <v>3</v>
      </c>
      <c r="E1438" s="107" t="s">
        <v>658</v>
      </c>
      <c r="F1438" s="107" t="s">
        <v>659</v>
      </c>
      <c r="G1438" s="161">
        <v>45353</v>
      </c>
      <c r="H1438" s="107">
        <f t="shared" si="27"/>
        <v>4</v>
      </c>
    </row>
    <row r="1439" spans="1:8">
      <c r="A1439" s="107">
        <v>2</v>
      </c>
      <c r="B1439" s="107">
        <v>20</v>
      </c>
      <c r="C1439" s="107">
        <v>17</v>
      </c>
      <c r="D1439" s="107">
        <v>4</v>
      </c>
      <c r="E1439" s="107" t="s">
        <v>658</v>
      </c>
      <c r="F1439" s="107" t="s">
        <v>659</v>
      </c>
      <c r="G1439" s="161">
        <v>45353</v>
      </c>
      <c r="H1439" s="107">
        <f t="shared" si="27"/>
        <v>4</v>
      </c>
    </row>
    <row r="1440" spans="1:8">
      <c r="A1440" s="107">
        <v>2</v>
      </c>
      <c r="B1440" s="107">
        <v>20</v>
      </c>
      <c r="C1440" s="107">
        <v>18</v>
      </c>
      <c r="D1440" s="107">
        <v>1</v>
      </c>
      <c r="E1440" s="107" t="s">
        <v>437</v>
      </c>
      <c r="F1440" s="107" t="s">
        <v>438</v>
      </c>
      <c r="G1440" s="161">
        <v>45353</v>
      </c>
      <c r="H1440" s="107">
        <f t="shared" si="27"/>
        <v>4</v>
      </c>
    </row>
    <row r="1441" spans="1:8">
      <c r="A1441" s="107">
        <v>2</v>
      </c>
      <c r="B1441" s="107">
        <v>20</v>
      </c>
      <c r="C1441" s="107">
        <v>18</v>
      </c>
      <c r="D1441" s="107">
        <v>2</v>
      </c>
      <c r="E1441" s="107" t="s">
        <v>437</v>
      </c>
      <c r="F1441" s="107" t="s">
        <v>438</v>
      </c>
      <c r="G1441" s="161">
        <v>45354</v>
      </c>
      <c r="H1441" s="107">
        <f t="shared" si="27"/>
        <v>5</v>
      </c>
    </row>
    <row r="1442" spans="1:8">
      <c r="A1442" s="107">
        <v>2</v>
      </c>
      <c r="B1442" s="107">
        <v>20</v>
      </c>
      <c r="C1442" s="107">
        <v>18</v>
      </c>
      <c r="D1442" s="107">
        <v>3</v>
      </c>
      <c r="E1442" s="107" t="s">
        <v>437</v>
      </c>
      <c r="F1442" s="107" t="s">
        <v>438</v>
      </c>
      <c r="G1442" s="161">
        <v>45353</v>
      </c>
      <c r="H1442" s="107">
        <f t="shared" si="27"/>
        <v>4</v>
      </c>
    </row>
    <row r="1443" spans="1:8">
      <c r="A1443" s="107">
        <v>2</v>
      </c>
      <c r="B1443" s="107">
        <v>20</v>
      </c>
      <c r="C1443" s="107">
        <v>18</v>
      </c>
      <c r="D1443" s="107">
        <v>4</v>
      </c>
      <c r="E1443" s="107" t="s">
        <v>437</v>
      </c>
      <c r="F1443" s="107" t="s">
        <v>438</v>
      </c>
      <c r="G1443" s="161">
        <v>45354</v>
      </c>
      <c r="H1443" s="107">
        <f t="shared" si="27"/>
        <v>5</v>
      </c>
    </row>
    <row r="1444" spans="1:8">
      <c r="A1444" s="107">
        <v>2</v>
      </c>
      <c r="B1444" s="107">
        <v>21</v>
      </c>
      <c r="C1444" s="107">
        <v>1</v>
      </c>
      <c r="D1444" s="107">
        <v>1</v>
      </c>
      <c r="E1444" s="107" t="s">
        <v>421</v>
      </c>
      <c r="F1444" s="107" t="s">
        <v>422</v>
      </c>
      <c r="G1444" s="161">
        <v>45353</v>
      </c>
      <c r="H1444" s="107">
        <f t="shared" si="27"/>
        <v>4</v>
      </c>
    </row>
    <row r="1445" spans="1:8">
      <c r="A1445" s="107">
        <v>2</v>
      </c>
      <c r="B1445" s="107">
        <v>21</v>
      </c>
      <c r="C1445" s="107">
        <v>1</v>
      </c>
      <c r="D1445" s="107">
        <v>2</v>
      </c>
      <c r="E1445" s="107" t="s">
        <v>421</v>
      </c>
      <c r="F1445" s="107" t="s">
        <v>422</v>
      </c>
      <c r="G1445" s="161">
        <v>45354</v>
      </c>
      <c r="H1445" s="107">
        <f t="shared" si="27"/>
        <v>5</v>
      </c>
    </row>
    <row r="1446" spans="1:8">
      <c r="A1446" s="107">
        <v>2</v>
      </c>
      <c r="B1446" s="107">
        <v>21</v>
      </c>
      <c r="C1446" s="107">
        <v>1</v>
      </c>
      <c r="D1446" s="107">
        <v>3</v>
      </c>
      <c r="E1446" s="107" t="s">
        <v>421</v>
      </c>
      <c r="F1446" s="107" t="s">
        <v>422</v>
      </c>
      <c r="G1446" s="161">
        <v>45353</v>
      </c>
      <c r="H1446" s="107">
        <f t="shared" si="27"/>
        <v>4</v>
      </c>
    </row>
    <row r="1447" spans="1:8">
      <c r="A1447" s="107">
        <v>2</v>
      </c>
      <c r="B1447" s="107">
        <v>21</v>
      </c>
      <c r="C1447" s="107">
        <v>1</v>
      </c>
      <c r="D1447" s="107">
        <v>4</v>
      </c>
      <c r="E1447" s="107" t="s">
        <v>421</v>
      </c>
      <c r="F1447" s="107" t="s">
        <v>422</v>
      </c>
      <c r="G1447" s="161">
        <v>45353</v>
      </c>
      <c r="H1447" s="107">
        <f t="shared" si="27"/>
        <v>4</v>
      </c>
    </row>
    <row r="1448" spans="1:8">
      <c r="A1448" s="107">
        <v>2</v>
      </c>
      <c r="B1448" s="107">
        <v>21</v>
      </c>
      <c r="C1448" s="107">
        <v>2</v>
      </c>
      <c r="D1448" s="107">
        <v>1</v>
      </c>
      <c r="E1448" s="107" t="s">
        <v>620</v>
      </c>
      <c r="F1448" s="107" t="s">
        <v>621</v>
      </c>
      <c r="G1448" s="161">
        <v>45354</v>
      </c>
      <c r="H1448" s="107">
        <f t="shared" si="27"/>
        <v>5</v>
      </c>
    </row>
    <row r="1449" spans="1:8">
      <c r="A1449" s="107">
        <v>2</v>
      </c>
      <c r="B1449" s="107">
        <v>21</v>
      </c>
      <c r="C1449" s="107">
        <v>2</v>
      </c>
      <c r="D1449" s="107">
        <v>2</v>
      </c>
      <c r="E1449" s="107" t="s">
        <v>620</v>
      </c>
      <c r="F1449" s="107" t="s">
        <v>621</v>
      </c>
      <c r="G1449" s="161">
        <v>45354</v>
      </c>
      <c r="H1449" s="107">
        <f t="shared" si="27"/>
        <v>5</v>
      </c>
    </row>
    <row r="1450" spans="1:8">
      <c r="A1450" s="107">
        <v>2</v>
      </c>
      <c r="B1450" s="107">
        <v>21</v>
      </c>
      <c r="C1450" s="107">
        <v>2</v>
      </c>
      <c r="D1450" s="107">
        <v>3</v>
      </c>
      <c r="E1450" s="107" t="s">
        <v>620</v>
      </c>
      <c r="F1450" s="107" t="s">
        <v>621</v>
      </c>
      <c r="G1450" s="161">
        <v>45353</v>
      </c>
      <c r="H1450" s="107">
        <f t="shared" si="27"/>
        <v>4</v>
      </c>
    </row>
    <row r="1451" spans="1:8">
      <c r="A1451" s="107">
        <v>2</v>
      </c>
      <c r="B1451" s="107">
        <v>21</v>
      </c>
      <c r="C1451" s="107">
        <v>2</v>
      </c>
      <c r="D1451" s="107">
        <v>4</v>
      </c>
      <c r="E1451" s="107" t="s">
        <v>620</v>
      </c>
      <c r="F1451" s="107" t="s">
        <v>621</v>
      </c>
      <c r="G1451" s="161">
        <v>45353</v>
      </c>
      <c r="H1451" s="107">
        <f t="shared" si="27"/>
        <v>4</v>
      </c>
    </row>
    <row r="1452" spans="1:8">
      <c r="A1452" s="107">
        <v>2</v>
      </c>
      <c r="B1452" s="107">
        <v>21</v>
      </c>
      <c r="C1452" s="107">
        <v>3</v>
      </c>
      <c r="D1452" s="107">
        <v>1</v>
      </c>
      <c r="E1452" s="107" t="s">
        <v>684</v>
      </c>
      <c r="F1452" s="107" t="s">
        <v>685</v>
      </c>
      <c r="G1452" s="161">
        <v>45354</v>
      </c>
      <c r="H1452" s="107">
        <f t="shared" si="27"/>
        <v>5</v>
      </c>
    </row>
    <row r="1453" spans="1:8">
      <c r="A1453" s="107">
        <v>2</v>
      </c>
      <c r="B1453" s="107">
        <v>21</v>
      </c>
      <c r="C1453" s="107">
        <v>3</v>
      </c>
      <c r="D1453" s="107">
        <v>2</v>
      </c>
      <c r="E1453" s="107" t="s">
        <v>684</v>
      </c>
      <c r="F1453" s="107" t="s">
        <v>685</v>
      </c>
      <c r="G1453" s="161">
        <v>45354</v>
      </c>
      <c r="H1453" s="107">
        <f t="shared" si="27"/>
        <v>5</v>
      </c>
    </row>
    <row r="1454" spans="1:8">
      <c r="A1454" s="107">
        <v>2</v>
      </c>
      <c r="B1454" s="107">
        <v>21</v>
      </c>
      <c r="C1454" s="107">
        <v>3</v>
      </c>
      <c r="D1454" s="107">
        <v>3</v>
      </c>
      <c r="E1454" s="107" t="s">
        <v>684</v>
      </c>
      <c r="F1454" s="107" t="s">
        <v>685</v>
      </c>
      <c r="G1454" s="161">
        <v>45354</v>
      </c>
      <c r="H1454" s="107">
        <f t="shared" si="27"/>
        <v>5</v>
      </c>
    </row>
    <row r="1455" spans="1:8">
      <c r="A1455" s="107">
        <v>2</v>
      </c>
      <c r="B1455" s="107">
        <v>21</v>
      </c>
      <c r="C1455" s="107">
        <v>3</v>
      </c>
      <c r="D1455" s="107">
        <v>4</v>
      </c>
      <c r="E1455" s="107" t="s">
        <v>684</v>
      </c>
      <c r="F1455" s="107" t="s">
        <v>685</v>
      </c>
      <c r="G1455" s="161">
        <v>45353</v>
      </c>
      <c r="H1455" s="107">
        <f t="shared" si="27"/>
        <v>4</v>
      </c>
    </row>
    <row r="1456" spans="1:8">
      <c r="A1456" s="107">
        <v>2</v>
      </c>
      <c r="B1456" s="107">
        <v>21</v>
      </c>
      <c r="C1456" s="107">
        <v>4</v>
      </c>
      <c r="D1456" s="107">
        <v>1</v>
      </c>
      <c r="E1456" s="107" t="s">
        <v>453</v>
      </c>
      <c r="F1456" s="107" t="s">
        <v>454</v>
      </c>
      <c r="G1456" s="161">
        <v>45353</v>
      </c>
      <c r="H1456" s="107">
        <f t="shared" si="27"/>
        <v>4</v>
      </c>
    </row>
    <row r="1457" spans="1:8">
      <c r="A1457" s="107">
        <v>2</v>
      </c>
      <c r="B1457" s="107">
        <v>21</v>
      </c>
      <c r="C1457" s="107">
        <v>4</v>
      </c>
      <c r="D1457" s="107">
        <v>2</v>
      </c>
      <c r="E1457" s="107" t="s">
        <v>453</v>
      </c>
      <c r="F1457" s="107" t="s">
        <v>454</v>
      </c>
      <c r="G1457" s="161">
        <v>45353</v>
      </c>
      <c r="H1457" s="107">
        <f t="shared" si="27"/>
        <v>4</v>
      </c>
    </row>
    <row r="1458" spans="1:8">
      <c r="A1458" s="107">
        <v>2</v>
      </c>
      <c r="B1458" s="107">
        <v>21</v>
      </c>
      <c r="C1458" s="107">
        <v>4</v>
      </c>
      <c r="D1458" s="107">
        <v>3</v>
      </c>
      <c r="E1458" s="107" t="s">
        <v>453</v>
      </c>
      <c r="F1458" s="107" t="s">
        <v>454</v>
      </c>
      <c r="G1458" s="161">
        <v>45353</v>
      </c>
      <c r="H1458" s="107">
        <f t="shared" si="27"/>
        <v>4</v>
      </c>
    </row>
    <row r="1459" spans="1:8">
      <c r="A1459" s="107">
        <v>2</v>
      </c>
      <c r="B1459" s="107">
        <v>21</v>
      </c>
      <c r="C1459" s="107">
        <v>4</v>
      </c>
      <c r="D1459" s="107">
        <v>4</v>
      </c>
      <c r="E1459" s="107" t="s">
        <v>453</v>
      </c>
      <c r="F1459" s="107" t="s">
        <v>454</v>
      </c>
      <c r="G1459" s="161">
        <v>45353</v>
      </c>
      <c r="H1459" s="107">
        <f t="shared" si="27"/>
        <v>4</v>
      </c>
    </row>
    <row r="1460" spans="1:8">
      <c r="A1460" s="107">
        <v>2</v>
      </c>
      <c r="B1460" s="107">
        <v>21</v>
      </c>
      <c r="C1460" s="107">
        <v>5</v>
      </c>
      <c r="D1460" s="107">
        <v>1</v>
      </c>
      <c r="E1460" s="107" t="s">
        <v>339</v>
      </c>
      <c r="F1460" s="107" t="s">
        <v>340</v>
      </c>
      <c r="G1460" s="161">
        <v>45353</v>
      </c>
      <c r="H1460" s="107">
        <f t="shared" si="27"/>
        <v>4</v>
      </c>
    </row>
    <row r="1461" spans="1:8">
      <c r="A1461" s="107">
        <v>2</v>
      </c>
      <c r="B1461" s="107">
        <v>21</v>
      </c>
      <c r="C1461" s="107">
        <v>5</v>
      </c>
      <c r="D1461" s="107">
        <v>2</v>
      </c>
      <c r="E1461" s="107" t="s">
        <v>339</v>
      </c>
      <c r="F1461" s="107" t="s">
        <v>340</v>
      </c>
      <c r="G1461" s="161">
        <v>45353</v>
      </c>
      <c r="H1461" s="107">
        <f t="shared" si="27"/>
        <v>4</v>
      </c>
    </row>
    <row r="1462" spans="1:8">
      <c r="A1462" s="107">
        <v>2</v>
      </c>
      <c r="B1462" s="107">
        <v>21</v>
      </c>
      <c r="C1462" s="107">
        <v>5</v>
      </c>
      <c r="D1462" s="107">
        <v>3</v>
      </c>
      <c r="E1462" s="107" t="s">
        <v>339</v>
      </c>
      <c r="F1462" s="107" t="s">
        <v>340</v>
      </c>
      <c r="G1462" s="161">
        <v>45354</v>
      </c>
      <c r="H1462" s="107">
        <f t="shared" si="27"/>
        <v>5</v>
      </c>
    </row>
    <row r="1463" spans="1:8">
      <c r="A1463" s="107">
        <v>2</v>
      </c>
      <c r="B1463" s="107">
        <v>21</v>
      </c>
      <c r="C1463" s="107">
        <v>5</v>
      </c>
      <c r="D1463" s="107">
        <v>4</v>
      </c>
      <c r="E1463" s="107" t="s">
        <v>339</v>
      </c>
      <c r="F1463" s="107" t="s">
        <v>340</v>
      </c>
      <c r="G1463" s="161">
        <v>45354</v>
      </c>
      <c r="H1463" s="107">
        <f t="shared" si="27"/>
        <v>5</v>
      </c>
    </row>
    <row r="1464" spans="1:8">
      <c r="A1464" s="107">
        <v>2</v>
      </c>
      <c r="B1464" s="107">
        <v>21</v>
      </c>
      <c r="C1464" s="107">
        <v>6</v>
      </c>
      <c r="D1464" s="107">
        <v>1</v>
      </c>
      <c r="E1464" s="107" t="s">
        <v>674</v>
      </c>
      <c r="F1464" s="107" t="s">
        <v>675</v>
      </c>
      <c r="G1464" s="161">
        <v>45353</v>
      </c>
      <c r="H1464" s="107">
        <f t="shared" si="27"/>
        <v>4</v>
      </c>
    </row>
    <row r="1465" spans="1:8">
      <c r="A1465" s="107">
        <v>2</v>
      </c>
      <c r="B1465" s="107">
        <v>21</v>
      </c>
      <c r="C1465" s="107">
        <v>6</v>
      </c>
      <c r="D1465" s="107">
        <v>2</v>
      </c>
      <c r="E1465" s="107" t="s">
        <v>674</v>
      </c>
      <c r="F1465" s="107" t="s">
        <v>675</v>
      </c>
      <c r="G1465" s="161">
        <v>45354</v>
      </c>
      <c r="H1465" s="107">
        <f t="shared" si="27"/>
        <v>5</v>
      </c>
    </row>
    <row r="1466" spans="1:8">
      <c r="A1466" s="107">
        <v>2</v>
      </c>
      <c r="B1466" s="107">
        <v>21</v>
      </c>
      <c r="C1466" s="107">
        <v>6</v>
      </c>
      <c r="D1466" s="107">
        <v>3</v>
      </c>
      <c r="E1466" s="107" t="s">
        <v>674</v>
      </c>
      <c r="F1466" s="107" t="s">
        <v>675</v>
      </c>
      <c r="G1466" s="161">
        <v>45354</v>
      </c>
      <c r="H1466" s="107">
        <f t="shared" si="27"/>
        <v>5</v>
      </c>
    </row>
    <row r="1467" spans="1:8">
      <c r="A1467" s="107">
        <v>2</v>
      </c>
      <c r="B1467" s="107">
        <v>21</v>
      </c>
      <c r="C1467" s="107">
        <v>6</v>
      </c>
      <c r="D1467" s="107">
        <v>4</v>
      </c>
      <c r="E1467" s="107" t="s">
        <v>674</v>
      </c>
      <c r="F1467" s="107" t="s">
        <v>675</v>
      </c>
      <c r="G1467" s="161">
        <v>45353</v>
      </c>
      <c r="H1467" s="107">
        <f t="shared" si="27"/>
        <v>4</v>
      </c>
    </row>
    <row r="1468" spans="1:8">
      <c r="A1468" s="107">
        <v>2</v>
      </c>
      <c r="B1468" s="107">
        <v>21</v>
      </c>
      <c r="C1468" s="107">
        <v>7</v>
      </c>
      <c r="D1468" s="107">
        <v>1</v>
      </c>
      <c r="E1468" s="107" t="s">
        <v>262</v>
      </c>
      <c r="F1468" s="107" t="s">
        <v>263</v>
      </c>
      <c r="G1468" s="161">
        <v>45353</v>
      </c>
      <c r="H1468" s="107">
        <f t="shared" si="27"/>
        <v>4</v>
      </c>
    </row>
    <row r="1469" spans="1:8">
      <c r="A1469" s="107">
        <v>2</v>
      </c>
      <c r="B1469" s="107">
        <v>21</v>
      </c>
      <c r="C1469" s="107">
        <v>7</v>
      </c>
      <c r="D1469" s="107">
        <v>2</v>
      </c>
      <c r="E1469" s="107" t="s">
        <v>262</v>
      </c>
      <c r="F1469" s="107" t="s">
        <v>263</v>
      </c>
      <c r="G1469" s="161">
        <v>45353</v>
      </c>
      <c r="H1469" s="107">
        <f t="shared" si="27"/>
        <v>4</v>
      </c>
    </row>
    <row r="1470" spans="1:8">
      <c r="A1470" s="107">
        <v>2</v>
      </c>
      <c r="B1470" s="107">
        <v>21</v>
      </c>
      <c r="C1470" s="107">
        <v>7</v>
      </c>
      <c r="D1470" s="107">
        <v>3</v>
      </c>
      <c r="E1470" s="107" t="s">
        <v>262</v>
      </c>
      <c r="F1470" s="107" t="s">
        <v>263</v>
      </c>
      <c r="G1470" s="161">
        <v>45353</v>
      </c>
      <c r="H1470" s="107">
        <f t="shared" si="27"/>
        <v>4</v>
      </c>
    </row>
    <row r="1471" spans="1:8">
      <c r="A1471" s="107">
        <v>2</v>
      </c>
      <c r="B1471" s="107">
        <v>21</v>
      </c>
      <c r="C1471" s="107">
        <v>7</v>
      </c>
      <c r="D1471" s="107">
        <v>4</v>
      </c>
      <c r="E1471" s="107" t="s">
        <v>262</v>
      </c>
      <c r="F1471" s="107" t="s">
        <v>263</v>
      </c>
      <c r="G1471" s="161">
        <v>45353</v>
      </c>
      <c r="H1471" s="107">
        <f t="shared" si="27"/>
        <v>4</v>
      </c>
    </row>
    <row r="1472" spans="1:8">
      <c r="A1472" s="107">
        <v>2</v>
      </c>
      <c r="B1472" s="107">
        <v>21</v>
      </c>
      <c r="C1472" s="107">
        <v>8</v>
      </c>
      <c r="D1472" s="107">
        <v>1</v>
      </c>
      <c r="E1472" s="107" t="s">
        <v>552</v>
      </c>
      <c r="F1472" s="107" t="s">
        <v>547</v>
      </c>
      <c r="G1472" s="161"/>
      <c r="H1472" s="107"/>
    </row>
    <row r="1473" spans="1:8">
      <c r="A1473" s="107">
        <v>2</v>
      </c>
      <c r="B1473" s="107">
        <v>21</v>
      </c>
      <c r="C1473" s="107">
        <v>8</v>
      </c>
      <c r="D1473" s="107">
        <v>2</v>
      </c>
      <c r="E1473" s="107" t="s">
        <v>552</v>
      </c>
      <c r="F1473" s="107" t="s">
        <v>547</v>
      </c>
      <c r="G1473" s="161">
        <v>45353</v>
      </c>
      <c r="H1473" s="107">
        <f t="shared" si="27"/>
        <v>4</v>
      </c>
    </row>
    <row r="1474" spans="1:8">
      <c r="A1474" s="107">
        <v>2</v>
      </c>
      <c r="B1474" s="107">
        <v>21</v>
      </c>
      <c r="C1474" s="107">
        <v>8</v>
      </c>
      <c r="D1474" s="107">
        <v>3</v>
      </c>
      <c r="E1474" s="107" t="s">
        <v>552</v>
      </c>
      <c r="F1474" s="107" t="s">
        <v>547</v>
      </c>
      <c r="G1474" s="161">
        <v>45354</v>
      </c>
      <c r="H1474" s="107">
        <f t="shared" si="27"/>
        <v>5</v>
      </c>
    </row>
    <row r="1475" spans="1:8">
      <c r="A1475" s="107">
        <v>2</v>
      </c>
      <c r="B1475" s="107">
        <v>21</v>
      </c>
      <c r="C1475" s="107">
        <v>8</v>
      </c>
      <c r="D1475" s="107">
        <v>4</v>
      </c>
      <c r="E1475" s="107" t="s">
        <v>552</v>
      </c>
      <c r="F1475" s="107" t="s">
        <v>547</v>
      </c>
      <c r="G1475" s="161">
        <v>45354</v>
      </c>
      <c r="H1475" s="107">
        <f t="shared" si="27"/>
        <v>5</v>
      </c>
    </row>
    <row r="1476" spans="1:8">
      <c r="A1476" s="107">
        <v>2</v>
      </c>
      <c r="B1476" s="107">
        <v>21</v>
      </c>
      <c r="C1476" s="107">
        <v>9</v>
      </c>
      <c r="D1476" s="107">
        <v>1</v>
      </c>
      <c r="E1476" s="107" t="s">
        <v>289</v>
      </c>
      <c r="F1476" s="107" t="s">
        <v>290</v>
      </c>
      <c r="G1476" s="161">
        <v>45353</v>
      </c>
      <c r="H1476" s="107">
        <f t="shared" si="27"/>
        <v>4</v>
      </c>
    </row>
    <row r="1477" spans="1:8">
      <c r="A1477" s="107">
        <v>2</v>
      </c>
      <c r="B1477" s="107">
        <v>21</v>
      </c>
      <c r="C1477" s="107">
        <v>9</v>
      </c>
      <c r="D1477" s="107">
        <v>2</v>
      </c>
      <c r="E1477" s="107" t="s">
        <v>289</v>
      </c>
      <c r="F1477" s="107" t="s">
        <v>290</v>
      </c>
      <c r="G1477" s="161">
        <v>45353</v>
      </c>
      <c r="H1477" s="107">
        <f t="shared" ref="H1477:H1540" si="28">DATEDIF($H$2,G1477,"d")</f>
        <v>4</v>
      </c>
    </row>
    <row r="1478" spans="1:8">
      <c r="A1478" s="107">
        <v>2</v>
      </c>
      <c r="B1478" s="107">
        <v>21</v>
      </c>
      <c r="C1478" s="107">
        <v>9</v>
      </c>
      <c r="D1478" s="107">
        <v>3</v>
      </c>
      <c r="E1478" s="107" t="s">
        <v>289</v>
      </c>
      <c r="F1478" s="107" t="s">
        <v>290</v>
      </c>
      <c r="G1478" s="161">
        <v>45353</v>
      </c>
      <c r="H1478" s="107">
        <f t="shared" si="28"/>
        <v>4</v>
      </c>
    </row>
    <row r="1479" spans="1:8">
      <c r="A1479" s="107">
        <v>2</v>
      </c>
      <c r="B1479" s="107">
        <v>21</v>
      </c>
      <c r="C1479" s="107">
        <v>9</v>
      </c>
      <c r="D1479" s="107">
        <v>4</v>
      </c>
      <c r="E1479" s="107" t="s">
        <v>289</v>
      </c>
      <c r="F1479" s="107" t="s">
        <v>290</v>
      </c>
      <c r="G1479" s="161">
        <v>45353</v>
      </c>
      <c r="H1479" s="107">
        <f t="shared" si="28"/>
        <v>4</v>
      </c>
    </row>
    <row r="1480" spans="1:8">
      <c r="A1480" s="107">
        <v>2</v>
      </c>
      <c r="B1480" s="107">
        <v>21</v>
      </c>
      <c r="C1480" s="107">
        <v>10</v>
      </c>
      <c r="D1480" s="107">
        <v>1</v>
      </c>
      <c r="E1480" s="107" t="s">
        <v>385</v>
      </c>
      <c r="F1480" s="107" t="s">
        <v>386</v>
      </c>
      <c r="G1480" s="161">
        <v>45353</v>
      </c>
      <c r="H1480" s="107">
        <f t="shared" si="28"/>
        <v>4</v>
      </c>
    </row>
    <row r="1481" spans="1:8">
      <c r="A1481" s="107">
        <v>2</v>
      </c>
      <c r="B1481" s="107">
        <v>21</v>
      </c>
      <c r="C1481" s="107">
        <v>10</v>
      </c>
      <c r="D1481" s="107">
        <v>2</v>
      </c>
      <c r="E1481" s="107" t="s">
        <v>385</v>
      </c>
      <c r="F1481" s="107" t="s">
        <v>386</v>
      </c>
      <c r="G1481" s="161">
        <v>45353</v>
      </c>
      <c r="H1481" s="107">
        <f t="shared" si="28"/>
        <v>4</v>
      </c>
    </row>
    <row r="1482" spans="1:8">
      <c r="A1482" s="107">
        <v>2</v>
      </c>
      <c r="B1482" s="107">
        <v>21</v>
      </c>
      <c r="C1482" s="107">
        <v>10</v>
      </c>
      <c r="D1482" s="107">
        <v>3</v>
      </c>
      <c r="E1482" s="107" t="s">
        <v>385</v>
      </c>
      <c r="F1482" s="107" t="s">
        <v>386</v>
      </c>
      <c r="G1482" s="161">
        <v>45353</v>
      </c>
      <c r="H1482" s="107">
        <f t="shared" si="28"/>
        <v>4</v>
      </c>
    </row>
    <row r="1483" spans="1:8">
      <c r="A1483" s="107">
        <v>2</v>
      </c>
      <c r="B1483" s="107">
        <v>21</v>
      </c>
      <c r="C1483" s="107">
        <v>10</v>
      </c>
      <c r="D1483" s="107">
        <v>4</v>
      </c>
      <c r="E1483" s="107" t="s">
        <v>385</v>
      </c>
      <c r="F1483" s="107" t="s">
        <v>386</v>
      </c>
      <c r="G1483" s="161">
        <v>45353</v>
      </c>
      <c r="H1483" s="107">
        <f t="shared" si="28"/>
        <v>4</v>
      </c>
    </row>
    <row r="1484" spans="1:8">
      <c r="A1484" s="107">
        <v>2</v>
      </c>
      <c r="B1484" s="107">
        <v>21</v>
      </c>
      <c r="C1484" s="107">
        <v>11</v>
      </c>
      <c r="D1484" s="107">
        <v>1</v>
      </c>
      <c r="E1484" s="107" t="s">
        <v>535</v>
      </c>
      <c r="F1484" s="107" t="s">
        <v>536</v>
      </c>
      <c r="G1484" s="161">
        <v>45354</v>
      </c>
      <c r="H1484" s="107">
        <f t="shared" si="28"/>
        <v>5</v>
      </c>
    </row>
    <row r="1485" spans="1:8">
      <c r="A1485" s="107">
        <v>2</v>
      </c>
      <c r="B1485" s="107">
        <v>21</v>
      </c>
      <c r="C1485" s="107">
        <v>11</v>
      </c>
      <c r="D1485" s="107">
        <v>2</v>
      </c>
      <c r="E1485" s="107" t="s">
        <v>535</v>
      </c>
      <c r="F1485" s="107" t="s">
        <v>536</v>
      </c>
      <c r="G1485" s="161">
        <v>45353</v>
      </c>
      <c r="H1485" s="107">
        <f t="shared" si="28"/>
        <v>4</v>
      </c>
    </row>
    <row r="1486" spans="1:8">
      <c r="A1486" s="107">
        <v>2</v>
      </c>
      <c r="B1486" s="107">
        <v>21</v>
      </c>
      <c r="C1486" s="107">
        <v>11</v>
      </c>
      <c r="D1486" s="107">
        <v>3</v>
      </c>
      <c r="E1486" s="107" t="s">
        <v>535</v>
      </c>
      <c r="F1486" s="107" t="s">
        <v>536</v>
      </c>
      <c r="G1486" s="161">
        <v>45354</v>
      </c>
      <c r="H1486" s="107">
        <f t="shared" si="28"/>
        <v>5</v>
      </c>
    </row>
    <row r="1487" spans="1:8">
      <c r="A1487" s="107">
        <v>2</v>
      </c>
      <c r="B1487" s="107">
        <v>21</v>
      </c>
      <c r="C1487" s="107">
        <v>11</v>
      </c>
      <c r="D1487" s="107">
        <v>4</v>
      </c>
      <c r="E1487" s="107" t="s">
        <v>535</v>
      </c>
      <c r="F1487" s="107" t="s">
        <v>536</v>
      </c>
      <c r="G1487" s="161">
        <v>45354</v>
      </c>
      <c r="H1487" s="107">
        <f t="shared" si="28"/>
        <v>5</v>
      </c>
    </row>
    <row r="1488" spans="1:8">
      <c r="A1488" s="107">
        <v>2</v>
      </c>
      <c r="B1488" s="107">
        <v>21</v>
      </c>
      <c r="C1488" s="107">
        <v>12</v>
      </c>
      <c r="D1488" s="107">
        <v>1</v>
      </c>
      <c r="E1488" s="107" t="s">
        <v>230</v>
      </c>
      <c r="F1488" s="107" t="s">
        <v>231</v>
      </c>
      <c r="G1488" s="161">
        <v>45354</v>
      </c>
      <c r="H1488" s="107">
        <f t="shared" si="28"/>
        <v>5</v>
      </c>
    </row>
    <row r="1489" spans="1:8">
      <c r="A1489" s="107">
        <v>2</v>
      </c>
      <c r="B1489" s="107">
        <v>21</v>
      </c>
      <c r="C1489" s="107">
        <v>12</v>
      </c>
      <c r="D1489" s="107">
        <v>2</v>
      </c>
      <c r="E1489" s="107" t="s">
        <v>230</v>
      </c>
      <c r="F1489" s="107" t="s">
        <v>231</v>
      </c>
      <c r="G1489" s="161">
        <v>45354</v>
      </c>
      <c r="H1489" s="107">
        <f t="shared" si="28"/>
        <v>5</v>
      </c>
    </row>
    <row r="1490" spans="1:8">
      <c r="A1490" s="107">
        <v>2</v>
      </c>
      <c r="B1490" s="107">
        <v>21</v>
      </c>
      <c r="C1490" s="107">
        <v>12</v>
      </c>
      <c r="D1490" s="107">
        <v>3</v>
      </c>
      <c r="E1490" s="107" t="s">
        <v>230</v>
      </c>
      <c r="F1490" s="107" t="s">
        <v>231</v>
      </c>
      <c r="G1490" s="161">
        <v>45362</v>
      </c>
      <c r="H1490" s="107">
        <f t="shared" si="28"/>
        <v>13</v>
      </c>
    </row>
    <row r="1491" spans="1:8">
      <c r="A1491" s="107">
        <v>2</v>
      </c>
      <c r="B1491" s="107">
        <v>21</v>
      </c>
      <c r="C1491" s="107">
        <v>12</v>
      </c>
      <c r="D1491" s="107">
        <v>4</v>
      </c>
      <c r="E1491" s="107" t="s">
        <v>230</v>
      </c>
      <c r="F1491" s="107" t="s">
        <v>231</v>
      </c>
      <c r="G1491" s="161">
        <v>45354</v>
      </c>
      <c r="H1491" s="107">
        <f t="shared" si="28"/>
        <v>5</v>
      </c>
    </row>
    <row r="1492" spans="1:8">
      <c r="A1492" s="107">
        <v>2</v>
      </c>
      <c r="B1492" s="107">
        <v>21</v>
      </c>
      <c r="C1492" s="107">
        <v>13</v>
      </c>
      <c r="D1492" s="107">
        <v>1</v>
      </c>
      <c r="E1492" s="107" t="s">
        <v>162</v>
      </c>
      <c r="F1492" s="107" t="s">
        <v>163</v>
      </c>
      <c r="G1492" s="161">
        <v>45354</v>
      </c>
      <c r="H1492" s="107">
        <f t="shared" si="28"/>
        <v>5</v>
      </c>
    </row>
    <row r="1493" spans="1:8">
      <c r="A1493" s="107">
        <v>2</v>
      </c>
      <c r="B1493" s="107">
        <v>21</v>
      </c>
      <c r="C1493" s="107">
        <v>13</v>
      </c>
      <c r="D1493" s="107">
        <v>2</v>
      </c>
      <c r="E1493" s="107" t="s">
        <v>162</v>
      </c>
      <c r="F1493" s="107" t="s">
        <v>163</v>
      </c>
      <c r="G1493" s="107"/>
      <c r="H1493" s="107"/>
    </row>
    <row r="1494" spans="1:8">
      <c r="A1494" s="107">
        <v>2</v>
      </c>
      <c r="B1494" s="107">
        <v>21</v>
      </c>
      <c r="C1494" s="107">
        <v>13</v>
      </c>
      <c r="D1494" s="107">
        <v>3</v>
      </c>
      <c r="E1494" s="107" t="s">
        <v>162</v>
      </c>
      <c r="F1494" s="107" t="s">
        <v>163</v>
      </c>
      <c r="G1494" s="161">
        <v>45353</v>
      </c>
      <c r="H1494" s="107">
        <f t="shared" si="28"/>
        <v>4</v>
      </c>
    </row>
    <row r="1495" spans="1:8">
      <c r="A1495" s="107">
        <v>2</v>
      </c>
      <c r="B1495" s="107">
        <v>21</v>
      </c>
      <c r="C1495" s="107">
        <v>13</v>
      </c>
      <c r="D1495" s="107">
        <v>4</v>
      </c>
      <c r="E1495" s="107" t="s">
        <v>162</v>
      </c>
      <c r="F1495" s="107" t="s">
        <v>163</v>
      </c>
      <c r="G1495" s="161">
        <v>45354</v>
      </c>
      <c r="H1495" s="107">
        <f t="shared" si="28"/>
        <v>5</v>
      </c>
    </row>
    <row r="1496" spans="1:8">
      <c r="A1496" s="107">
        <v>2</v>
      </c>
      <c r="B1496" s="107">
        <v>21</v>
      </c>
      <c r="C1496" s="107">
        <v>14</v>
      </c>
      <c r="D1496" s="107">
        <v>1</v>
      </c>
      <c r="E1496" s="107" t="s">
        <v>371</v>
      </c>
      <c r="F1496" s="107" t="s">
        <v>372</v>
      </c>
      <c r="G1496" s="161">
        <v>45353</v>
      </c>
      <c r="H1496" s="107">
        <f t="shared" si="28"/>
        <v>4</v>
      </c>
    </row>
    <row r="1497" spans="1:8">
      <c r="A1497" s="107">
        <v>2</v>
      </c>
      <c r="B1497" s="107">
        <v>21</v>
      </c>
      <c r="C1497" s="107">
        <v>14</v>
      </c>
      <c r="D1497" s="107">
        <v>2</v>
      </c>
      <c r="E1497" s="107" t="s">
        <v>371</v>
      </c>
      <c r="F1497" s="107" t="s">
        <v>372</v>
      </c>
      <c r="G1497" s="161">
        <v>45353</v>
      </c>
      <c r="H1497" s="107">
        <f t="shared" si="28"/>
        <v>4</v>
      </c>
    </row>
    <row r="1498" spans="1:8">
      <c r="A1498" s="107">
        <v>2</v>
      </c>
      <c r="B1498" s="107">
        <v>21</v>
      </c>
      <c r="C1498" s="107">
        <v>14</v>
      </c>
      <c r="D1498" s="107">
        <v>3</v>
      </c>
      <c r="E1498" s="107" t="s">
        <v>371</v>
      </c>
      <c r="F1498" s="107" t="s">
        <v>372</v>
      </c>
      <c r="G1498" s="161">
        <v>45353</v>
      </c>
      <c r="H1498" s="107">
        <f t="shared" si="28"/>
        <v>4</v>
      </c>
    </row>
    <row r="1499" spans="1:8">
      <c r="A1499" s="107">
        <v>2</v>
      </c>
      <c r="B1499" s="107">
        <v>21</v>
      </c>
      <c r="C1499" s="107">
        <v>14</v>
      </c>
      <c r="D1499" s="107">
        <v>4</v>
      </c>
      <c r="E1499" s="107" t="s">
        <v>371</v>
      </c>
      <c r="F1499" s="107" t="s">
        <v>372</v>
      </c>
      <c r="G1499" s="161">
        <v>45353</v>
      </c>
      <c r="H1499" s="107">
        <f t="shared" si="28"/>
        <v>4</v>
      </c>
    </row>
    <row r="1500" spans="1:8">
      <c r="A1500" s="107">
        <v>2</v>
      </c>
      <c r="B1500" s="107">
        <v>21</v>
      </c>
      <c r="C1500" s="107">
        <v>15</v>
      </c>
      <c r="D1500" s="107">
        <v>1</v>
      </c>
      <c r="E1500" s="107" t="s">
        <v>514</v>
      </c>
      <c r="F1500" s="107" t="s">
        <v>515</v>
      </c>
      <c r="G1500" s="161">
        <v>45354</v>
      </c>
      <c r="H1500" s="107">
        <f t="shared" si="28"/>
        <v>5</v>
      </c>
    </row>
    <row r="1501" spans="1:8">
      <c r="A1501" s="107">
        <v>2</v>
      </c>
      <c r="B1501" s="107">
        <v>21</v>
      </c>
      <c r="C1501" s="107">
        <v>15</v>
      </c>
      <c r="D1501" s="107">
        <v>2</v>
      </c>
      <c r="E1501" s="107" t="s">
        <v>514</v>
      </c>
      <c r="F1501" s="107" t="s">
        <v>515</v>
      </c>
      <c r="G1501" s="161">
        <v>45353</v>
      </c>
      <c r="H1501" s="107">
        <f t="shared" si="28"/>
        <v>4</v>
      </c>
    </row>
    <row r="1502" spans="1:8">
      <c r="A1502" s="107">
        <v>2</v>
      </c>
      <c r="B1502" s="107">
        <v>21</v>
      </c>
      <c r="C1502" s="107">
        <v>15</v>
      </c>
      <c r="D1502" s="107">
        <v>3</v>
      </c>
      <c r="E1502" s="107" t="s">
        <v>514</v>
      </c>
      <c r="F1502" s="107" t="s">
        <v>515</v>
      </c>
      <c r="G1502" s="161">
        <v>45354</v>
      </c>
      <c r="H1502" s="107">
        <f t="shared" si="28"/>
        <v>5</v>
      </c>
    </row>
    <row r="1503" spans="1:8">
      <c r="A1503" s="107">
        <v>2</v>
      </c>
      <c r="B1503" s="107">
        <v>21</v>
      </c>
      <c r="C1503" s="107">
        <v>15</v>
      </c>
      <c r="D1503" s="107">
        <v>4</v>
      </c>
      <c r="E1503" s="107" t="s">
        <v>514</v>
      </c>
      <c r="F1503" s="107" t="s">
        <v>515</v>
      </c>
      <c r="G1503" s="161">
        <v>45353</v>
      </c>
      <c r="H1503" s="107">
        <f t="shared" si="28"/>
        <v>4</v>
      </c>
    </row>
    <row r="1504" spans="1:8">
      <c r="A1504" s="107">
        <v>2</v>
      </c>
      <c r="B1504" s="107">
        <v>21</v>
      </c>
      <c r="C1504" s="107">
        <v>16</v>
      </c>
      <c r="D1504" s="107">
        <v>1</v>
      </c>
      <c r="E1504" s="107" t="s">
        <v>194</v>
      </c>
      <c r="F1504" s="107" t="s">
        <v>195</v>
      </c>
      <c r="G1504" s="161">
        <v>45355</v>
      </c>
      <c r="H1504" s="107">
        <f t="shared" si="28"/>
        <v>6</v>
      </c>
    </row>
    <row r="1505" spans="1:8">
      <c r="A1505" s="107">
        <v>2</v>
      </c>
      <c r="B1505" s="107">
        <v>21</v>
      </c>
      <c r="C1505" s="107">
        <v>16</v>
      </c>
      <c r="D1505" s="107">
        <v>2</v>
      </c>
      <c r="E1505" s="107" t="s">
        <v>194</v>
      </c>
      <c r="F1505" s="107" t="s">
        <v>195</v>
      </c>
      <c r="G1505" s="161">
        <v>45353</v>
      </c>
      <c r="H1505" s="107">
        <f t="shared" si="28"/>
        <v>4</v>
      </c>
    </row>
    <row r="1506" spans="1:8">
      <c r="A1506" s="107">
        <v>2</v>
      </c>
      <c r="B1506" s="107">
        <v>21</v>
      </c>
      <c r="C1506" s="107">
        <v>16</v>
      </c>
      <c r="D1506" s="107">
        <v>3</v>
      </c>
      <c r="E1506" s="107" t="s">
        <v>194</v>
      </c>
      <c r="F1506" s="107" t="s">
        <v>195</v>
      </c>
      <c r="G1506" s="161">
        <v>45355</v>
      </c>
      <c r="H1506" s="107">
        <f t="shared" si="28"/>
        <v>6</v>
      </c>
    </row>
    <row r="1507" spans="1:8">
      <c r="A1507" s="107">
        <v>2</v>
      </c>
      <c r="B1507" s="107">
        <v>21</v>
      </c>
      <c r="C1507" s="107">
        <v>16</v>
      </c>
      <c r="D1507" s="107">
        <v>4</v>
      </c>
      <c r="E1507" s="107" t="s">
        <v>194</v>
      </c>
      <c r="F1507" s="107" t="s">
        <v>195</v>
      </c>
      <c r="G1507" s="107"/>
      <c r="H1507" s="107"/>
    </row>
    <row r="1508" spans="1:8">
      <c r="A1508" s="107">
        <v>2</v>
      </c>
      <c r="B1508" s="107">
        <v>21</v>
      </c>
      <c r="C1508" s="107">
        <v>17</v>
      </c>
      <c r="D1508" s="107">
        <v>1</v>
      </c>
      <c r="E1508" s="107" t="s">
        <v>719</v>
      </c>
      <c r="F1508" s="107" t="s">
        <v>720</v>
      </c>
      <c r="G1508" s="161">
        <v>45353</v>
      </c>
      <c r="H1508" s="107">
        <f t="shared" si="28"/>
        <v>4</v>
      </c>
    </row>
    <row r="1509" spans="1:8">
      <c r="A1509" s="107">
        <v>2</v>
      </c>
      <c r="B1509" s="107">
        <v>21</v>
      </c>
      <c r="C1509" s="107">
        <v>17</v>
      </c>
      <c r="D1509" s="107">
        <v>2</v>
      </c>
      <c r="E1509" s="107" t="s">
        <v>719</v>
      </c>
      <c r="F1509" s="107" t="s">
        <v>720</v>
      </c>
      <c r="G1509" s="161">
        <v>45353</v>
      </c>
      <c r="H1509" s="107">
        <f t="shared" si="28"/>
        <v>4</v>
      </c>
    </row>
    <row r="1510" spans="1:8">
      <c r="A1510" s="107">
        <v>2</v>
      </c>
      <c r="B1510" s="107">
        <v>21</v>
      </c>
      <c r="C1510" s="107">
        <v>17</v>
      </c>
      <c r="D1510" s="107">
        <v>3</v>
      </c>
      <c r="E1510" s="107" t="s">
        <v>719</v>
      </c>
      <c r="F1510" s="107" t="s">
        <v>720</v>
      </c>
      <c r="G1510" s="161">
        <v>45354</v>
      </c>
      <c r="H1510" s="107">
        <f t="shared" si="28"/>
        <v>5</v>
      </c>
    </row>
    <row r="1511" spans="1:8">
      <c r="A1511" s="107">
        <v>2</v>
      </c>
      <c r="B1511" s="107">
        <v>21</v>
      </c>
      <c r="C1511" s="107">
        <v>17</v>
      </c>
      <c r="D1511" s="107">
        <v>4</v>
      </c>
      <c r="E1511" s="107" t="s">
        <v>719</v>
      </c>
      <c r="F1511" s="107" t="s">
        <v>720</v>
      </c>
      <c r="G1511" s="161">
        <v>45353</v>
      </c>
      <c r="H1511" s="107">
        <f t="shared" si="28"/>
        <v>4</v>
      </c>
    </row>
    <row r="1512" spans="1:8">
      <c r="A1512" s="107">
        <v>2</v>
      </c>
      <c r="B1512" s="107">
        <v>21</v>
      </c>
      <c r="C1512" s="107">
        <v>18</v>
      </c>
      <c r="D1512" s="107">
        <v>1</v>
      </c>
      <c r="E1512" s="107" t="s">
        <v>576</v>
      </c>
      <c r="F1512" s="107" t="s">
        <v>577</v>
      </c>
      <c r="G1512" s="161">
        <v>45353</v>
      </c>
      <c r="H1512" s="107">
        <f t="shared" si="28"/>
        <v>4</v>
      </c>
    </row>
    <row r="1513" spans="1:8">
      <c r="A1513" s="107">
        <v>2</v>
      </c>
      <c r="B1513" s="107">
        <v>21</v>
      </c>
      <c r="C1513" s="107">
        <v>18</v>
      </c>
      <c r="D1513" s="107">
        <v>2</v>
      </c>
      <c r="E1513" s="107" t="s">
        <v>576</v>
      </c>
      <c r="F1513" s="107" t="s">
        <v>577</v>
      </c>
      <c r="G1513" s="161">
        <v>45353</v>
      </c>
      <c r="H1513" s="107">
        <f t="shared" si="28"/>
        <v>4</v>
      </c>
    </row>
    <row r="1514" spans="1:8">
      <c r="A1514" s="107">
        <v>2</v>
      </c>
      <c r="B1514" s="107">
        <v>21</v>
      </c>
      <c r="C1514" s="107">
        <v>18</v>
      </c>
      <c r="D1514" s="107">
        <v>3</v>
      </c>
      <c r="E1514" s="107" t="s">
        <v>576</v>
      </c>
      <c r="F1514" s="107" t="s">
        <v>577</v>
      </c>
      <c r="G1514" s="161">
        <v>45353</v>
      </c>
      <c r="H1514" s="107">
        <f t="shared" si="28"/>
        <v>4</v>
      </c>
    </row>
    <row r="1515" spans="1:8">
      <c r="A1515" s="107">
        <v>2</v>
      </c>
      <c r="B1515" s="107">
        <v>21</v>
      </c>
      <c r="C1515" s="107">
        <v>18</v>
      </c>
      <c r="D1515" s="107">
        <v>4</v>
      </c>
      <c r="E1515" s="107" t="s">
        <v>576</v>
      </c>
      <c r="F1515" s="107" t="s">
        <v>577</v>
      </c>
      <c r="G1515" s="161">
        <v>45353</v>
      </c>
      <c r="H1515" s="107">
        <f t="shared" si="28"/>
        <v>4</v>
      </c>
    </row>
    <row r="1516" spans="1:8">
      <c r="A1516" s="107">
        <v>2</v>
      </c>
      <c r="B1516" s="107">
        <v>22</v>
      </c>
      <c r="C1516" s="107">
        <v>1</v>
      </c>
      <c r="D1516" s="107">
        <v>1</v>
      </c>
      <c r="E1516" s="107" t="s">
        <v>747</v>
      </c>
      <c r="F1516" s="107" t="s">
        <v>748</v>
      </c>
      <c r="G1516" s="161">
        <v>45353</v>
      </c>
      <c r="H1516" s="107">
        <f t="shared" si="28"/>
        <v>4</v>
      </c>
    </row>
    <row r="1517" spans="1:8">
      <c r="A1517" s="107">
        <v>2</v>
      </c>
      <c r="B1517" s="107">
        <v>22</v>
      </c>
      <c r="C1517" s="107">
        <v>1</v>
      </c>
      <c r="D1517" s="107">
        <v>2</v>
      </c>
      <c r="E1517" s="107" t="s">
        <v>747</v>
      </c>
      <c r="F1517" s="107" t="s">
        <v>748</v>
      </c>
      <c r="G1517" s="161">
        <v>45353</v>
      </c>
      <c r="H1517" s="107">
        <f t="shared" si="28"/>
        <v>4</v>
      </c>
    </row>
    <row r="1518" spans="1:8">
      <c r="A1518" s="107">
        <v>2</v>
      </c>
      <c r="B1518" s="107">
        <v>22</v>
      </c>
      <c r="C1518" s="107">
        <v>1</v>
      </c>
      <c r="D1518" s="107">
        <v>3</v>
      </c>
      <c r="E1518" s="107" t="s">
        <v>747</v>
      </c>
      <c r="F1518" s="107" t="s">
        <v>748</v>
      </c>
      <c r="G1518" s="161">
        <v>45353</v>
      </c>
      <c r="H1518" s="107">
        <f t="shared" si="28"/>
        <v>4</v>
      </c>
    </row>
    <row r="1519" spans="1:8">
      <c r="A1519" s="107">
        <v>2</v>
      </c>
      <c r="B1519" s="107">
        <v>22</v>
      </c>
      <c r="C1519" s="107">
        <v>1</v>
      </c>
      <c r="D1519" s="107">
        <v>4</v>
      </c>
      <c r="E1519" s="107" t="s">
        <v>747</v>
      </c>
      <c r="F1519" s="107" t="s">
        <v>748</v>
      </c>
      <c r="G1519" s="161">
        <v>45353</v>
      </c>
      <c r="H1519" s="107">
        <f t="shared" si="28"/>
        <v>4</v>
      </c>
    </row>
    <row r="1520" spans="1:8">
      <c r="A1520" s="107">
        <v>2</v>
      </c>
      <c r="B1520" s="107">
        <v>22</v>
      </c>
      <c r="C1520" s="107">
        <v>2</v>
      </c>
      <c r="D1520" s="107">
        <v>1</v>
      </c>
      <c r="E1520" s="107" t="s">
        <v>590</v>
      </c>
      <c r="F1520" s="107" t="s">
        <v>591</v>
      </c>
      <c r="G1520" s="161">
        <v>45353</v>
      </c>
      <c r="H1520" s="107">
        <f t="shared" si="28"/>
        <v>4</v>
      </c>
    </row>
    <row r="1521" spans="1:8">
      <c r="A1521" s="107">
        <v>2</v>
      </c>
      <c r="B1521" s="107">
        <v>22</v>
      </c>
      <c r="C1521" s="107">
        <v>2</v>
      </c>
      <c r="D1521" s="107">
        <v>2</v>
      </c>
      <c r="E1521" s="107" t="s">
        <v>590</v>
      </c>
      <c r="F1521" s="107" t="s">
        <v>591</v>
      </c>
      <c r="G1521" s="161">
        <v>45353</v>
      </c>
      <c r="H1521" s="107">
        <f t="shared" si="28"/>
        <v>4</v>
      </c>
    </row>
    <row r="1522" spans="1:8">
      <c r="A1522" s="107">
        <v>2</v>
      </c>
      <c r="B1522" s="107">
        <v>22</v>
      </c>
      <c r="C1522" s="107">
        <v>2</v>
      </c>
      <c r="D1522" s="107">
        <v>3</v>
      </c>
      <c r="E1522" s="107" t="s">
        <v>590</v>
      </c>
      <c r="F1522" s="107" t="s">
        <v>591</v>
      </c>
      <c r="G1522" s="161">
        <v>45353</v>
      </c>
      <c r="H1522" s="107">
        <f t="shared" si="28"/>
        <v>4</v>
      </c>
    </row>
    <row r="1523" spans="1:8">
      <c r="A1523" s="107">
        <v>2</v>
      </c>
      <c r="B1523" s="107">
        <v>22</v>
      </c>
      <c r="C1523" s="107">
        <v>2</v>
      </c>
      <c r="D1523" s="107">
        <v>4</v>
      </c>
      <c r="E1523" s="107" t="s">
        <v>590</v>
      </c>
      <c r="F1523" s="107" t="s">
        <v>591</v>
      </c>
      <c r="G1523" s="161">
        <v>45353</v>
      </c>
      <c r="H1523" s="107">
        <f t="shared" si="28"/>
        <v>4</v>
      </c>
    </row>
    <row r="1524" spans="1:8">
      <c r="A1524" s="107">
        <v>2</v>
      </c>
      <c r="B1524" s="107">
        <v>22</v>
      </c>
      <c r="C1524" s="107">
        <v>3</v>
      </c>
      <c r="D1524" s="107">
        <v>1</v>
      </c>
      <c r="E1524" s="107" t="s">
        <v>232</v>
      </c>
      <c r="F1524" s="107" t="s">
        <v>233</v>
      </c>
      <c r="G1524" s="161">
        <v>45353</v>
      </c>
      <c r="H1524" s="107">
        <f t="shared" si="28"/>
        <v>4</v>
      </c>
    </row>
    <row r="1525" spans="1:8">
      <c r="A1525" s="107">
        <v>2</v>
      </c>
      <c r="B1525" s="107">
        <v>22</v>
      </c>
      <c r="C1525" s="107">
        <v>3</v>
      </c>
      <c r="D1525" s="107">
        <v>2</v>
      </c>
      <c r="E1525" s="107" t="s">
        <v>232</v>
      </c>
      <c r="F1525" s="107" t="s">
        <v>233</v>
      </c>
      <c r="G1525" s="161">
        <v>45353</v>
      </c>
      <c r="H1525" s="107">
        <f t="shared" si="28"/>
        <v>4</v>
      </c>
    </row>
    <row r="1526" spans="1:8">
      <c r="A1526" s="107">
        <v>2</v>
      </c>
      <c r="B1526" s="107">
        <v>22</v>
      </c>
      <c r="C1526" s="107">
        <v>3</v>
      </c>
      <c r="D1526" s="107">
        <v>3</v>
      </c>
      <c r="E1526" s="107" t="s">
        <v>232</v>
      </c>
      <c r="F1526" s="107" t="s">
        <v>233</v>
      </c>
      <c r="G1526" s="161">
        <v>45353</v>
      </c>
      <c r="H1526" s="107">
        <f t="shared" si="28"/>
        <v>4</v>
      </c>
    </row>
    <row r="1527" spans="1:8">
      <c r="A1527" s="107">
        <v>2</v>
      </c>
      <c r="B1527" s="107">
        <v>22</v>
      </c>
      <c r="C1527" s="107">
        <v>3</v>
      </c>
      <c r="D1527" s="107">
        <v>4</v>
      </c>
      <c r="E1527" s="107" t="s">
        <v>232</v>
      </c>
      <c r="F1527" s="107" t="s">
        <v>233</v>
      </c>
      <c r="G1527" s="161">
        <v>45353</v>
      </c>
      <c r="H1527" s="107">
        <f t="shared" si="28"/>
        <v>4</v>
      </c>
    </row>
    <row r="1528" spans="1:8">
      <c r="A1528" s="107">
        <v>2</v>
      </c>
      <c r="B1528" s="107">
        <v>22</v>
      </c>
      <c r="C1528" s="107">
        <v>4</v>
      </c>
      <c r="D1528" s="107">
        <v>1</v>
      </c>
      <c r="E1528" s="107" t="s">
        <v>156</v>
      </c>
      <c r="F1528" s="107" t="s">
        <v>157</v>
      </c>
      <c r="G1528" s="161">
        <v>45353</v>
      </c>
      <c r="H1528" s="107">
        <f t="shared" si="28"/>
        <v>4</v>
      </c>
    </row>
    <row r="1529" spans="1:8">
      <c r="A1529" s="107">
        <v>2</v>
      </c>
      <c r="B1529" s="107">
        <v>22</v>
      </c>
      <c r="C1529" s="107">
        <v>4</v>
      </c>
      <c r="D1529" s="107">
        <v>2</v>
      </c>
      <c r="E1529" s="107" t="s">
        <v>156</v>
      </c>
      <c r="F1529" s="107" t="s">
        <v>157</v>
      </c>
      <c r="G1529" s="161">
        <v>45355</v>
      </c>
      <c r="H1529" s="107">
        <f t="shared" si="28"/>
        <v>6</v>
      </c>
    </row>
    <row r="1530" spans="1:8">
      <c r="A1530" s="107">
        <v>2</v>
      </c>
      <c r="B1530" s="107">
        <v>22</v>
      </c>
      <c r="C1530" s="107">
        <v>4</v>
      </c>
      <c r="D1530" s="107">
        <v>3</v>
      </c>
      <c r="E1530" s="107" t="s">
        <v>156</v>
      </c>
      <c r="F1530" s="107" t="s">
        <v>157</v>
      </c>
      <c r="G1530" s="161">
        <v>45353</v>
      </c>
      <c r="H1530" s="107">
        <f t="shared" si="28"/>
        <v>4</v>
      </c>
    </row>
    <row r="1531" spans="1:8">
      <c r="A1531" s="107">
        <v>2</v>
      </c>
      <c r="B1531" s="107">
        <v>22</v>
      </c>
      <c r="C1531" s="107">
        <v>4</v>
      </c>
      <c r="D1531" s="107">
        <v>4</v>
      </c>
      <c r="E1531" s="107" t="s">
        <v>156</v>
      </c>
      <c r="F1531" s="107" t="s">
        <v>157</v>
      </c>
      <c r="G1531" s="107"/>
      <c r="H1531" s="107"/>
    </row>
    <row r="1532" spans="1:8">
      <c r="A1532" s="107">
        <v>2</v>
      </c>
      <c r="B1532" s="107">
        <v>22</v>
      </c>
      <c r="C1532" s="107">
        <v>5</v>
      </c>
      <c r="D1532" s="107">
        <v>1</v>
      </c>
      <c r="E1532" s="107" t="s">
        <v>341</v>
      </c>
      <c r="F1532" s="107" t="s">
        <v>342</v>
      </c>
      <c r="G1532" s="161">
        <v>45355</v>
      </c>
      <c r="H1532" s="107">
        <f t="shared" si="28"/>
        <v>6</v>
      </c>
    </row>
    <row r="1533" spans="1:8">
      <c r="A1533" s="107">
        <v>2</v>
      </c>
      <c r="B1533" s="107">
        <v>22</v>
      </c>
      <c r="C1533" s="107">
        <v>5</v>
      </c>
      <c r="D1533" s="107">
        <v>2</v>
      </c>
      <c r="E1533" s="107" t="s">
        <v>341</v>
      </c>
      <c r="F1533" s="107" t="s">
        <v>342</v>
      </c>
      <c r="G1533" s="161">
        <v>45353</v>
      </c>
      <c r="H1533" s="107">
        <f t="shared" si="28"/>
        <v>4</v>
      </c>
    </row>
    <row r="1534" spans="1:8">
      <c r="A1534" s="107">
        <v>2</v>
      </c>
      <c r="B1534" s="107">
        <v>22</v>
      </c>
      <c r="C1534" s="107">
        <v>5</v>
      </c>
      <c r="D1534" s="107">
        <v>3</v>
      </c>
      <c r="E1534" s="107" t="s">
        <v>341</v>
      </c>
      <c r="F1534" s="107" t="s">
        <v>342</v>
      </c>
      <c r="G1534" s="161">
        <v>45353</v>
      </c>
      <c r="H1534" s="107">
        <f t="shared" si="28"/>
        <v>4</v>
      </c>
    </row>
    <row r="1535" spans="1:8">
      <c r="A1535" s="107">
        <v>2</v>
      </c>
      <c r="B1535" s="107">
        <v>22</v>
      </c>
      <c r="C1535" s="107">
        <v>5</v>
      </c>
      <c r="D1535" s="107">
        <v>4</v>
      </c>
      <c r="E1535" s="107" t="s">
        <v>341</v>
      </c>
      <c r="F1535" s="107" t="s">
        <v>342</v>
      </c>
      <c r="G1535" s="161">
        <v>45355</v>
      </c>
      <c r="H1535" s="107">
        <f t="shared" si="28"/>
        <v>6</v>
      </c>
    </row>
    <row r="1536" spans="1:8">
      <c r="A1536" s="107">
        <v>2</v>
      </c>
      <c r="B1536" s="107">
        <v>22</v>
      </c>
      <c r="C1536" s="107">
        <v>6</v>
      </c>
      <c r="D1536" s="107">
        <v>1</v>
      </c>
      <c r="E1536" s="107" t="s">
        <v>172</v>
      </c>
      <c r="F1536" s="107" t="s">
        <v>173</v>
      </c>
      <c r="G1536" s="161">
        <v>45353</v>
      </c>
      <c r="H1536" s="107">
        <f t="shared" si="28"/>
        <v>4</v>
      </c>
    </row>
    <row r="1537" spans="1:8">
      <c r="A1537" s="107">
        <v>2</v>
      </c>
      <c r="B1537" s="107">
        <v>22</v>
      </c>
      <c r="C1537" s="107">
        <v>6</v>
      </c>
      <c r="D1537" s="107">
        <v>2</v>
      </c>
      <c r="E1537" s="107" t="s">
        <v>172</v>
      </c>
      <c r="F1537" s="107" t="s">
        <v>173</v>
      </c>
      <c r="G1537" s="161">
        <v>45353</v>
      </c>
      <c r="H1537" s="107">
        <f t="shared" si="28"/>
        <v>4</v>
      </c>
    </row>
    <row r="1538" spans="1:8">
      <c r="A1538" s="107">
        <v>2</v>
      </c>
      <c r="B1538" s="107">
        <v>22</v>
      </c>
      <c r="C1538" s="107">
        <v>6</v>
      </c>
      <c r="D1538" s="107">
        <v>3</v>
      </c>
      <c r="E1538" s="107" t="s">
        <v>172</v>
      </c>
      <c r="F1538" s="107" t="s">
        <v>173</v>
      </c>
      <c r="G1538" s="161">
        <v>45353</v>
      </c>
      <c r="H1538" s="107">
        <f t="shared" si="28"/>
        <v>4</v>
      </c>
    </row>
    <row r="1539" spans="1:8">
      <c r="A1539" s="107">
        <v>2</v>
      </c>
      <c r="B1539" s="107">
        <v>22</v>
      </c>
      <c r="C1539" s="107">
        <v>6</v>
      </c>
      <c r="D1539" s="107">
        <v>4</v>
      </c>
      <c r="E1539" s="107" t="s">
        <v>172</v>
      </c>
      <c r="F1539" s="107" t="s">
        <v>173</v>
      </c>
      <c r="G1539" s="161">
        <v>45353</v>
      </c>
      <c r="H1539" s="107">
        <f t="shared" si="28"/>
        <v>4</v>
      </c>
    </row>
    <row r="1540" spans="1:8">
      <c r="A1540" s="107">
        <v>2</v>
      </c>
      <c r="B1540" s="107">
        <v>22</v>
      </c>
      <c r="C1540" s="107">
        <v>7</v>
      </c>
      <c r="D1540" s="107">
        <v>1</v>
      </c>
      <c r="E1540" s="107" t="s">
        <v>642</v>
      </c>
      <c r="F1540" s="107" t="s">
        <v>643</v>
      </c>
      <c r="G1540" s="161">
        <v>45353</v>
      </c>
      <c r="H1540" s="107">
        <f t="shared" si="28"/>
        <v>4</v>
      </c>
    </row>
    <row r="1541" spans="1:8">
      <c r="A1541" s="107">
        <v>2</v>
      </c>
      <c r="B1541" s="107">
        <v>22</v>
      </c>
      <c r="C1541" s="107">
        <v>7</v>
      </c>
      <c r="D1541" s="107">
        <v>2</v>
      </c>
      <c r="E1541" s="107" t="s">
        <v>642</v>
      </c>
      <c r="F1541" s="107" t="s">
        <v>643</v>
      </c>
      <c r="G1541" s="161">
        <v>45353</v>
      </c>
      <c r="H1541" s="107">
        <f t="shared" ref="H1541:H1604" si="29">DATEDIF($H$2,G1541,"d")</f>
        <v>4</v>
      </c>
    </row>
    <row r="1542" spans="1:8">
      <c r="A1542" s="107">
        <v>2</v>
      </c>
      <c r="B1542" s="107">
        <v>22</v>
      </c>
      <c r="C1542" s="107">
        <v>7</v>
      </c>
      <c r="D1542" s="107">
        <v>3</v>
      </c>
      <c r="E1542" s="107" t="s">
        <v>642</v>
      </c>
      <c r="F1542" s="107" t="s">
        <v>643</v>
      </c>
      <c r="G1542" s="161">
        <v>45354</v>
      </c>
      <c r="H1542" s="107">
        <f t="shared" si="29"/>
        <v>5</v>
      </c>
    </row>
    <row r="1543" spans="1:8">
      <c r="A1543" s="107">
        <v>2</v>
      </c>
      <c r="B1543" s="107">
        <v>22</v>
      </c>
      <c r="C1543" s="107">
        <v>7</v>
      </c>
      <c r="D1543" s="107">
        <v>4</v>
      </c>
      <c r="E1543" s="107" t="s">
        <v>642</v>
      </c>
      <c r="F1543" s="107" t="s">
        <v>643</v>
      </c>
      <c r="G1543" s="161">
        <v>45353</v>
      </c>
      <c r="H1543" s="107">
        <f t="shared" si="29"/>
        <v>4</v>
      </c>
    </row>
    <row r="1544" spans="1:8">
      <c r="A1544" s="107">
        <v>2</v>
      </c>
      <c r="B1544" s="107">
        <v>22</v>
      </c>
      <c r="C1544" s="107">
        <v>8</v>
      </c>
      <c r="D1544" s="107">
        <v>1</v>
      </c>
      <c r="E1544" s="107" t="s">
        <v>427</v>
      </c>
      <c r="F1544" s="107" t="s">
        <v>428</v>
      </c>
      <c r="G1544" s="161">
        <v>45353</v>
      </c>
      <c r="H1544" s="107">
        <f t="shared" si="29"/>
        <v>4</v>
      </c>
    </row>
    <row r="1545" spans="1:8">
      <c r="A1545" s="107">
        <v>2</v>
      </c>
      <c r="B1545" s="107">
        <v>22</v>
      </c>
      <c r="C1545" s="107">
        <v>8</v>
      </c>
      <c r="D1545" s="107">
        <v>2</v>
      </c>
      <c r="E1545" s="107" t="s">
        <v>427</v>
      </c>
      <c r="F1545" s="107" t="s">
        <v>428</v>
      </c>
      <c r="G1545" s="161">
        <v>45353</v>
      </c>
      <c r="H1545" s="107">
        <f t="shared" si="29"/>
        <v>4</v>
      </c>
    </row>
    <row r="1546" spans="1:8">
      <c r="A1546" s="107">
        <v>2</v>
      </c>
      <c r="B1546" s="107">
        <v>22</v>
      </c>
      <c r="C1546" s="107">
        <v>8</v>
      </c>
      <c r="D1546" s="107">
        <v>3</v>
      </c>
      <c r="E1546" s="107" t="s">
        <v>427</v>
      </c>
      <c r="F1546" s="107" t="s">
        <v>428</v>
      </c>
      <c r="G1546" s="161">
        <v>45353</v>
      </c>
      <c r="H1546" s="107">
        <f t="shared" si="29"/>
        <v>4</v>
      </c>
    </row>
    <row r="1547" spans="1:8">
      <c r="A1547" s="107">
        <v>2</v>
      </c>
      <c r="B1547" s="107">
        <v>22</v>
      </c>
      <c r="C1547" s="107">
        <v>8</v>
      </c>
      <c r="D1547" s="107">
        <v>4</v>
      </c>
      <c r="E1547" s="107" t="s">
        <v>427</v>
      </c>
      <c r="F1547" s="107" t="s">
        <v>428</v>
      </c>
      <c r="G1547" s="161">
        <v>45353</v>
      </c>
      <c r="H1547" s="107">
        <f t="shared" si="29"/>
        <v>4</v>
      </c>
    </row>
    <row r="1548" spans="1:8">
      <c r="A1548" s="107">
        <v>2</v>
      </c>
      <c r="B1548" s="107">
        <v>22</v>
      </c>
      <c r="C1548" s="107">
        <v>9</v>
      </c>
      <c r="D1548" s="107">
        <v>1</v>
      </c>
      <c r="E1548" s="107" t="s">
        <v>650</v>
      </c>
      <c r="F1548" s="107" t="s">
        <v>651</v>
      </c>
      <c r="G1548" s="161">
        <v>45353</v>
      </c>
      <c r="H1548" s="107">
        <f t="shared" si="29"/>
        <v>4</v>
      </c>
    </row>
    <row r="1549" spans="1:8">
      <c r="A1549" s="107">
        <v>2</v>
      </c>
      <c r="B1549" s="107">
        <v>22</v>
      </c>
      <c r="C1549" s="107">
        <v>9</v>
      </c>
      <c r="D1549" s="107">
        <v>2</v>
      </c>
      <c r="E1549" s="107" t="s">
        <v>650</v>
      </c>
      <c r="F1549" s="107" t="s">
        <v>651</v>
      </c>
      <c r="G1549" s="161">
        <v>45353</v>
      </c>
      <c r="H1549" s="107">
        <f t="shared" si="29"/>
        <v>4</v>
      </c>
    </row>
    <row r="1550" spans="1:8">
      <c r="A1550" s="107">
        <v>2</v>
      </c>
      <c r="B1550" s="107">
        <v>22</v>
      </c>
      <c r="C1550" s="107">
        <v>9</v>
      </c>
      <c r="D1550" s="107">
        <v>3</v>
      </c>
      <c r="E1550" s="107" t="s">
        <v>650</v>
      </c>
      <c r="F1550" s="107" t="s">
        <v>651</v>
      </c>
      <c r="G1550" s="161">
        <v>45353</v>
      </c>
      <c r="H1550" s="107">
        <f t="shared" si="29"/>
        <v>4</v>
      </c>
    </row>
    <row r="1551" spans="1:8">
      <c r="A1551" s="107">
        <v>2</v>
      </c>
      <c r="B1551" s="107">
        <v>22</v>
      </c>
      <c r="C1551" s="107">
        <v>9</v>
      </c>
      <c r="D1551" s="107">
        <v>4</v>
      </c>
      <c r="E1551" s="107" t="s">
        <v>650</v>
      </c>
      <c r="F1551" s="107" t="s">
        <v>651</v>
      </c>
      <c r="G1551" s="107"/>
      <c r="H1551" s="107"/>
    </row>
    <row r="1552" spans="1:8">
      <c r="A1552" s="107">
        <v>2</v>
      </c>
      <c r="B1552" s="107">
        <v>22</v>
      </c>
      <c r="C1552" s="107">
        <v>10</v>
      </c>
      <c r="D1552" s="107">
        <v>1</v>
      </c>
      <c r="E1552" s="107" t="s">
        <v>367</v>
      </c>
      <c r="F1552" s="107" t="s">
        <v>368</v>
      </c>
      <c r="G1552" s="161">
        <v>45353</v>
      </c>
      <c r="H1552" s="107">
        <f t="shared" si="29"/>
        <v>4</v>
      </c>
    </row>
    <row r="1553" spans="1:8">
      <c r="A1553" s="107">
        <v>2</v>
      </c>
      <c r="B1553" s="107">
        <v>22</v>
      </c>
      <c r="C1553" s="107">
        <v>10</v>
      </c>
      <c r="D1553" s="107">
        <v>2</v>
      </c>
      <c r="E1553" s="107" t="s">
        <v>367</v>
      </c>
      <c r="F1553" s="107" t="s">
        <v>368</v>
      </c>
      <c r="G1553" s="161">
        <v>45353</v>
      </c>
      <c r="H1553" s="107">
        <f t="shared" si="29"/>
        <v>4</v>
      </c>
    </row>
    <row r="1554" spans="1:8">
      <c r="A1554" s="107">
        <v>2</v>
      </c>
      <c r="B1554" s="107">
        <v>22</v>
      </c>
      <c r="C1554" s="107">
        <v>10</v>
      </c>
      <c r="D1554" s="107">
        <v>3</v>
      </c>
      <c r="E1554" s="107" t="s">
        <v>367</v>
      </c>
      <c r="F1554" s="107" t="s">
        <v>368</v>
      </c>
      <c r="G1554" s="161">
        <v>45353</v>
      </c>
      <c r="H1554" s="107">
        <f t="shared" si="29"/>
        <v>4</v>
      </c>
    </row>
    <row r="1555" spans="1:8">
      <c r="A1555" s="107">
        <v>2</v>
      </c>
      <c r="B1555" s="107">
        <v>22</v>
      </c>
      <c r="C1555" s="107">
        <v>10</v>
      </c>
      <c r="D1555" s="107">
        <v>4</v>
      </c>
      <c r="E1555" s="107" t="s">
        <v>367</v>
      </c>
      <c r="F1555" s="107" t="s">
        <v>368</v>
      </c>
      <c r="G1555" s="161">
        <v>45353</v>
      </c>
      <c r="H1555" s="107">
        <f t="shared" si="29"/>
        <v>4</v>
      </c>
    </row>
    <row r="1556" spans="1:8">
      <c r="A1556" s="107">
        <v>2</v>
      </c>
      <c r="B1556" s="107">
        <v>22</v>
      </c>
      <c r="C1556" s="107">
        <v>11</v>
      </c>
      <c r="D1556" s="107">
        <v>1</v>
      </c>
      <c r="E1556" s="107" t="s">
        <v>530</v>
      </c>
      <c r="F1556" s="107" t="s">
        <v>518</v>
      </c>
      <c r="G1556" s="161">
        <v>45354</v>
      </c>
      <c r="H1556" s="107">
        <f t="shared" si="29"/>
        <v>5</v>
      </c>
    </row>
    <row r="1557" spans="1:8">
      <c r="A1557" s="107">
        <v>2</v>
      </c>
      <c r="B1557" s="107">
        <v>22</v>
      </c>
      <c r="C1557" s="107">
        <v>11</v>
      </c>
      <c r="D1557" s="107">
        <v>2</v>
      </c>
      <c r="E1557" s="107" t="s">
        <v>530</v>
      </c>
      <c r="F1557" s="107" t="s">
        <v>518</v>
      </c>
      <c r="G1557" s="161">
        <v>45353</v>
      </c>
      <c r="H1557" s="107">
        <f t="shared" si="29"/>
        <v>4</v>
      </c>
    </row>
    <row r="1558" spans="1:8">
      <c r="A1558" s="107">
        <v>2</v>
      </c>
      <c r="B1558" s="107">
        <v>22</v>
      </c>
      <c r="C1558" s="107">
        <v>11</v>
      </c>
      <c r="D1558" s="107">
        <v>3</v>
      </c>
      <c r="E1558" s="107" t="s">
        <v>530</v>
      </c>
      <c r="F1558" s="107" t="s">
        <v>518</v>
      </c>
      <c r="G1558" s="161">
        <v>45354</v>
      </c>
      <c r="H1558" s="107">
        <f t="shared" si="29"/>
        <v>5</v>
      </c>
    </row>
    <row r="1559" spans="1:8">
      <c r="A1559" s="107">
        <v>2</v>
      </c>
      <c r="B1559" s="107">
        <v>22</v>
      </c>
      <c r="C1559" s="107">
        <v>11</v>
      </c>
      <c r="D1559" s="107">
        <v>4</v>
      </c>
      <c r="E1559" s="107" t="s">
        <v>530</v>
      </c>
      <c r="F1559" s="107" t="s">
        <v>518</v>
      </c>
      <c r="G1559" s="161">
        <v>45353</v>
      </c>
      <c r="H1559" s="107">
        <f t="shared" si="29"/>
        <v>4</v>
      </c>
    </row>
    <row r="1560" spans="1:8">
      <c r="A1560" s="107">
        <v>2</v>
      </c>
      <c r="B1560" s="107">
        <v>22</v>
      </c>
      <c r="C1560" s="107">
        <v>12</v>
      </c>
      <c r="D1560" s="107">
        <v>1</v>
      </c>
      <c r="E1560" s="107" t="s">
        <v>291</v>
      </c>
      <c r="F1560" s="107" t="s">
        <v>292</v>
      </c>
      <c r="G1560" s="161">
        <v>45353</v>
      </c>
      <c r="H1560" s="107">
        <f t="shared" si="29"/>
        <v>4</v>
      </c>
    </row>
    <row r="1561" spans="1:8">
      <c r="A1561" s="107">
        <v>2</v>
      </c>
      <c r="B1561" s="107">
        <v>22</v>
      </c>
      <c r="C1561" s="107">
        <v>12</v>
      </c>
      <c r="D1561" s="107">
        <v>2</v>
      </c>
      <c r="E1561" s="107" t="s">
        <v>291</v>
      </c>
      <c r="F1561" s="107" t="s">
        <v>292</v>
      </c>
      <c r="G1561" s="161">
        <v>45353</v>
      </c>
      <c r="H1561" s="107">
        <f t="shared" si="29"/>
        <v>4</v>
      </c>
    </row>
    <row r="1562" spans="1:8">
      <c r="A1562" s="107">
        <v>2</v>
      </c>
      <c r="B1562" s="107">
        <v>22</v>
      </c>
      <c r="C1562" s="107">
        <v>12</v>
      </c>
      <c r="D1562" s="107">
        <v>3</v>
      </c>
      <c r="E1562" s="107" t="s">
        <v>291</v>
      </c>
      <c r="F1562" s="107" t="s">
        <v>292</v>
      </c>
      <c r="G1562" s="161">
        <v>45353</v>
      </c>
      <c r="H1562" s="107">
        <f t="shared" si="29"/>
        <v>4</v>
      </c>
    </row>
    <row r="1563" spans="1:8">
      <c r="A1563" s="107">
        <v>2</v>
      </c>
      <c r="B1563" s="107">
        <v>22</v>
      </c>
      <c r="C1563" s="107">
        <v>12</v>
      </c>
      <c r="D1563" s="107">
        <v>4</v>
      </c>
      <c r="E1563" s="107" t="s">
        <v>291</v>
      </c>
      <c r="F1563" s="107" t="s">
        <v>292</v>
      </c>
      <c r="G1563" s="161">
        <v>45353</v>
      </c>
      <c r="H1563" s="107">
        <f t="shared" si="29"/>
        <v>4</v>
      </c>
    </row>
    <row r="1564" spans="1:8">
      <c r="A1564" s="107">
        <v>2</v>
      </c>
      <c r="B1564" s="107">
        <v>22</v>
      </c>
      <c r="C1564" s="107">
        <v>13</v>
      </c>
      <c r="D1564" s="107">
        <v>1</v>
      </c>
      <c r="E1564" s="107" t="s">
        <v>717</v>
      </c>
      <c r="F1564" s="107" t="s">
        <v>718</v>
      </c>
      <c r="G1564" s="161">
        <v>45353</v>
      </c>
      <c r="H1564" s="107">
        <f t="shared" si="29"/>
        <v>4</v>
      </c>
    </row>
    <row r="1565" spans="1:8">
      <c r="A1565" s="107">
        <v>2</v>
      </c>
      <c r="B1565" s="107">
        <v>22</v>
      </c>
      <c r="C1565" s="107">
        <v>13</v>
      </c>
      <c r="D1565" s="107">
        <v>2</v>
      </c>
      <c r="E1565" s="107" t="s">
        <v>717</v>
      </c>
      <c r="F1565" s="107" t="s">
        <v>718</v>
      </c>
      <c r="G1565" s="161">
        <v>45353</v>
      </c>
      <c r="H1565" s="107">
        <f t="shared" si="29"/>
        <v>4</v>
      </c>
    </row>
    <row r="1566" spans="1:8">
      <c r="A1566" s="107">
        <v>2</v>
      </c>
      <c r="B1566" s="107">
        <v>22</v>
      </c>
      <c r="C1566" s="107">
        <v>13</v>
      </c>
      <c r="D1566" s="107">
        <v>3</v>
      </c>
      <c r="E1566" s="107" t="s">
        <v>717</v>
      </c>
      <c r="F1566" s="107" t="s">
        <v>718</v>
      </c>
      <c r="G1566" s="161">
        <v>45353</v>
      </c>
      <c r="H1566" s="107">
        <f t="shared" si="29"/>
        <v>4</v>
      </c>
    </row>
    <row r="1567" spans="1:8">
      <c r="A1567" s="107">
        <v>2</v>
      </c>
      <c r="B1567" s="107">
        <v>22</v>
      </c>
      <c r="C1567" s="107">
        <v>13</v>
      </c>
      <c r="D1567" s="107">
        <v>4</v>
      </c>
      <c r="E1567" s="107" t="s">
        <v>717</v>
      </c>
      <c r="F1567" s="107" t="s">
        <v>718</v>
      </c>
      <c r="G1567" s="161">
        <v>45353</v>
      </c>
      <c r="H1567" s="107">
        <f t="shared" si="29"/>
        <v>4</v>
      </c>
    </row>
    <row r="1568" spans="1:8">
      <c r="A1568" s="107">
        <v>2</v>
      </c>
      <c r="B1568" s="107">
        <v>22</v>
      </c>
      <c r="C1568" s="107">
        <v>14</v>
      </c>
      <c r="D1568" s="107">
        <v>1</v>
      </c>
      <c r="E1568" s="107" t="s">
        <v>473</v>
      </c>
      <c r="F1568" s="107" t="s">
        <v>474</v>
      </c>
      <c r="G1568" s="161">
        <v>45354</v>
      </c>
      <c r="H1568" s="107">
        <f t="shared" si="29"/>
        <v>5</v>
      </c>
    </row>
    <row r="1569" spans="1:8">
      <c r="A1569" s="107">
        <v>2</v>
      </c>
      <c r="B1569" s="107">
        <v>22</v>
      </c>
      <c r="C1569" s="107">
        <v>14</v>
      </c>
      <c r="D1569" s="107">
        <v>2</v>
      </c>
      <c r="E1569" s="107" t="s">
        <v>473</v>
      </c>
      <c r="F1569" s="107" t="s">
        <v>474</v>
      </c>
      <c r="G1569" s="161">
        <v>45353</v>
      </c>
      <c r="H1569" s="107">
        <f t="shared" si="29"/>
        <v>4</v>
      </c>
    </row>
    <row r="1570" spans="1:8">
      <c r="A1570" s="107">
        <v>2</v>
      </c>
      <c r="B1570" s="107">
        <v>22</v>
      </c>
      <c r="C1570" s="107">
        <v>14</v>
      </c>
      <c r="D1570" s="107">
        <v>3</v>
      </c>
      <c r="E1570" s="107" t="s">
        <v>473</v>
      </c>
      <c r="F1570" s="107" t="s">
        <v>474</v>
      </c>
      <c r="G1570" s="161">
        <v>45353</v>
      </c>
      <c r="H1570" s="107">
        <f t="shared" si="29"/>
        <v>4</v>
      </c>
    </row>
    <row r="1571" spans="1:8">
      <c r="A1571" s="107">
        <v>2</v>
      </c>
      <c r="B1571" s="107">
        <v>22</v>
      </c>
      <c r="C1571" s="107">
        <v>14</v>
      </c>
      <c r="D1571" s="107">
        <v>4</v>
      </c>
      <c r="E1571" s="107" t="s">
        <v>473</v>
      </c>
      <c r="F1571" s="107" t="s">
        <v>474</v>
      </c>
      <c r="G1571" s="161">
        <v>45353</v>
      </c>
      <c r="H1571" s="107">
        <f t="shared" si="29"/>
        <v>4</v>
      </c>
    </row>
    <row r="1572" spans="1:8">
      <c r="A1572" s="107">
        <v>2</v>
      </c>
      <c r="B1572" s="107">
        <v>22</v>
      </c>
      <c r="C1572" s="107">
        <v>15</v>
      </c>
      <c r="D1572" s="107">
        <v>1</v>
      </c>
      <c r="E1572" s="107" t="s">
        <v>519</v>
      </c>
      <c r="F1572" s="107" t="s">
        <v>503</v>
      </c>
      <c r="G1572" s="161">
        <v>45354</v>
      </c>
      <c r="H1572" s="107">
        <f t="shared" si="29"/>
        <v>5</v>
      </c>
    </row>
    <row r="1573" spans="1:8">
      <c r="A1573" s="107">
        <v>2</v>
      </c>
      <c r="B1573" s="107">
        <v>22</v>
      </c>
      <c r="C1573" s="107">
        <v>15</v>
      </c>
      <c r="D1573" s="107">
        <v>2</v>
      </c>
      <c r="E1573" s="107" t="s">
        <v>519</v>
      </c>
      <c r="F1573" s="107" t="s">
        <v>503</v>
      </c>
      <c r="G1573" s="161">
        <v>45354</v>
      </c>
      <c r="H1573" s="107">
        <f t="shared" si="29"/>
        <v>5</v>
      </c>
    </row>
    <row r="1574" spans="1:8">
      <c r="A1574" s="107">
        <v>2</v>
      </c>
      <c r="B1574" s="107">
        <v>22</v>
      </c>
      <c r="C1574" s="107">
        <v>15</v>
      </c>
      <c r="D1574" s="107">
        <v>3</v>
      </c>
      <c r="E1574" s="107" t="s">
        <v>519</v>
      </c>
      <c r="F1574" s="107" t="s">
        <v>503</v>
      </c>
      <c r="G1574" s="161">
        <v>45354</v>
      </c>
      <c r="H1574" s="107">
        <f t="shared" si="29"/>
        <v>5</v>
      </c>
    </row>
    <row r="1575" spans="1:8">
      <c r="A1575" s="107">
        <v>2</v>
      </c>
      <c r="B1575" s="107">
        <v>22</v>
      </c>
      <c r="C1575" s="107">
        <v>15</v>
      </c>
      <c r="D1575" s="107">
        <v>4</v>
      </c>
      <c r="E1575" s="107" t="s">
        <v>519</v>
      </c>
      <c r="F1575" s="107" t="s">
        <v>503</v>
      </c>
      <c r="G1575" s="161">
        <v>45353</v>
      </c>
      <c r="H1575" s="107">
        <f t="shared" si="29"/>
        <v>4</v>
      </c>
    </row>
    <row r="1576" spans="1:8">
      <c r="A1576" s="107">
        <v>2</v>
      </c>
      <c r="B1576" s="107">
        <v>22</v>
      </c>
      <c r="C1576" s="107">
        <v>16</v>
      </c>
      <c r="D1576" s="107">
        <v>1</v>
      </c>
      <c r="E1576" s="107" t="s">
        <v>554</v>
      </c>
      <c r="F1576" s="107" t="s">
        <v>555</v>
      </c>
      <c r="G1576" s="161">
        <v>45354</v>
      </c>
      <c r="H1576" s="107">
        <f t="shared" si="29"/>
        <v>5</v>
      </c>
    </row>
    <row r="1577" spans="1:8">
      <c r="A1577" s="107">
        <v>2</v>
      </c>
      <c r="B1577" s="107">
        <v>22</v>
      </c>
      <c r="C1577" s="107">
        <v>16</v>
      </c>
      <c r="D1577" s="107">
        <v>2</v>
      </c>
      <c r="E1577" s="107" t="s">
        <v>554</v>
      </c>
      <c r="F1577" s="107" t="s">
        <v>555</v>
      </c>
      <c r="G1577" s="161">
        <v>45354</v>
      </c>
      <c r="H1577" s="107">
        <f t="shared" si="29"/>
        <v>5</v>
      </c>
    </row>
    <row r="1578" spans="1:8">
      <c r="A1578" s="107">
        <v>2</v>
      </c>
      <c r="B1578" s="107">
        <v>22</v>
      </c>
      <c r="C1578" s="107">
        <v>16</v>
      </c>
      <c r="D1578" s="107">
        <v>3</v>
      </c>
      <c r="E1578" s="107" t="s">
        <v>554</v>
      </c>
      <c r="F1578" s="107" t="s">
        <v>555</v>
      </c>
      <c r="G1578" s="161">
        <v>45354</v>
      </c>
      <c r="H1578" s="107">
        <f t="shared" si="29"/>
        <v>5</v>
      </c>
    </row>
    <row r="1579" spans="1:8">
      <c r="A1579" s="107">
        <v>2</v>
      </c>
      <c r="B1579" s="107">
        <v>22</v>
      </c>
      <c r="C1579" s="107">
        <v>16</v>
      </c>
      <c r="D1579" s="107">
        <v>4</v>
      </c>
      <c r="E1579" s="107" t="s">
        <v>554</v>
      </c>
      <c r="F1579" s="107" t="s">
        <v>555</v>
      </c>
      <c r="G1579" s="161">
        <v>45353</v>
      </c>
      <c r="H1579" s="107">
        <f t="shared" si="29"/>
        <v>4</v>
      </c>
    </row>
    <row r="1580" spans="1:8">
      <c r="A1580" s="107">
        <v>2</v>
      </c>
      <c r="B1580" s="107">
        <v>22</v>
      </c>
      <c r="C1580" s="107">
        <v>17</v>
      </c>
      <c r="D1580" s="107">
        <v>1</v>
      </c>
      <c r="E1580" s="107" t="s">
        <v>399</v>
      </c>
      <c r="F1580" s="107" t="s">
        <v>400</v>
      </c>
      <c r="G1580" s="161">
        <v>45353</v>
      </c>
      <c r="H1580" s="107">
        <f t="shared" si="29"/>
        <v>4</v>
      </c>
    </row>
    <row r="1581" spans="1:8">
      <c r="A1581" s="107">
        <v>2</v>
      </c>
      <c r="B1581" s="107">
        <v>22</v>
      </c>
      <c r="C1581" s="107">
        <v>17</v>
      </c>
      <c r="D1581" s="107">
        <v>2</v>
      </c>
      <c r="E1581" s="107" t="s">
        <v>399</v>
      </c>
      <c r="F1581" s="107" t="s">
        <v>400</v>
      </c>
      <c r="G1581" s="161">
        <v>45353</v>
      </c>
      <c r="H1581" s="107">
        <f t="shared" si="29"/>
        <v>4</v>
      </c>
    </row>
    <row r="1582" spans="1:8">
      <c r="A1582" s="107">
        <v>2</v>
      </c>
      <c r="B1582" s="107">
        <v>22</v>
      </c>
      <c r="C1582" s="107">
        <v>17</v>
      </c>
      <c r="D1582" s="107">
        <v>3</v>
      </c>
      <c r="E1582" s="107" t="s">
        <v>399</v>
      </c>
      <c r="F1582" s="107" t="s">
        <v>400</v>
      </c>
      <c r="G1582" s="161">
        <v>45353</v>
      </c>
      <c r="H1582" s="107">
        <f t="shared" si="29"/>
        <v>4</v>
      </c>
    </row>
    <row r="1583" spans="1:8">
      <c r="A1583" s="107">
        <v>2</v>
      </c>
      <c r="B1583" s="107">
        <v>22</v>
      </c>
      <c r="C1583" s="107">
        <v>17</v>
      </c>
      <c r="D1583" s="107">
        <v>4</v>
      </c>
      <c r="E1583" s="107" t="s">
        <v>399</v>
      </c>
      <c r="F1583" s="107" t="s">
        <v>400</v>
      </c>
      <c r="G1583" s="161">
        <v>45353</v>
      </c>
      <c r="H1583" s="107">
        <f t="shared" si="29"/>
        <v>4</v>
      </c>
    </row>
    <row r="1584" spans="1:8">
      <c r="A1584" s="107">
        <v>2</v>
      </c>
      <c r="B1584" s="107">
        <v>22</v>
      </c>
      <c r="C1584" s="107">
        <v>18</v>
      </c>
      <c r="D1584" s="107">
        <v>1</v>
      </c>
      <c r="E1584" s="107" t="s">
        <v>248</v>
      </c>
      <c r="F1584" s="107" t="s">
        <v>249</v>
      </c>
      <c r="G1584" s="161">
        <v>45355</v>
      </c>
      <c r="H1584" s="107">
        <f t="shared" si="29"/>
        <v>6</v>
      </c>
    </row>
    <row r="1585" spans="1:8">
      <c r="A1585" s="107">
        <v>2</v>
      </c>
      <c r="B1585" s="107">
        <v>22</v>
      </c>
      <c r="C1585" s="107">
        <v>18</v>
      </c>
      <c r="D1585" s="107">
        <v>2</v>
      </c>
      <c r="E1585" s="107" t="s">
        <v>248</v>
      </c>
      <c r="F1585" s="107" t="s">
        <v>249</v>
      </c>
      <c r="G1585" s="107"/>
      <c r="H1585" s="107"/>
    </row>
    <row r="1586" spans="1:8">
      <c r="A1586" s="107">
        <v>2</v>
      </c>
      <c r="B1586" s="107">
        <v>22</v>
      </c>
      <c r="C1586" s="107">
        <v>18</v>
      </c>
      <c r="D1586" s="107">
        <v>3</v>
      </c>
      <c r="E1586" s="107" t="s">
        <v>248</v>
      </c>
      <c r="F1586" s="107" t="s">
        <v>249</v>
      </c>
      <c r="G1586" s="161">
        <v>45354</v>
      </c>
      <c r="H1586" s="107">
        <f t="shared" si="29"/>
        <v>5</v>
      </c>
    </row>
    <row r="1587" spans="1:8">
      <c r="A1587" s="107">
        <v>2</v>
      </c>
      <c r="B1587" s="107">
        <v>22</v>
      </c>
      <c r="C1587" s="107">
        <v>18</v>
      </c>
      <c r="D1587" s="107">
        <v>4</v>
      </c>
      <c r="E1587" s="107" t="s">
        <v>248</v>
      </c>
      <c r="F1587" s="107" t="s">
        <v>249</v>
      </c>
      <c r="G1587" s="161">
        <v>45359</v>
      </c>
      <c r="H1587" s="107">
        <f t="shared" si="29"/>
        <v>10</v>
      </c>
    </row>
    <row r="1588" spans="1:8">
      <c r="A1588" s="107">
        <v>2</v>
      </c>
      <c r="B1588" s="107">
        <v>23</v>
      </c>
      <c r="C1588" s="107">
        <v>1</v>
      </c>
      <c r="D1588" s="107">
        <v>1</v>
      </c>
      <c r="E1588" s="107" t="s">
        <v>666</v>
      </c>
      <c r="F1588" s="107" t="s">
        <v>667</v>
      </c>
      <c r="G1588" s="161">
        <v>45353</v>
      </c>
      <c r="H1588" s="107">
        <f t="shared" si="29"/>
        <v>4</v>
      </c>
    </row>
    <row r="1589" spans="1:8">
      <c r="A1589" s="107">
        <v>2</v>
      </c>
      <c r="B1589" s="107">
        <v>23</v>
      </c>
      <c r="C1589" s="107">
        <v>1</v>
      </c>
      <c r="D1589" s="107">
        <v>2</v>
      </c>
      <c r="E1589" s="107" t="s">
        <v>666</v>
      </c>
      <c r="F1589" s="107" t="s">
        <v>667</v>
      </c>
      <c r="G1589" s="161">
        <v>45353</v>
      </c>
      <c r="H1589" s="107">
        <f t="shared" si="29"/>
        <v>4</v>
      </c>
    </row>
    <row r="1590" spans="1:8">
      <c r="A1590" s="107">
        <v>2</v>
      </c>
      <c r="B1590" s="107">
        <v>23</v>
      </c>
      <c r="C1590" s="107">
        <v>1</v>
      </c>
      <c r="D1590" s="107">
        <v>3</v>
      </c>
      <c r="E1590" s="107" t="s">
        <v>666</v>
      </c>
      <c r="F1590" s="107" t="s">
        <v>667</v>
      </c>
      <c r="G1590" s="161">
        <v>45353</v>
      </c>
      <c r="H1590" s="107">
        <f t="shared" si="29"/>
        <v>4</v>
      </c>
    </row>
    <row r="1591" spans="1:8">
      <c r="A1591" s="107">
        <v>2</v>
      </c>
      <c r="B1591" s="107">
        <v>23</v>
      </c>
      <c r="C1591" s="107">
        <v>1</v>
      </c>
      <c r="D1591" s="107">
        <v>4</v>
      </c>
      <c r="E1591" s="107" t="s">
        <v>666</v>
      </c>
      <c r="F1591" s="107" t="s">
        <v>667</v>
      </c>
      <c r="G1591" s="161">
        <v>45354</v>
      </c>
      <c r="H1591" s="107">
        <f t="shared" si="29"/>
        <v>5</v>
      </c>
    </row>
    <row r="1592" spans="1:8">
      <c r="A1592" s="107">
        <v>2</v>
      </c>
      <c r="B1592" s="107">
        <v>23</v>
      </c>
      <c r="C1592" s="107">
        <v>2</v>
      </c>
      <c r="D1592" s="107">
        <v>1</v>
      </c>
      <c r="E1592" s="107" t="s">
        <v>546</v>
      </c>
      <c r="F1592" s="107" t="s">
        <v>547</v>
      </c>
      <c r="G1592" s="161">
        <v>45353</v>
      </c>
      <c r="H1592" s="107">
        <f t="shared" si="29"/>
        <v>4</v>
      </c>
    </row>
    <row r="1593" spans="1:8">
      <c r="A1593" s="107">
        <v>2</v>
      </c>
      <c r="B1593" s="107">
        <v>23</v>
      </c>
      <c r="C1593" s="107">
        <v>2</v>
      </c>
      <c r="D1593" s="107">
        <v>2</v>
      </c>
      <c r="E1593" s="107" t="s">
        <v>546</v>
      </c>
      <c r="F1593" s="107" t="s">
        <v>547</v>
      </c>
      <c r="G1593" s="161">
        <v>45355</v>
      </c>
      <c r="H1593" s="107">
        <f t="shared" si="29"/>
        <v>6</v>
      </c>
    </row>
    <row r="1594" spans="1:8">
      <c r="A1594" s="107">
        <v>2</v>
      </c>
      <c r="B1594" s="107">
        <v>23</v>
      </c>
      <c r="C1594" s="107">
        <v>2</v>
      </c>
      <c r="D1594" s="107">
        <v>3</v>
      </c>
      <c r="E1594" s="107" t="s">
        <v>546</v>
      </c>
      <c r="F1594" s="107" t="s">
        <v>547</v>
      </c>
      <c r="G1594" s="161">
        <v>45355</v>
      </c>
      <c r="H1594" s="107">
        <f t="shared" si="29"/>
        <v>6</v>
      </c>
    </row>
    <row r="1595" spans="1:8">
      <c r="A1595" s="107">
        <v>2</v>
      </c>
      <c r="B1595" s="107">
        <v>23</v>
      </c>
      <c r="C1595" s="107">
        <v>2</v>
      </c>
      <c r="D1595" s="107">
        <v>4</v>
      </c>
      <c r="E1595" s="107" t="s">
        <v>546</v>
      </c>
      <c r="F1595" s="107" t="s">
        <v>547</v>
      </c>
      <c r="G1595" s="107"/>
      <c r="H1595" s="107"/>
    </row>
    <row r="1596" spans="1:8">
      <c r="A1596" s="107">
        <v>2</v>
      </c>
      <c r="B1596" s="107">
        <v>23</v>
      </c>
      <c r="C1596" s="107">
        <v>3</v>
      </c>
      <c r="D1596" s="107">
        <v>1</v>
      </c>
      <c r="E1596" s="107" t="s">
        <v>180</v>
      </c>
      <c r="F1596" s="107" t="s">
        <v>181</v>
      </c>
      <c r="G1596" s="161">
        <v>45353</v>
      </c>
      <c r="H1596" s="107">
        <f t="shared" si="29"/>
        <v>4</v>
      </c>
    </row>
    <row r="1597" spans="1:8">
      <c r="A1597" s="107">
        <v>2</v>
      </c>
      <c r="B1597" s="107">
        <v>23</v>
      </c>
      <c r="C1597" s="107">
        <v>3</v>
      </c>
      <c r="D1597" s="107">
        <v>2</v>
      </c>
      <c r="E1597" s="107" t="s">
        <v>180</v>
      </c>
      <c r="F1597" s="107" t="s">
        <v>181</v>
      </c>
      <c r="G1597" s="161">
        <v>45354</v>
      </c>
      <c r="H1597" s="107">
        <f t="shared" si="29"/>
        <v>5</v>
      </c>
    </row>
    <row r="1598" spans="1:8">
      <c r="A1598" s="107">
        <v>2</v>
      </c>
      <c r="B1598" s="107">
        <v>23</v>
      </c>
      <c r="C1598" s="107">
        <v>3</v>
      </c>
      <c r="D1598" s="107">
        <v>3</v>
      </c>
      <c r="E1598" s="107" t="s">
        <v>180</v>
      </c>
      <c r="F1598" s="107" t="s">
        <v>181</v>
      </c>
      <c r="G1598" s="161">
        <v>45353</v>
      </c>
      <c r="H1598" s="107">
        <f t="shared" si="29"/>
        <v>4</v>
      </c>
    </row>
    <row r="1599" spans="1:8">
      <c r="A1599" s="107">
        <v>2</v>
      </c>
      <c r="B1599" s="107">
        <v>23</v>
      </c>
      <c r="C1599" s="107">
        <v>3</v>
      </c>
      <c r="D1599" s="107">
        <v>4</v>
      </c>
      <c r="E1599" s="107" t="s">
        <v>180</v>
      </c>
      <c r="F1599" s="107" t="s">
        <v>181</v>
      </c>
      <c r="G1599" s="161">
        <v>45354</v>
      </c>
      <c r="H1599" s="107">
        <f t="shared" si="29"/>
        <v>5</v>
      </c>
    </row>
    <row r="1600" spans="1:8">
      <c r="A1600" s="107">
        <v>2</v>
      </c>
      <c r="B1600" s="107">
        <v>23</v>
      </c>
      <c r="C1600" s="107">
        <v>4</v>
      </c>
      <c r="D1600" s="107">
        <v>1</v>
      </c>
      <c r="E1600" s="107" t="s">
        <v>130</v>
      </c>
      <c r="F1600" s="107" t="s">
        <v>132</v>
      </c>
      <c r="G1600" s="107"/>
      <c r="H1600" s="107"/>
    </row>
    <row r="1601" spans="1:8">
      <c r="A1601" s="107">
        <v>2</v>
      </c>
      <c r="B1601" s="107">
        <v>23</v>
      </c>
      <c r="C1601" s="107">
        <v>4</v>
      </c>
      <c r="D1601" s="107">
        <v>2</v>
      </c>
      <c r="E1601" s="107" t="s">
        <v>130</v>
      </c>
      <c r="F1601" s="107" t="s">
        <v>132</v>
      </c>
      <c r="G1601" s="107"/>
      <c r="H1601" s="107"/>
    </row>
    <row r="1602" spans="1:8">
      <c r="A1602" s="107">
        <v>2</v>
      </c>
      <c r="B1602" s="107">
        <v>23</v>
      </c>
      <c r="C1602" s="107">
        <v>4</v>
      </c>
      <c r="D1602" s="107">
        <v>3</v>
      </c>
      <c r="E1602" s="107" t="s">
        <v>130</v>
      </c>
      <c r="F1602" s="107" t="s">
        <v>132</v>
      </c>
      <c r="G1602" s="161">
        <v>45354</v>
      </c>
      <c r="H1602" s="107">
        <f t="shared" si="29"/>
        <v>5</v>
      </c>
    </row>
    <row r="1603" spans="1:8">
      <c r="A1603" s="107">
        <v>2</v>
      </c>
      <c r="B1603" s="107">
        <v>23</v>
      </c>
      <c r="C1603" s="107">
        <v>4</v>
      </c>
      <c r="D1603" s="107">
        <v>4</v>
      </c>
      <c r="E1603" s="107" t="s">
        <v>130</v>
      </c>
      <c r="F1603" s="107" t="s">
        <v>132</v>
      </c>
      <c r="G1603" s="161">
        <v>45357</v>
      </c>
      <c r="H1603" s="107">
        <f t="shared" si="29"/>
        <v>8</v>
      </c>
    </row>
    <row r="1604" spans="1:8">
      <c r="A1604" s="107">
        <v>2</v>
      </c>
      <c r="B1604" s="107">
        <v>23</v>
      </c>
      <c r="C1604" s="107">
        <v>5</v>
      </c>
      <c r="D1604" s="107">
        <v>1</v>
      </c>
      <c r="E1604" s="107" t="s">
        <v>391</v>
      </c>
      <c r="F1604" s="107" t="s">
        <v>392</v>
      </c>
      <c r="G1604" s="161">
        <v>45353</v>
      </c>
      <c r="H1604" s="107">
        <f t="shared" si="29"/>
        <v>4</v>
      </c>
    </row>
    <row r="1605" spans="1:8">
      <c r="A1605" s="107">
        <v>2</v>
      </c>
      <c r="B1605" s="107">
        <v>23</v>
      </c>
      <c r="C1605" s="107">
        <v>5</v>
      </c>
      <c r="D1605" s="107">
        <v>2</v>
      </c>
      <c r="E1605" s="107" t="s">
        <v>391</v>
      </c>
      <c r="F1605" s="107" t="s">
        <v>392</v>
      </c>
      <c r="G1605" s="161">
        <v>45354</v>
      </c>
      <c r="H1605" s="107">
        <f t="shared" ref="H1605:H1668" si="30">DATEDIF($H$2,G1605,"d")</f>
        <v>5</v>
      </c>
    </row>
    <row r="1606" spans="1:8">
      <c r="A1606" s="107">
        <v>2</v>
      </c>
      <c r="B1606" s="107">
        <v>23</v>
      </c>
      <c r="C1606" s="107">
        <v>5</v>
      </c>
      <c r="D1606" s="107">
        <v>3</v>
      </c>
      <c r="E1606" s="107" t="s">
        <v>391</v>
      </c>
      <c r="F1606" s="107" t="s">
        <v>392</v>
      </c>
      <c r="G1606" s="161">
        <v>45354</v>
      </c>
      <c r="H1606" s="107">
        <f t="shared" si="30"/>
        <v>5</v>
      </c>
    </row>
    <row r="1607" spans="1:8">
      <c r="A1607" s="107">
        <v>2</v>
      </c>
      <c r="B1607" s="107">
        <v>23</v>
      </c>
      <c r="C1607" s="107">
        <v>5</v>
      </c>
      <c r="D1607" s="107">
        <v>4</v>
      </c>
      <c r="E1607" s="107" t="s">
        <v>391</v>
      </c>
      <c r="F1607" s="107" t="s">
        <v>392</v>
      </c>
      <c r="G1607" s="161">
        <v>45353</v>
      </c>
      <c r="H1607" s="107">
        <f t="shared" si="30"/>
        <v>4</v>
      </c>
    </row>
    <row r="1608" spans="1:8">
      <c r="A1608" s="107">
        <v>2</v>
      </c>
      <c r="B1608" s="107">
        <v>23</v>
      </c>
      <c r="C1608" s="107">
        <v>6</v>
      </c>
      <c r="D1608" s="107">
        <v>1</v>
      </c>
      <c r="E1608" s="107" t="s">
        <v>264</v>
      </c>
      <c r="F1608" s="107" t="s">
        <v>265</v>
      </c>
      <c r="G1608" s="161">
        <v>45353</v>
      </c>
      <c r="H1608" s="107">
        <f t="shared" si="30"/>
        <v>4</v>
      </c>
    </row>
    <row r="1609" spans="1:8">
      <c r="A1609" s="107">
        <v>2</v>
      </c>
      <c r="B1609" s="107">
        <v>23</v>
      </c>
      <c r="C1609" s="107">
        <v>6</v>
      </c>
      <c r="D1609" s="107">
        <v>2</v>
      </c>
      <c r="E1609" s="107" t="s">
        <v>264</v>
      </c>
      <c r="F1609" s="107" t="s">
        <v>265</v>
      </c>
      <c r="G1609" s="161">
        <v>45353</v>
      </c>
      <c r="H1609" s="107">
        <f t="shared" si="30"/>
        <v>4</v>
      </c>
    </row>
    <row r="1610" spans="1:8">
      <c r="A1610" s="107">
        <v>2</v>
      </c>
      <c r="B1610" s="107">
        <v>23</v>
      </c>
      <c r="C1610" s="107">
        <v>6</v>
      </c>
      <c r="D1610" s="107">
        <v>3</v>
      </c>
      <c r="E1610" s="107" t="s">
        <v>264</v>
      </c>
      <c r="F1610" s="107" t="s">
        <v>265</v>
      </c>
      <c r="G1610" s="161">
        <v>45353</v>
      </c>
      <c r="H1610" s="107">
        <f t="shared" si="30"/>
        <v>4</v>
      </c>
    </row>
    <row r="1611" spans="1:8">
      <c r="A1611" s="107">
        <v>2</v>
      </c>
      <c r="B1611" s="107">
        <v>23</v>
      </c>
      <c r="C1611" s="107">
        <v>6</v>
      </c>
      <c r="D1611" s="107">
        <v>4</v>
      </c>
      <c r="E1611" s="107" t="s">
        <v>264</v>
      </c>
      <c r="F1611" s="107" t="s">
        <v>265</v>
      </c>
      <c r="G1611" s="161">
        <v>45353</v>
      </c>
      <c r="H1611" s="107">
        <f t="shared" si="30"/>
        <v>4</v>
      </c>
    </row>
    <row r="1612" spans="1:8">
      <c r="A1612" s="107">
        <v>2</v>
      </c>
      <c r="B1612" s="107">
        <v>23</v>
      </c>
      <c r="C1612" s="107">
        <v>7</v>
      </c>
      <c r="D1612" s="107">
        <v>1</v>
      </c>
      <c r="E1612" s="107" t="s">
        <v>537</v>
      </c>
      <c r="F1612" s="107" t="s">
        <v>534</v>
      </c>
      <c r="G1612" s="161">
        <v>45354</v>
      </c>
      <c r="H1612" s="107">
        <f t="shared" si="30"/>
        <v>5</v>
      </c>
    </row>
    <row r="1613" spans="1:8">
      <c r="A1613" s="107">
        <v>2</v>
      </c>
      <c r="B1613" s="107">
        <v>23</v>
      </c>
      <c r="C1613" s="107">
        <v>7</v>
      </c>
      <c r="D1613" s="107">
        <v>2</v>
      </c>
      <c r="E1613" s="107" t="s">
        <v>537</v>
      </c>
      <c r="F1613" s="107" t="s">
        <v>534</v>
      </c>
      <c r="G1613" s="161">
        <v>45354</v>
      </c>
      <c r="H1613" s="107">
        <f t="shared" si="30"/>
        <v>5</v>
      </c>
    </row>
    <row r="1614" spans="1:8">
      <c r="A1614" s="107">
        <v>2</v>
      </c>
      <c r="B1614" s="107">
        <v>23</v>
      </c>
      <c r="C1614" s="107">
        <v>7</v>
      </c>
      <c r="D1614" s="107">
        <v>3</v>
      </c>
      <c r="E1614" s="107" t="s">
        <v>537</v>
      </c>
      <c r="F1614" s="107" t="s">
        <v>534</v>
      </c>
      <c r="G1614" s="161">
        <v>45354</v>
      </c>
      <c r="H1614" s="107">
        <f t="shared" si="30"/>
        <v>5</v>
      </c>
    </row>
    <row r="1615" spans="1:8">
      <c r="A1615" s="107">
        <v>2</v>
      </c>
      <c r="B1615" s="107">
        <v>23</v>
      </c>
      <c r="C1615" s="107">
        <v>7</v>
      </c>
      <c r="D1615" s="107">
        <v>4</v>
      </c>
      <c r="E1615" s="107" t="s">
        <v>537</v>
      </c>
      <c r="F1615" s="107" t="s">
        <v>534</v>
      </c>
      <c r="G1615" s="161">
        <v>45354</v>
      </c>
      <c r="H1615" s="107">
        <f t="shared" si="30"/>
        <v>5</v>
      </c>
    </row>
    <row r="1616" spans="1:8">
      <c r="A1616" s="107">
        <v>2</v>
      </c>
      <c r="B1616" s="107">
        <v>23</v>
      </c>
      <c r="C1616" s="107">
        <v>8</v>
      </c>
      <c r="D1616" s="107">
        <v>1</v>
      </c>
      <c r="E1616" s="107" t="s">
        <v>694</v>
      </c>
      <c r="F1616" s="107" t="s">
        <v>695</v>
      </c>
      <c r="G1616" s="161">
        <v>45354</v>
      </c>
      <c r="H1616" s="107">
        <f t="shared" si="30"/>
        <v>5</v>
      </c>
    </row>
    <row r="1617" spans="1:8">
      <c r="A1617" s="107">
        <v>2</v>
      </c>
      <c r="B1617" s="107">
        <v>23</v>
      </c>
      <c r="C1617" s="107">
        <v>8</v>
      </c>
      <c r="D1617" s="107">
        <v>2</v>
      </c>
      <c r="E1617" s="107" t="s">
        <v>694</v>
      </c>
      <c r="F1617" s="107" t="s">
        <v>695</v>
      </c>
      <c r="G1617" s="161">
        <v>45353</v>
      </c>
      <c r="H1617" s="107">
        <f t="shared" si="30"/>
        <v>4</v>
      </c>
    </row>
    <row r="1618" spans="1:8">
      <c r="A1618" s="107">
        <v>2</v>
      </c>
      <c r="B1618" s="107">
        <v>23</v>
      </c>
      <c r="C1618" s="107">
        <v>8</v>
      </c>
      <c r="D1618" s="107">
        <v>3</v>
      </c>
      <c r="E1618" s="107" t="s">
        <v>694</v>
      </c>
      <c r="F1618" s="107" t="s">
        <v>695</v>
      </c>
      <c r="G1618" s="107"/>
      <c r="H1618" s="107"/>
    </row>
    <row r="1619" spans="1:8">
      <c r="A1619" s="107">
        <v>2</v>
      </c>
      <c r="B1619" s="107">
        <v>23</v>
      </c>
      <c r="C1619" s="107">
        <v>8</v>
      </c>
      <c r="D1619" s="107">
        <v>4</v>
      </c>
      <c r="E1619" s="107" t="s">
        <v>694</v>
      </c>
      <c r="F1619" s="107" t="s">
        <v>695</v>
      </c>
      <c r="G1619" s="161">
        <v>45360</v>
      </c>
      <c r="H1619" s="107">
        <f t="shared" si="30"/>
        <v>11</v>
      </c>
    </row>
    <row r="1620" spans="1:8">
      <c r="A1620" s="107">
        <v>2</v>
      </c>
      <c r="B1620" s="107">
        <v>23</v>
      </c>
      <c r="C1620" s="107">
        <v>9</v>
      </c>
      <c r="D1620" s="107">
        <v>1</v>
      </c>
      <c r="E1620" s="107" t="s">
        <v>600</v>
      </c>
      <c r="F1620" s="107" t="s">
        <v>601</v>
      </c>
      <c r="G1620" s="161">
        <v>45354</v>
      </c>
      <c r="H1620" s="107">
        <f t="shared" si="30"/>
        <v>5</v>
      </c>
    </row>
    <row r="1621" spans="1:8">
      <c r="A1621" s="107">
        <v>2</v>
      </c>
      <c r="B1621" s="107">
        <v>23</v>
      </c>
      <c r="C1621" s="107">
        <v>9</v>
      </c>
      <c r="D1621" s="107">
        <v>2</v>
      </c>
      <c r="E1621" s="107" t="s">
        <v>600</v>
      </c>
      <c r="F1621" s="107" t="s">
        <v>601</v>
      </c>
      <c r="G1621" s="161">
        <v>45353</v>
      </c>
      <c r="H1621" s="107">
        <f t="shared" si="30"/>
        <v>4</v>
      </c>
    </row>
    <row r="1622" spans="1:8">
      <c r="A1622" s="107">
        <v>2</v>
      </c>
      <c r="B1622" s="107">
        <v>23</v>
      </c>
      <c r="C1622" s="107">
        <v>9</v>
      </c>
      <c r="D1622" s="107">
        <v>3</v>
      </c>
      <c r="E1622" s="107" t="s">
        <v>600</v>
      </c>
      <c r="F1622" s="107" t="s">
        <v>601</v>
      </c>
      <c r="G1622" s="161">
        <v>45355</v>
      </c>
      <c r="H1622" s="107">
        <f t="shared" si="30"/>
        <v>6</v>
      </c>
    </row>
    <row r="1623" spans="1:8">
      <c r="A1623" s="107">
        <v>2</v>
      </c>
      <c r="B1623" s="107">
        <v>23</v>
      </c>
      <c r="C1623" s="107">
        <v>9</v>
      </c>
      <c r="D1623" s="107">
        <v>4</v>
      </c>
      <c r="E1623" s="107" t="s">
        <v>600</v>
      </c>
      <c r="F1623" s="107" t="s">
        <v>601</v>
      </c>
      <c r="G1623" s="161">
        <v>45355</v>
      </c>
      <c r="H1623" s="107">
        <f t="shared" si="30"/>
        <v>6</v>
      </c>
    </row>
    <row r="1624" spans="1:8">
      <c r="A1624" s="107">
        <v>2</v>
      </c>
      <c r="B1624" s="107">
        <v>23</v>
      </c>
      <c r="C1624" s="107">
        <v>10</v>
      </c>
      <c r="D1624" s="107">
        <v>1</v>
      </c>
      <c r="E1624" s="107" t="s">
        <v>469</v>
      </c>
      <c r="F1624" s="107" t="s">
        <v>470</v>
      </c>
      <c r="G1624" s="161">
        <v>45354</v>
      </c>
      <c r="H1624" s="107">
        <f t="shared" si="30"/>
        <v>5</v>
      </c>
    </row>
    <row r="1625" spans="1:8">
      <c r="A1625" s="107">
        <v>2</v>
      </c>
      <c r="B1625" s="107">
        <v>23</v>
      </c>
      <c r="C1625" s="107">
        <v>10</v>
      </c>
      <c r="D1625" s="107">
        <v>2</v>
      </c>
      <c r="E1625" s="107" t="s">
        <v>469</v>
      </c>
      <c r="F1625" s="107" t="s">
        <v>470</v>
      </c>
      <c r="G1625" s="161">
        <v>45353</v>
      </c>
      <c r="H1625" s="107">
        <f t="shared" si="30"/>
        <v>4</v>
      </c>
    </row>
    <row r="1626" spans="1:8">
      <c r="A1626" s="107">
        <v>2</v>
      </c>
      <c r="B1626" s="107">
        <v>23</v>
      </c>
      <c r="C1626" s="107">
        <v>10</v>
      </c>
      <c r="D1626" s="107">
        <v>3</v>
      </c>
      <c r="E1626" s="107" t="s">
        <v>469</v>
      </c>
      <c r="F1626" s="107" t="s">
        <v>470</v>
      </c>
      <c r="G1626" s="161">
        <v>45354</v>
      </c>
      <c r="H1626" s="107">
        <f t="shared" si="30"/>
        <v>5</v>
      </c>
    </row>
    <row r="1627" spans="1:8">
      <c r="A1627" s="107">
        <v>2</v>
      </c>
      <c r="B1627" s="107">
        <v>23</v>
      </c>
      <c r="C1627" s="107">
        <v>10</v>
      </c>
      <c r="D1627" s="107">
        <v>4</v>
      </c>
      <c r="E1627" s="107" t="s">
        <v>469</v>
      </c>
      <c r="F1627" s="107" t="s">
        <v>470</v>
      </c>
      <c r="G1627" s="161">
        <v>45353</v>
      </c>
      <c r="H1627" s="107">
        <f t="shared" si="30"/>
        <v>4</v>
      </c>
    </row>
    <row r="1628" spans="1:8">
      <c r="A1628" s="107">
        <v>2</v>
      </c>
      <c r="B1628" s="107">
        <v>23</v>
      </c>
      <c r="C1628" s="107">
        <v>11</v>
      </c>
      <c r="D1628" s="107">
        <v>1</v>
      </c>
      <c r="E1628" s="107" t="s">
        <v>618</v>
      </c>
      <c r="F1628" s="107" t="s">
        <v>619</v>
      </c>
      <c r="G1628" s="161">
        <v>45354</v>
      </c>
      <c r="H1628" s="107">
        <f t="shared" si="30"/>
        <v>5</v>
      </c>
    </row>
    <row r="1629" spans="1:8">
      <c r="A1629" s="107">
        <v>2</v>
      </c>
      <c r="B1629" s="107">
        <v>23</v>
      </c>
      <c r="C1629" s="107">
        <v>11</v>
      </c>
      <c r="D1629" s="107">
        <v>2</v>
      </c>
      <c r="E1629" s="107" t="s">
        <v>618</v>
      </c>
      <c r="F1629" s="107" t="s">
        <v>619</v>
      </c>
      <c r="G1629" s="161">
        <v>45355</v>
      </c>
      <c r="H1629" s="107">
        <f t="shared" si="30"/>
        <v>6</v>
      </c>
    </row>
    <row r="1630" spans="1:8">
      <c r="A1630" s="107">
        <v>2</v>
      </c>
      <c r="B1630" s="107">
        <v>23</v>
      </c>
      <c r="C1630" s="107">
        <v>11</v>
      </c>
      <c r="D1630" s="107">
        <v>3</v>
      </c>
      <c r="E1630" s="107" t="s">
        <v>618</v>
      </c>
      <c r="F1630" s="107" t="s">
        <v>619</v>
      </c>
      <c r="G1630" s="161">
        <v>45354</v>
      </c>
      <c r="H1630" s="107">
        <f t="shared" si="30"/>
        <v>5</v>
      </c>
    </row>
    <row r="1631" spans="1:8">
      <c r="A1631" s="107">
        <v>2</v>
      </c>
      <c r="B1631" s="107">
        <v>23</v>
      </c>
      <c r="C1631" s="107">
        <v>11</v>
      </c>
      <c r="D1631" s="107">
        <v>4</v>
      </c>
      <c r="E1631" s="107" t="s">
        <v>618</v>
      </c>
      <c r="F1631" s="107" t="s">
        <v>619</v>
      </c>
      <c r="G1631" s="161">
        <v>45354</v>
      </c>
      <c r="H1631" s="107">
        <f t="shared" si="30"/>
        <v>5</v>
      </c>
    </row>
    <row r="1632" spans="1:8">
      <c r="A1632" s="107">
        <v>2</v>
      </c>
      <c r="B1632" s="107">
        <v>23</v>
      </c>
      <c r="C1632" s="107">
        <v>12</v>
      </c>
      <c r="D1632" s="107">
        <v>1</v>
      </c>
      <c r="E1632" s="107" t="s">
        <v>425</v>
      </c>
      <c r="F1632" s="107" t="s">
        <v>426</v>
      </c>
      <c r="G1632" s="161">
        <v>45353</v>
      </c>
      <c r="H1632" s="107">
        <f t="shared" si="30"/>
        <v>4</v>
      </c>
    </row>
    <row r="1633" spans="1:8">
      <c r="A1633" s="107">
        <v>2</v>
      </c>
      <c r="B1633" s="107">
        <v>23</v>
      </c>
      <c r="C1633" s="107">
        <v>12</v>
      </c>
      <c r="D1633" s="107">
        <v>2</v>
      </c>
      <c r="E1633" s="107" t="s">
        <v>425</v>
      </c>
      <c r="F1633" s="107" t="s">
        <v>426</v>
      </c>
      <c r="G1633" s="161">
        <v>45354</v>
      </c>
      <c r="H1633" s="107">
        <f t="shared" si="30"/>
        <v>5</v>
      </c>
    </row>
    <row r="1634" spans="1:8">
      <c r="A1634" s="107">
        <v>2</v>
      </c>
      <c r="B1634" s="107">
        <v>23</v>
      </c>
      <c r="C1634" s="107">
        <v>12</v>
      </c>
      <c r="D1634" s="107">
        <v>3</v>
      </c>
      <c r="E1634" s="107" t="s">
        <v>425</v>
      </c>
      <c r="F1634" s="107" t="s">
        <v>426</v>
      </c>
      <c r="G1634" s="161">
        <v>45354</v>
      </c>
      <c r="H1634" s="107">
        <f t="shared" si="30"/>
        <v>5</v>
      </c>
    </row>
    <row r="1635" spans="1:8">
      <c r="A1635" s="107">
        <v>2</v>
      </c>
      <c r="B1635" s="107">
        <v>23</v>
      </c>
      <c r="C1635" s="107">
        <v>12</v>
      </c>
      <c r="D1635" s="107">
        <v>4</v>
      </c>
      <c r="E1635" s="107" t="s">
        <v>425</v>
      </c>
      <c r="F1635" s="107" t="s">
        <v>426</v>
      </c>
      <c r="G1635" s="161">
        <v>45354</v>
      </c>
      <c r="H1635" s="107">
        <f t="shared" si="30"/>
        <v>5</v>
      </c>
    </row>
    <row r="1636" spans="1:8">
      <c r="A1636" s="107">
        <v>2</v>
      </c>
      <c r="B1636" s="107">
        <v>23</v>
      </c>
      <c r="C1636" s="107">
        <v>13</v>
      </c>
      <c r="D1636" s="107">
        <v>1</v>
      </c>
      <c r="E1636" s="107" t="s">
        <v>218</v>
      </c>
      <c r="F1636" s="107" t="s">
        <v>219</v>
      </c>
      <c r="G1636" s="107"/>
      <c r="H1636" s="107"/>
    </row>
    <row r="1637" spans="1:8">
      <c r="A1637" s="107">
        <v>2</v>
      </c>
      <c r="B1637" s="107">
        <v>23</v>
      </c>
      <c r="C1637" s="107">
        <v>13</v>
      </c>
      <c r="D1637" s="107">
        <v>2</v>
      </c>
      <c r="E1637" s="107" t="s">
        <v>218</v>
      </c>
      <c r="F1637" s="107" t="s">
        <v>219</v>
      </c>
      <c r="G1637" s="161">
        <v>45355</v>
      </c>
      <c r="H1637" s="107">
        <f t="shared" si="30"/>
        <v>6</v>
      </c>
    </row>
    <row r="1638" spans="1:8">
      <c r="A1638" s="107">
        <v>2</v>
      </c>
      <c r="B1638" s="107">
        <v>23</v>
      </c>
      <c r="C1638" s="107">
        <v>13</v>
      </c>
      <c r="D1638" s="107">
        <v>3</v>
      </c>
      <c r="E1638" s="107" t="s">
        <v>218</v>
      </c>
      <c r="F1638" s="107" t="s">
        <v>219</v>
      </c>
      <c r="G1638" s="161">
        <v>45353</v>
      </c>
      <c r="H1638" s="107">
        <f t="shared" si="30"/>
        <v>4</v>
      </c>
    </row>
    <row r="1639" spans="1:8">
      <c r="A1639" s="107">
        <v>2</v>
      </c>
      <c r="B1639" s="107">
        <v>23</v>
      </c>
      <c r="C1639" s="107">
        <v>13</v>
      </c>
      <c r="D1639" s="107">
        <v>4</v>
      </c>
      <c r="E1639" s="107" t="s">
        <v>218</v>
      </c>
      <c r="F1639" s="107" t="s">
        <v>219</v>
      </c>
      <c r="G1639" s="161">
        <v>45360</v>
      </c>
      <c r="H1639" s="107">
        <f t="shared" si="30"/>
        <v>11</v>
      </c>
    </row>
    <row r="1640" spans="1:8">
      <c r="A1640" s="107">
        <v>2</v>
      </c>
      <c r="B1640" s="107">
        <v>23</v>
      </c>
      <c r="C1640" s="107">
        <v>14</v>
      </c>
      <c r="D1640" s="107">
        <v>1</v>
      </c>
      <c r="E1640" s="107" t="s">
        <v>299</v>
      </c>
      <c r="F1640" s="107" t="s">
        <v>300</v>
      </c>
      <c r="G1640" s="161">
        <v>45353</v>
      </c>
      <c r="H1640" s="107">
        <f t="shared" si="30"/>
        <v>4</v>
      </c>
    </row>
    <row r="1641" spans="1:8">
      <c r="A1641" s="107">
        <v>2</v>
      </c>
      <c r="B1641" s="107">
        <v>23</v>
      </c>
      <c r="C1641" s="107">
        <v>14</v>
      </c>
      <c r="D1641" s="107">
        <v>2</v>
      </c>
      <c r="E1641" s="107" t="s">
        <v>299</v>
      </c>
      <c r="F1641" s="107" t="s">
        <v>300</v>
      </c>
      <c r="G1641" s="161">
        <v>45354</v>
      </c>
      <c r="H1641" s="107">
        <f t="shared" si="30"/>
        <v>5</v>
      </c>
    </row>
    <row r="1642" spans="1:8">
      <c r="A1642" s="107">
        <v>2</v>
      </c>
      <c r="B1642" s="107">
        <v>23</v>
      </c>
      <c r="C1642" s="107">
        <v>14</v>
      </c>
      <c r="D1642" s="107">
        <v>3</v>
      </c>
      <c r="E1642" s="107" t="s">
        <v>299</v>
      </c>
      <c r="F1642" s="107" t="s">
        <v>300</v>
      </c>
      <c r="G1642" s="161">
        <v>45354</v>
      </c>
      <c r="H1642" s="107">
        <f t="shared" si="30"/>
        <v>5</v>
      </c>
    </row>
    <row r="1643" spans="1:8">
      <c r="A1643" s="107">
        <v>2</v>
      </c>
      <c r="B1643" s="107">
        <v>23</v>
      </c>
      <c r="C1643" s="107">
        <v>14</v>
      </c>
      <c r="D1643" s="107">
        <v>4</v>
      </c>
      <c r="E1643" s="107" t="s">
        <v>299</v>
      </c>
      <c r="F1643" s="107" t="s">
        <v>300</v>
      </c>
      <c r="G1643" s="161">
        <v>45354</v>
      </c>
      <c r="H1643" s="107">
        <f t="shared" si="30"/>
        <v>5</v>
      </c>
    </row>
    <row r="1644" spans="1:8">
      <c r="A1644" s="107">
        <v>2</v>
      </c>
      <c r="B1644" s="107">
        <v>23</v>
      </c>
      <c r="C1644" s="107">
        <v>15</v>
      </c>
      <c r="D1644" s="107">
        <v>1</v>
      </c>
      <c r="E1644" s="107" t="s">
        <v>335</v>
      </c>
      <c r="F1644" s="107" t="s">
        <v>336</v>
      </c>
      <c r="G1644" s="161">
        <v>45354</v>
      </c>
      <c r="H1644" s="107">
        <f t="shared" si="30"/>
        <v>5</v>
      </c>
    </row>
    <row r="1645" spans="1:8">
      <c r="A1645" s="107">
        <v>2</v>
      </c>
      <c r="B1645" s="107">
        <v>23</v>
      </c>
      <c r="C1645" s="107">
        <v>15</v>
      </c>
      <c r="D1645" s="107">
        <v>2</v>
      </c>
      <c r="E1645" s="107" t="s">
        <v>335</v>
      </c>
      <c r="F1645" s="107" t="s">
        <v>336</v>
      </c>
      <c r="G1645" s="161">
        <v>45354</v>
      </c>
      <c r="H1645" s="107">
        <f t="shared" si="30"/>
        <v>5</v>
      </c>
    </row>
    <row r="1646" spans="1:8">
      <c r="A1646" s="107">
        <v>2</v>
      </c>
      <c r="B1646" s="107">
        <v>23</v>
      </c>
      <c r="C1646" s="107">
        <v>15</v>
      </c>
      <c r="D1646" s="107">
        <v>3</v>
      </c>
      <c r="E1646" s="107" t="s">
        <v>335</v>
      </c>
      <c r="F1646" s="107" t="s">
        <v>336</v>
      </c>
      <c r="G1646" s="161">
        <v>45354</v>
      </c>
      <c r="H1646" s="107">
        <f t="shared" si="30"/>
        <v>5</v>
      </c>
    </row>
    <row r="1647" spans="1:8">
      <c r="A1647" s="107">
        <v>2</v>
      </c>
      <c r="B1647" s="107">
        <v>23</v>
      </c>
      <c r="C1647" s="107">
        <v>15</v>
      </c>
      <c r="D1647" s="107">
        <v>4</v>
      </c>
      <c r="E1647" s="107" t="s">
        <v>335</v>
      </c>
      <c r="F1647" s="107" t="s">
        <v>336</v>
      </c>
      <c r="G1647" s="161">
        <v>45354</v>
      </c>
      <c r="H1647" s="107">
        <f t="shared" si="30"/>
        <v>5</v>
      </c>
    </row>
    <row r="1648" spans="1:8">
      <c r="A1648" s="107">
        <v>2</v>
      </c>
      <c r="B1648" s="107">
        <v>23</v>
      </c>
      <c r="C1648" s="107">
        <v>16</v>
      </c>
      <c r="D1648" s="107">
        <v>1</v>
      </c>
      <c r="E1648" s="107" t="s">
        <v>351</v>
      </c>
      <c r="F1648" s="107" t="s">
        <v>352</v>
      </c>
      <c r="G1648" s="161">
        <v>45353</v>
      </c>
      <c r="H1648" s="107">
        <f t="shared" si="30"/>
        <v>4</v>
      </c>
    </row>
    <row r="1649" spans="1:8">
      <c r="A1649" s="107">
        <v>2</v>
      </c>
      <c r="B1649" s="107">
        <v>23</v>
      </c>
      <c r="C1649" s="107">
        <v>16</v>
      </c>
      <c r="D1649" s="107">
        <v>2</v>
      </c>
      <c r="E1649" s="107" t="s">
        <v>351</v>
      </c>
      <c r="F1649" s="107" t="s">
        <v>352</v>
      </c>
      <c r="G1649" s="161">
        <v>45353</v>
      </c>
      <c r="H1649" s="107">
        <f t="shared" si="30"/>
        <v>4</v>
      </c>
    </row>
    <row r="1650" spans="1:8">
      <c r="A1650" s="107">
        <v>2</v>
      </c>
      <c r="B1650" s="107">
        <v>23</v>
      </c>
      <c r="C1650" s="107">
        <v>16</v>
      </c>
      <c r="D1650" s="107">
        <v>3</v>
      </c>
      <c r="E1650" s="107" t="s">
        <v>351</v>
      </c>
      <c r="F1650" s="107" t="s">
        <v>352</v>
      </c>
      <c r="G1650" s="161">
        <v>45353</v>
      </c>
      <c r="H1650" s="107">
        <f t="shared" si="30"/>
        <v>4</v>
      </c>
    </row>
    <row r="1651" spans="1:8">
      <c r="A1651" s="107">
        <v>2</v>
      </c>
      <c r="B1651" s="107">
        <v>23</v>
      </c>
      <c r="C1651" s="107">
        <v>16</v>
      </c>
      <c r="D1651" s="107">
        <v>4</v>
      </c>
      <c r="E1651" s="107" t="s">
        <v>351</v>
      </c>
      <c r="F1651" s="107" t="s">
        <v>352</v>
      </c>
      <c r="G1651" s="161">
        <v>45353</v>
      </c>
      <c r="H1651" s="107">
        <f t="shared" si="30"/>
        <v>4</v>
      </c>
    </row>
    <row r="1652" spans="1:8">
      <c r="A1652" s="107">
        <v>2</v>
      </c>
      <c r="B1652" s="107">
        <v>23</v>
      </c>
      <c r="C1652" s="107">
        <v>17</v>
      </c>
      <c r="D1652" s="107">
        <v>1</v>
      </c>
      <c r="E1652" s="107" t="s">
        <v>495</v>
      </c>
      <c r="F1652" s="107" t="s">
        <v>496</v>
      </c>
      <c r="G1652" s="161">
        <v>45354</v>
      </c>
      <c r="H1652" s="107">
        <f t="shared" si="30"/>
        <v>5</v>
      </c>
    </row>
    <row r="1653" spans="1:8">
      <c r="A1653" s="107">
        <v>2</v>
      </c>
      <c r="B1653" s="107">
        <v>23</v>
      </c>
      <c r="C1653" s="107">
        <v>17</v>
      </c>
      <c r="D1653" s="107">
        <v>2</v>
      </c>
      <c r="E1653" s="107" t="s">
        <v>495</v>
      </c>
      <c r="F1653" s="107" t="s">
        <v>496</v>
      </c>
      <c r="G1653" s="161">
        <v>45353</v>
      </c>
      <c r="H1653" s="107">
        <f t="shared" si="30"/>
        <v>4</v>
      </c>
    </row>
    <row r="1654" spans="1:8">
      <c r="A1654" s="107">
        <v>2</v>
      </c>
      <c r="B1654" s="107">
        <v>23</v>
      </c>
      <c r="C1654" s="107">
        <v>17</v>
      </c>
      <c r="D1654" s="107">
        <v>3</v>
      </c>
      <c r="E1654" s="107" t="s">
        <v>495</v>
      </c>
      <c r="F1654" s="107" t="s">
        <v>496</v>
      </c>
      <c r="G1654" s="161">
        <v>45354</v>
      </c>
      <c r="H1654" s="107">
        <f t="shared" si="30"/>
        <v>5</v>
      </c>
    </row>
    <row r="1655" spans="1:8">
      <c r="A1655" s="107">
        <v>2</v>
      </c>
      <c r="B1655" s="107">
        <v>23</v>
      </c>
      <c r="C1655" s="107">
        <v>17</v>
      </c>
      <c r="D1655" s="107">
        <v>4</v>
      </c>
      <c r="E1655" s="107" t="s">
        <v>495</v>
      </c>
      <c r="F1655" s="107" t="s">
        <v>496</v>
      </c>
      <c r="G1655" s="161">
        <v>45354</v>
      </c>
      <c r="H1655" s="107">
        <f t="shared" si="30"/>
        <v>5</v>
      </c>
    </row>
    <row r="1656" spans="1:8">
      <c r="A1656" s="107">
        <v>2</v>
      </c>
      <c r="B1656" s="107">
        <v>23</v>
      </c>
      <c r="C1656" s="107">
        <v>18</v>
      </c>
      <c r="D1656" s="107">
        <v>1</v>
      </c>
      <c r="E1656" s="107" t="s">
        <v>727</v>
      </c>
      <c r="F1656" s="107" t="s">
        <v>728</v>
      </c>
      <c r="G1656" s="161">
        <v>45353</v>
      </c>
      <c r="H1656" s="107">
        <f t="shared" si="30"/>
        <v>4</v>
      </c>
    </row>
    <row r="1657" spans="1:8">
      <c r="A1657" s="107">
        <v>2</v>
      </c>
      <c r="B1657" s="107">
        <v>23</v>
      </c>
      <c r="C1657" s="107">
        <v>18</v>
      </c>
      <c r="D1657" s="107">
        <v>2</v>
      </c>
      <c r="E1657" s="107" t="s">
        <v>727</v>
      </c>
      <c r="F1657" s="107" t="s">
        <v>728</v>
      </c>
      <c r="G1657" s="161">
        <v>45353</v>
      </c>
      <c r="H1657" s="107">
        <f t="shared" si="30"/>
        <v>4</v>
      </c>
    </row>
    <row r="1658" spans="1:8">
      <c r="A1658" s="107">
        <v>2</v>
      </c>
      <c r="B1658" s="107">
        <v>23</v>
      </c>
      <c r="C1658" s="107">
        <v>18</v>
      </c>
      <c r="D1658" s="107">
        <v>3</v>
      </c>
      <c r="E1658" s="107" t="s">
        <v>727</v>
      </c>
      <c r="F1658" s="107" t="s">
        <v>728</v>
      </c>
      <c r="G1658" s="161">
        <v>45353</v>
      </c>
      <c r="H1658" s="107">
        <f t="shared" si="30"/>
        <v>4</v>
      </c>
    </row>
    <row r="1659" spans="1:8">
      <c r="A1659" s="107">
        <v>2</v>
      </c>
      <c r="B1659" s="107">
        <v>23</v>
      </c>
      <c r="C1659" s="107">
        <v>18</v>
      </c>
      <c r="D1659" s="107">
        <v>4</v>
      </c>
      <c r="E1659" s="107" t="s">
        <v>727</v>
      </c>
      <c r="F1659" s="107" t="s">
        <v>728</v>
      </c>
      <c r="G1659" s="161">
        <v>45353</v>
      </c>
      <c r="H1659" s="107">
        <f t="shared" si="30"/>
        <v>4</v>
      </c>
    </row>
    <row r="1660" spans="1:8">
      <c r="A1660" s="107">
        <v>2</v>
      </c>
      <c r="B1660" s="107">
        <v>24</v>
      </c>
      <c r="C1660" s="107">
        <v>1</v>
      </c>
      <c r="D1660" s="107">
        <v>1</v>
      </c>
      <c r="E1660" s="107" t="s">
        <v>401</v>
      </c>
      <c r="F1660" s="107" t="s">
        <v>402</v>
      </c>
      <c r="G1660" s="161">
        <v>45353</v>
      </c>
      <c r="H1660" s="107">
        <f t="shared" si="30"/>
        <v>4</v>
      </c>
    </row>
    <row r="1661" spans="1:8">
      <c r="A1661" s="107">
        <v>2</v>
      </c>
      <c r="B1661" s="107">
        <v>24</v>
      </c>
      <c r="C1661" s="107">
        <v>1</v>
      </c>
      <c r="D1661" s="107">
        <v>2</v>
      </c>
      <c r="E1661" s="107" t="s">
        <v>401</v>
      </c>
      <c r="F1661" s="107" t="s">
        <v>402</v>
      </c>
      <c r="G1661" s="161">
        <v>45353</v>
      </c>
      <c r="H1661" s="107">
        <f t="shared" si="30"/>
        <v>4</v>
      </c>
    </row>
    <row r="1662" spans="1:8">
      <c r="A1662" s="107">
        <v>2</v>
      </c>
      <c r="B1662" s="107">
        <v>24</v>
      </c>
      <c r="C1662" s="107">
        <v>1</v>
      </c>
      <c r="D1662" s="107">
        <v>3</v>
      </c>
      <c r="E1662" s="107" t="s">
        <v>401</v>
      </c>
      <c r="F1662" s="107" t="s">
        <v>402</v>
      </c>
      <c r="G1662" s="161">
        <v>45354</v>
      </c>
      <c r="H1662" s="107">
        <f t="shared" si="30"/>
        <v>5</v>
      </c>
    </row>
    <row r="1663" spans="1:8">
      <c r="A1663" s="107">
        <v>2</v>
      </c>
      <c r="B1663" s="107">
        <v>24</v>
      </c>
      <c r="C1663" s="107">
        <v>1</v>
      </c>
      <c r="D1663" s="107">
        <v>4</v>
      </c>
      <c r="E1663" s="107" t="s">
        <v>401</v>
      </c>
      <c r="F1663" s="107" t="s">
        <v>402</v>
      </c>
      <c r="G1663" s="161">
        <v>45353</v>
      </c>
      <c r="H1663" s="107">
        <f t="shared" si="30"/>
        <v>4</v>
      </c>
    </row>
    <row r="1664" spans="1:8">
      <c r="A1664" s="107">
        <v>2</v>
      </c>
      <c r="B1664" s="107">
        <v>24</v>
      </c>
      <c r="C1664" s="107">
        <v>2</v>
      </c>
      <c r="D1664" s="107">
        <v>1</v>
      </c>
      <c r="E1664" s="107" t="s">
        <v>439</v>
      </c>
      <c r="F1664" s="107" t="s">
        <v>440</v>
      </c>
      <c r="G1664" s="161">
        <v>45353</v>
      </c>
      <c r="H1664" s="107">
        <f t="shared" si="30"/>
        <v>4</v>
      </c>
    </row>
    <row r="1665" spans="1:8">
      <c r="A1665" s="107">
        <v>2</v>
      </c>
      <c r="B1665" s="107">
        <v>24</v>
      </c>
      <c r="C1665" s="107">
        <v>2</v>
      </c>
      <c r="D1665" s="107">
        <v>2</v>
      </c>
      <c r="E1665" s="107" t="s">
        <v>439</v>
      </c>
      <c r="F1665" s="107" t="s">
        <v>440</v>
      </c>
      <c r="G1665" s="161">
        <v>45353</v>
      </c>
      <c r="H1665" s="107">
        <f t="shared" si="30"/>
        <v>4</v>
      </c>
    </row>
    <row r="1666" spans="1:8">
      <c r="A1666" s="107">
        <v>2</v>
      </c>
      <c r="B1666" s="107">
        <v>24</v>
      </c>
      <c r="C1666" s="107">
        <v>2</v>
      </c>
      <c r="D1666" s="107">
        <v>3</v>
      </c>
      <c r="E1666" s="107" t="s">
        <v>439</v>
      </c>
      <c r="F1666" s="107" t="s">
        <v>440</v>
      </c>
      <c r="G1666" s="161">
        <v>45353</v>
      </c>
      <c r="H1666" s="107">
        <f t="shared" si="30"/>
        <v>4</v>
      </c>
    </row>
    <row r="1667" spans="1:8">
      <c r="A1667" s="107">
        <v>2</v>
      </c>
      <c r="B1667" s="107">
        <v>24</v>
      </c>
      <c r="C1667" s="107">
        <v>2</v>
      </c>
      <c r="D1667" s="107">
        <v>4</v>
      </c>
      <c r="E1667" s="107" t="s">
        <v>439</v>
      </c>
      <c r="F1667" s="107" t="s">
        <v>440</v>
      </c>
      <c r="G1667" s="161">
        <v>45353</v>
      </c>
      <c r="H1667" s="107">
        <f t="shared" si="30"/>
        <v>4</v>
      </c>
    </row>
    <row r="1668" spans="1:8">
      <c r="A1668" s="107">
        <v>2</v>
      </c>
      <c r="B1668" s="107">
        <v>24</v>
      </c>
      <c r="C1668" s="107">
        <v>3</v>
      </c>
      <c r="D1668" s="107">
        <v>1</v>
      </c>
      <c r="E1668" s="107" t="s">
        <v>731</v>
      </c>
      <c r="F1668" s="107" t="s">
        <v>732</v>
      </c>
      <c r="G1668" s="161">
        <v>45353</v>
      </c>
      <c r="H1668" s="107">
        <f t="shared" si="30"/>
        <v>4</v>
      </c>
    </row>
    <row r="1669" spans="1:8">
      <c r="A1669" s="107">
        <v>2</v>
      </c>
      <c r="B1669" s="107">
        <v>24</v>
      </c>
      <c r="C1669" s="107">
        <v>3</v>
      </c>
      <c r="D1669" s="107">
        <v>2</v>
      </c>
      <c r="E1669" s="107" t="s">
        <v>731</v>
      </c>
      <c r="F1669" s="107" t="s">
        <v>732</v>
      </c>
      <c r="G1669" s="161">
        <v>45353</v>
      </c>
      <c r="H1669" s="107">
        <f t="shared" ref="H1669:H1732" si="31">DATEDIF($H$2,G1669,"d")</f>
        <v>4</v>
      </c>
    </row>
    <row r="1670" spans="1:8">
      <c r="A1670" s="107">
        <v>2</v>
      </c>
      <c r="B1670" s="107">
        <v>24</v>
      </c>
      <c r="C1670" s="107">
        <v>3</v>
      </c>
      <c r="D1670" s="107">
        <v>3</v>
      </c>
      <c r="E1670" s="107" t="s">
        <v>731</v>
      </c>
      <c r="F1670" s="107" t="s">
        <v>732</v>
      </c>
      <c r="G1670" s="161">
        <v>45353</v>
      </c>
      <c r="H1670" s="107">
        <f t="shared" si="31"/>
        <v>4</v>
      </c>
    </row>
    <row r="1671" spans="1:8">
      <c r="A1671" s="107">
        <v>2</v>
      </c>
      <c r="B1671" s="107">
        <v>24</v>
      </c>
      <c r="C1671" s="107">
        <v>3</v>
      </c>
      <c r="D1671" s="107">
        <v>4</v>
      </c>
      <c r="E1671" s="107" t="s">
        <v>731</v>
      </c>
      <c r="F1671" s="107" t="s">
        <v>732</v>
      </c>
      <c r="G1671" s="161">
        <v>45353</v>
      </c>
      <c r="H1671" s="107">
        <f t="shared" si="31"/>
        <v>4</v>
      </c>
    </row>
    <row r="1672" spans="1:8">
      <c r="A1672" s="107">
        <v>2</v>
      </c>
      <c r="B1672" s="107">
        <v>24</v>
      </c>
      <c r="C1672" s="107">
        <v>4</v>
      </c>
      <c r="D1672" s="107">
        <v>1</v>
      </c>
      <c r="E1672" s="107" t="s">
        <v>283</v>
      </c>
      <c r="F1672" s="107" t="s">
        <v>284</v>
      </c>
      <c r="G1672" s="161">
        <v>45353</v>
      </c>
      <c r="H1672" s="107">
        <f t="shared" si="31"/>
        <v>4</v>
      </c>
    </row>
    <row r="1673" spans="1:8">
      <c r="A1673" s="107">
        <v>2</v>
      </c>
      <c r="B1673" s="107">
        <v>24</v>
      </c>
      <c r="C1673" s="107">
        <v>4</v>
      </c>
      <c r="D1673" s="107">
        <v>2</v>
      </c>
      <c r="E1673" s="107" t="s">
        <v>283</v>
      </c>
      <c r="F1673" s="107" t="s">
        <v>284</v>
      </c>
      <c r="G1673" s="161">
        <v>45353</v>
      </c>
      <c r="H1673" s="107">
        <f t="shared" si="31"/>
        <v>4</v>
      </c>
    </row>
    <row r="1674" spans="1:8">
      <c r="A1674" s="107">
        <v>2</v>
      </c>
      <c r="B1674" s="107">
        <v>24</v>
      </c>
      <c r="C1674" s="107">
        <v>4</v>
      </c>
      <c r="D1674" s="107">
        <v>3</v>
      </c>
      <c r="E1674" s="107" t="s">
        <v>283</v>
      </c>
      <c r="F1674" s="107" t="s">
        <v>284</v>
      </c>
      <c r="G1674" s="161">
        <v>45353</v>
      </c>
      <c r="H1674" s="107">
        <f t="shared" si="31"/>
        <v>4</v>
      </c>
    </row>
    <row r="1675" spans="1:8">
      <c r="A1675" s="107">
        <v>2</v>
      </c>
      <c r="B1675" s="107">
        <v>24</v>
      </c>
      <c r="C1675" s="107">
        <v>4</v>
      </c>
      <c r="D1675" s="107">
        <v>4</v>
      </c>
      <c r="E1675" s="107" t="s">
        <v>283</v>
      </c>
      <c r="F1675" s="107" t="s">
        <v>284</v>
      </c>
      <c r="G1675" s="161">
        <v>45353</v>
      </c>
      <c r="H1675" s="107">
        <f t="shared" si="31"/>
        <v>4</v>
      </c>
    </row>
    <row r="1676" spans="1:8">
      <c r="A1676" s="107">
        <v>2</v>
      </c>
      <c r="B1676" s="107">
        <v>24</v>
      </c>
      <c r="C1676" s="107">
        <v>5</v>
      </c>
      <c r="D1676" s="107">
        <v>1</v>
      </c>
      <c r="E1676" s="107" t="s">
        <v>184</v>
      </c>
      <c r="F1676" s="107" t="s">
        <v>185</v>
      </c>
      <c r="G1676" s="161">
        <v>45353</v>
      </c>
      <c r="H1676" s="107">
        <f t="shared" si="31"/>
        <v>4</v>
      </c>
    </row>
    <row r="1677" spans="1:8">
      <c r="A1677" s="107">
        <v>2</v>
      </c>
      <c r="B1677" s="107">
        <v>24</v>
      </c>
      <c r="C1677" s="107">
        <v>5</v>
      </c>
      <c r="D1677" s="107">
        <v>2</v>
      </c>
      <c r="E1677" s="107" t="s">
        <v>184</v>
      </c>
      <c r="F1677" s="107" t="s">
        <v>185</v>
      </c>
      <c r="G1677" s="161">
        <v>45353</v>
      </c>
      <c r="H1677" s="107">
        <f t="shared" si="31"/>
        <v>4</v>
      </c>
    </row>
    <row r="1678" spans="1:8">
      <c r="A1678" s="107">
        <v>2</v>
      </c>
      <c r="B1678" s="107">
        <v>24</v>
      </c>
      <c r="C1678" s="107">
        <v>5</v>
      </c>
      <c r="D1678" s="107">
        <v>3</v>
      </c>
      <c r="E1678" s="107" t="s">
        <v>184</v>
      </c>
      <c r="F1678" s="107" t="s">
        <v>185</v>
      </c>
      <c r="G1678" s="161">
        <v>45354</v>
      </c>
      <c r="H1678" s="107">
        <f t="shared" si="31"/>
        <v>5</v>
      </c>
    </row>
    <row r="1679" spans="1:8">
      <c r="A1679" s="107">
        <v>2</v>
      </c>
      <c r="B1679" s="107">
        <v>24</v>
      </c>
      <c r="C1679" s="107">
        <v>5</v>
      </c>
      <c r="D1679" s="107">
        <v>4</v>
      </c>
      <c r="E1679" s="107" t="s">
        <v>184</v>
      </c>
      <c r="F1679" s="107" t="s">
        <v>185</v>
      </c>
      <c r="G1679" s="107"/>
      <c r="H1679" s="107"/>
    </row>
    <row r="1680" spans="1:8">
      <c r="A1680" s="107">
        <v>2</v>
      </c>
      <c r="B1680" s="107">
        <v>24</v>
      </c>
      <c r="C1680" s="107">
        <v>6</v>
      </c>
      <c r="D1680" s="107">
        <v>1</v>
      </c>
      <c r="E1680" s="107" t="s">
        <v>572</v>
      </c>
      <c r="F1680" s="107" t="s">
        <v>573</v>
      </c>
      <c r="G1680" s="161">
        <v>45354</v>
      </c>
      <c r="H1680" s="107">
        <f t="shared" si="31"/>
        <v>5</v>
      </c>
    </row>
    <row r="1681" spans="1:8">
      <c r="A1681" s="107">
        <v>2</v>
      </c>
      <c r="B1681" s="107">
        <v>24</v>
      </c>
      <c r="C1681" s="107">
        <v>6</v>
      </c>
      <c r="D1681" s="107">
        <v>2</v>
      </c>
      <c r="E1681" s="107" t="s">
        <v>572</v>
      </c>
      <c r="F1681" s="107" t="s">
        <v>573</v>
      </c>
      <c r="G1681" s="161">
        <v>45354</v>
      </c>
      <c r="H1681" s="107">
        <f t="shared" si="31"/>
        <v>5</v>
      </c>
    </row>
    <row r="1682" spans="1:8">
      <c r="A1682" s="107">
        <v>2</v>
      </c>
      <c r="B1682" s="107">
        <v>24</v>
      </c>
      <c r="C1682" s="107">
        <v>6</v>
      </c>
      <c r="D1682" s="107">
        <v>3</v>
      </c>
      <c r="E1682" s="107" t="s">
        <v>572</v>
      </c>
      <c r="F1682" s="107" t="s">
        <v>573</v>
      </c>
      <c r="G1682" s="107"/>
      <c r="H1682" s="107"/>
    </row>
    <row r="1683" spans="1:8">
      <c r="A1683" s="107">
        <v>2</v>
      </c>
      <c r="B1683" s="107">
        <v>24</v>
      </c>
      <c r="C1683" s="107">
        <v>6</v>
      </c>
      <c r="D1683" s="107">
        <v>4</v>
      </c>
      <c r="E1683" s="107" t="s">
        <v>572</v>
      </c>
      <c r="F1683" s="107" t="s">
        <v>573</v>
      </c>
      <c r="G1683" s="161">
        <v>45353</v>
      </c>
      <c r="H1683" s="107">
        <f t="shared" si="31"/>
        <v>4</v>
      </c>
    </row>
    <row r="1684" spans="1:8">
      <c r="A1684" s="107">
        <v>2</v>
      </c>
      <c r="B1684" s="107">
        <v>24</v>
      </c>
      <c r="C1684" s="107">
        <v>7</v>
      </c>
      <c r="D1684" s="107">
        <v>1</v>
      </c>
      <c r="E1684" s="107" t="s">
        <v>529</v>
      </c>
      <c r="F1684" s="107" t="s">
        <v>503</v>
      </c>
      <c r="G1684" s="161">
        <v>45354</v>
      </c>
      <c r="H1684" s="107">
        <f t="shared" si="31"/>
        <v>5</v>
      </c>
    </row>
    <row r="1685" spans="1:8">
      <c r="A1685" s="107">
        <v>2</v>
      </c>
      <c r="B1685" s="107">
        <v>24</v>
      </c>
      <c r="C1685" s="107">
        <v>7</v>
      </c>
      <c r="D1685" s="107">
        <v>2</v>
      </c>
      <c r="E1685" s="107" t="s">
        <v>529</v>
      </c>
      <c r="F1685" s="107" t="s">
        <v>503</v>
      </c>
      <c r="G1685" s="161">
        <v>45353</v>
      </c>
      <c r="H1685" s="107">
        <f t="shared" si="31"/>
        <v>4</v>
      </c>
    </row>
    <row r="1686" spans="1:8">
      <c r="A1686" s="107">
        <v>2</v>
      </c>
      <c r="B1686" s="107">
        <v>24</v>
      </c>
      <c r="C1686" s="107">
        <v>7</v>
      </c>
      <c r="D1686" s="107">
        <v>3</v>
      </c>
      <c r="E1686" s="107" t="s">
        <v>529</v>
      </c>
      <c r="F1686" s="107" t="s">
        <v>503</v>
      </c>
      <c r="G1686" s="161">
        <v>45353</v>
      </c>
      <c r="H1686" s="107">
        <f t="shared" si="31"/>
        <v>4</v>
      </c>
    </row>
    <row r="1687" spans="1:8">
      <c r="A1687" s="107">
        <v>2</v>
      </c>
      <c r="B1687" s="107">
        <v>24</v>
      </c>
      <c r="C1687" s="107">
        <v>7</v>
      </c>
      <c r="D1687" s="107">
        <v>4</v>
      </c>
      <c r="E1687" s="107" t="s">
        <v>529</v>
      </c>
      <c r="F1687" s="107" t="s">
        <v>503</v>
      </c>
      <c r="G1687" s="161">
        <v>45353</v>
      </c>
      <c r="H1687" s="107">
        <f t="shared" si="31"/>
        <v>4</v>
      </c>
    </row>
    <row r="1688" spans="1:8">
      <c r="A1688" s="107">
        <v>2</v>
      </c>
      <c r="B1688" s="107">
        <v>24</v>
      </c>
      <c r="C1688" s="107">
        <v>8</v>
      </c>
      <c r="D1688" s="107">
        <v>1</v>
      </c>
      <c r="E1688" s="107" t="s">
        <v>258</v>
      </c>
      <c r="F1688" s="107" t="s">
        <v>259</v>
      </c>
      <c r="G1688" s="161">
        <v>45353</v>
      </c>
      <c r="H1688" s="107">
        <f t="shared" si="31"/>
        <v>4</v>
      </c>
    </row>
    <row r="1689" spans="1:8">
      <c r="A1689" s="107">
        <v>2</v>
      </c>
      <c r="B1689" s="107">
        <v>24</v>
      </c>
      <c r="C1689" s="107">
        <v>8</v>
      </c>
      <c r="D1689" s="107">
        <v>2</v>
      </c>
      <c r="E1689" s="107" t="s">
        <v>258</v>
      </c>
      <c r="F1689" s="107" t="s">
        <v>259</v>
      </c>
      <c r="G1689" s="161">
        <v>45354</v>
      </c>
      <c r="H1689" s="107">
        <f t="shared" si="31"/>
        <v>5</v>
      </c>
    </row>
    <row r="1690" spans="1:8">
      <c r="A1690" s="107">
        <v>2</v>
      </c>
      <c r="B1690" s="107">
        <v>24</v>
      </c>
      <c r="C1690" s="107">
        <v>8</v>
      </c>
      <c r="D1690" s="107">
        <v>3</v>
      </c>
      <c r="E1690" s="107" t="s">
        <v>258</v>
      </c>
      <c r="F1690" s="107" t="s">
        <v>259</v>
      </c>
      <c r="G1690" s="161">
        <v>45353</v>
      </c>
      <c r="H1690" s="107">
        <f t="shared" si="31"/>
        <v>4</v>
      </c>
    </row>
    <row r="1691" spans="1:8">
      <c r="A1691" s="107">
        <v>2</v>
      </c>
      <c r="B1691" s="107">
        <v>24</v>
      </c>
      <c r="C1691" s="107">
        <v>8</v>
      </c>
      <c r="D1691" s="107">
        <v>4</v>
      </c>
      <c r="E1691" s="107" t="s">
        <v>258</v>
      </c>
      <c r="F1691" s="107" t="s">
        <v>259</v>
      </c>
      <c r="G1691" s="161">
        <v>45353</v>
      </c>
      <c r="H1691" s="107">
        <f t="shared" si="31"/>
        <v>4</v>
      </c>
    </row>
    <row r="1692" spans="1:8">
      <c r="A1692" s="107">
        <v>2</v>
      </c>
      <c r="B1692" s="107">
        <v>24</v>
      </c>
      <c r="C1692" s="107">
        <v>9</v>
      </c>
      <c r="D1692" s="107">
        <v>1</v>
      </c>
      <c r="E1692" s="107" t="s">
        <v>343</v>
      </c>
      <c r="F1692" s="107" t="s">
        <v>344</v>
      </c>
      <c r="G1692" s="161">
        <v>45353</v>
      </c>
      <c r="H1692" s="107">
        <f t="shared" si="31"/>
        <v>4</v>
      </c>
    </row>
    <row r="1693" spans="1:8">
      <c r="A1693" s="107">
        <v>2</v>
      </c>
      <c r="B1693" s="107">
        <v>24</v>
      </c>
      <c r="C1693" s="107">
        <v>9</v>
      </c>
      <c r="D1693" s="107">
        <v>2</v>
      </c>
      <c r="E1693" s="107" t="s">
        <v>343</v>
      </c>
      <c r="F1693" s="107" t="s">
        <v>344</v>
      </c>
      <c r="G1693" s="161">
        <v>45353</v>
      </c>
      <c r="H1693" s="107">
        <f t="shared" si="31"/>
        <v>4</v>
      </c>
    </row>
    <row r="1694" spans="1:8">
      <c r="A1694" s="107">
        <v>2</v>
      </c>
      <c r="B1694" s="107">
        <v>24</v>
      </c>
      <c r="C1694" s="107">
        <v>9</v>
      </c>
      <c r="D1694" s="107">
        <v>3</v>
      </c>
      <c r="E1694" s="107" t="s">
        <v>343</v>
      </c>
      <c r="F1694" s="107" t="s">
        <v>344</v>
      </c>
      <c r="G1694" s="161">
        <v>45354</v>
      </c>
      <c r="H1694" s="107">
        <f t="shared" si="31"/>
        <v>5</v>
      </c>
    </row>
    <row r="1695" spans="1:8">
      <c r="A1695" s="107">
        <v>2</v>
      </c>
      <c r="B1695" s="107">
        <v>24</v>
      </c>
      <c r="C1695" s="107">
        <v>9</v>
      </c>
      <c r="D1695" s="107">
        <v>4</v>
      </c>
      <c r="E1695" s="107" t="s">
        <v>343</v>
      </c>
      <c r="F1695" s="107" t="s">
        <v>344</v>
      </c>
      <c r="G1695" s="161">
        <v>45355</v>
      </c>
      <c r="H1695" s="107">
        <f t="shared" si="31"/>
        <v>6</v>
      </c>
    </row>
    <row r="1696" spans="1:8">
      <c r="A1696" s="107">
        <v>2</v>
      </c>
      <c r="B1696" s="107">
        <v>24</v>
      </c>
      <c r="C1696" s="107">
        <v>10</v>
      </c>
      <c r="D1696" s="107">
        <v>1</v>
      </c>
      <c r="E1696" s="107" t="s">
        <v>459</v>
      </c>
      <c r="F1696" s="107" t="s">
        <v>460</v>
      </c>
      <c r="G1696" s="161">
        <v>45354</v>
      </c>
      <c r="H1696" s="107">
        <f t="shared" si="31"/>
        <v>5</v>
      </c>
    </row>
    <row r="1697" spans="1:8">
      <c r="A1697" s="107">
        <v>2</v>
      </c>
      <c r="B1697" s="107">
        <v>24</v>
      </c>
      <c r="C1697" s="107">
        <v>10</v>
      </c>
      <c r="D1697" s="107">
        <v>2</v>
      </c>
      <c r="E1697" s="107" t="s">
        <v>459</v>
      </c>
      <c r="F1697" s="107" t="s">
        <v>460</v>
      </c>
      <c r="G1697" s="161">
        <v>45353</v>
      </c>
      <c r="H1697" s="107">
        <f t="shared" si="31"/>
        <v>4</v>
      </c>
    </row>
    <row r="1698" spans="1:8">
      <c r="A1698" s="107">
        <v>2</v>
      </c>
      <c r="B1698" s="107">
        <v>24</v>
      </c>
      <c r="C1698" s="107">
        <v>10</v>
      </c>
      <c r="D1698" s="107">
        <v>3</v>
      </c>
      <c r="E1698" s="107" t="s">
        <v>459</v>
      </c>
      <c r="F1698" s="107" t="s">
        <v>460</v>
      </c>
      <c r="G1698" s="161">
        <v>45353</v>
      </c>
      <c r="H1698" s="107">
        <f t="shared" si="31"/>
        <v>4</v>
      </c>
    </row>
    <row r="1699" spans="1:8">
      <c r="A1699" s="107">
        <v>2</v>
      </c>
      <c r="B1699" s="107">
        <v>24</v>
      </c>
      <c r="C1699" s="107">
        <v>10</v>
      </c>
      <c r="D1699" s="107">
        <v>4</v>
      </c>
      <c r="E1699" s="107" t="s">
        <v>459</v>
      </c>
      <c r="F1699" s="107" t="s">
        <v>460</v>
      </c>
      <c r="G1699" s="161">
        <v>45353</v>
      </c>
      <c r="H1699" s="107">
        <f t="shared" si="31"/>
        <v>4</v>
      </c>
    </row>
    <row r="1700" spans="1:8">
      <c r="A1700" s="107">
        <v>2</v>
      </c>
      <c r="B1700" s="107">
        <v>24</v>
      </c>
      <c r="C1700" s="107">
        <v>11</v>
      </c>
      <c r="D1700" s="107">
        <v>1</v>
      </c>
      <c r="E1700" s="107" t="s">
        <v>136</v>
      </c>
      <c r="F1700" s="107" t="s">
        <v>137</v>
      </c>
      <c r="G1700" s="161">
        <v>45357</v>
      </c>
      <c r="H1700" s="107">
        <f t="shared" si="31"/>
        <v>8</v>
      </c>
    </row>
    <row r="1701" spans="1:8">
      <c r="A1701" s="107">
        <v>2</v>
      </c>
      <c r="B1701" s="107">
        <v>24</v>
      </c>
      <c r="C1701" s="107">
        <v>11</v>
      </c>
      <c r="D1701" s="107">
        <v>2</v>
      </c>
      <c r="E1701" s="107" t="s">
        <v>136</v>
      </c>
      <c r="F1701" s="107" t="s">
        <v>137</v>
      </c>
      <c r="G1701" s="161">
        <v>45355</v>
      </c>
      <c r="H1701" s="107">
        <f t="shared" si="31"/>
        <v>6</v>
      </c>
    </row>
    <row r="1702" spans="1:8">
      <c r="A1702" s="107">
        <v>2</v>
      </c>
      <c r="B1702" s="107">
        <v>24</v>
      </c>
      <c r="C1702" s="107">
        <v>11</v>
      </c>
      <c r="D1702" s="107">
        <v>3</v>
      </c>
      <c r="E1702" s="107" t="s">
        <v>136</v>
      </c>
      <c r="F1702" s="107" t="s">
        <v>137</v>
      </c>
      <c r="G1702" s="161">
        <v>45355</v>
      </c>
      <c r="H1702" s="107">
        <f t="shared" si="31"/>
        <v>6</v>
      </c>
    </row>
    <row r="1703" spans="1:8">
      <c r="A1703" s="107">
        <v>2</v>
      </c>
      <c r="B1703" s="107">
        <v>24</v>
      </c>
      <c r="C1703" s="107">
        <v>11</v>
      </c>
      <c r="D1703" s="107">
        <v>4</v>
      </c>
      <c r="E1703" s="107" t="s">
        <v>136</v>
      </c>
      <c r="F1703" s="107" t="s">
        <v>137</v>
      </c>
      <c r="G1703" s="161">
        <v>45354</v>
      </c>
      <c r="H1703" s="107">
        <f t="shared" si="31"/>
        <v>5</v>
      </c>
    </row>
    <row r="1704" spans="1:8">
      <c r="A1704" s="107">
        <v>2</v>
      </c>
      <c r="B1704" s="107">
        <v>24</v>
      </c>
      <c r="C1704" s="107">
        <v>12</v>
      </c>
      <c r="D1704" s="107">
        <v>1</v>
      </c>
      <c r="E1704" s="107" t="s">
        <v>353</v>
      </c>
      <c r="F1704" s="107" t="s">
        <v>354</v>
      </c>
      <c r="G1704" s="161">
        <v>45354</v>
      </c>
      <c r="H1704" s="107">
        <f t="shared" si="31"/>
        <v>5</v>
      </c>
    </row>
    <row r="1705" spans="1:8">
      <c r="A1705" s="107">
        <v>2</v>
      </c>
      <c r="B1705" s="107">
        <v>24</v>
      </c>
      <c r="C1705" s="107">
        <v>12</v>
      </c>
      <c r="D1705" s="107">
        <v>2</v>
      </c>
      <c r="E1705" s="107" t="s">
        <v>353</v>
      </c>
      <c r="F1705" s="107" t="s">
        <v>354</v>
      </c>
      <c r="G1705" s="161">
        <v>45353</v>
      </c>
      <c r="H1705" s="107">
        <f t="shared" si="31"/>
        <v>4</v>
      </c>
    </row>
    <row r="1706" spans="1:8">
      <c r="A1706" s="107">
        <v>2</v>
      </c>
      <c r="B1706" s="107">
        <v>24</v>
      </c>
      <c r="C1706" s="107">
        <v>12</v>
      </c>
      <c r="D1706" s="107">
        <v>3</v>
      </c>
      <c r="E1706" s="107" t="s">
        <v>353</v>
      </c>
      <c r="F1706" s="107" t="s">
        <v>354</v>
      </c>
      <c r="G1706" s="161">
        <v>45354</v>
      </c>
      <c r="H1706" s="107">
        <f t="shared" si="31"/>
        <v>5</v>
      </c>
    </row>
    <row r="1707" spans="1:8">
      <c r="A1707" s="107">
        <v>2</v>
      </c>
      <c r="B1707" s="107">
        <v>24</v>
      </c>
      <c r="C1707" s="107">
        <v>12</v>
      </c>
      <c r="D1707" s="107">
        <v>4</v>
      </c>
      <c r="E1707" s="107" t="s">
        <v>353</v>
      </c>
      <c r="F1707" s="107" t="s">
        <v>354</v>
      </c>
      <c r="G1707" s="161">
        <v>45353</v>
      </c>
      <c r="H1707" s="107">
        <f t="shared" si="31"/>
        <v>4</v>
      </c>
    </row>
    <row r="1708" spans="1:8">
      <c r="A1708" s="107">
        <v>2</v>
      </c>
      <c r="B1708" s="107">
        <v>24</v>
      </c>
      <c r="C1708" s="107">
        <v>13</v>
      </c>
      <c r="D1708" s="107">
        <v>1</v>
      </c>
      <c r="E1708" s="107" t="s">
        <v>688</v>
      </c>
      <c r="F1708" s="107" t="s">
        <v>689</v>
      </c>
      <c r="G1708" s="161">
        <v>45353</v>
      </c>
      <c r="H1708" s="107">
        <f t="shared" si="31"/>
        <v>4</v>
      </c>
    </row>
    <row r="1709" spans="1:8">
      <c r="A1709" s="107">
        <v>2</v>
      </c>
      <c r="B1709" s="107">
        <v>24</v>
      </c>
      <c r="C1709" s="107">
        <v>13</v>
      </c>
      <c r="D1709" s="107">
        <v>2</v>
      </c>
      <c r="E1709" s="107" t="s">
        <v>688</v>
      </c>
      <c r="F1709" s="107" t="s">
        <v>689</v>
      </c>
      <c r="G1709" s="161">
        <v>45353</v>
      </c>
      <c r="H1709" s="107">
        <f t="shared" si="31"/>
        <v>4</v>
      </c>
    </row>
    <row r="1710" spans="1:8">
      <c r="A1710" s="107">
        <v>2</v>
      </c>
      <c r="B1710" s="107">
        <v>24</v>
      </c>
      <c r="C1710" s="107">
        <v>13</v>
      </c>
      <c r="D1710" s="107">
        <v>3</v>
      </c>
      <c r="E1710" s="107" t="s">
        <v>688</v>
      </c>
      <c r="F1710" s="107" t="s">
        <v>689</v>
      </c>
      <c r="G1710" s="161">
        <v>45354</v>
      </c>
      <c r="H1710" s="107">
        <f t="shared" si="31"/>
        <v>5</v>
      </c>
    </row>
    <row r="1711" spans="1:8">
      <c r="A1711" s="107">
        <v>2</v>
      </c>
      <c r="B1711" s="107">
        <v>24</v>
      </c>
      <c r="C1711" s="107">
        <v>13</v>
      </c>
      <c r="D1711" s="107">
        <v>4</v>
      </c>
      <c r="E1711" s="107" t="s">
        <v>688</v>
      </c>
      <c r="F1711" s="107" t="s">
        <v>689</v>
      </c>
      <c r="G1711" s="161">
        <v>45354</v>
      </c>
      <c r="H1711" s="107">
        <f t="shared" si="31"/>
        <v>5</v>
      </c>
    </row>
    <row r="1712" spans="1:8">
      <c r="A1712" s="107">
        <v>2</v>
      </c>
      <c r="B1712" s="107">
        <v>24</v>
      </c>
      <c r="C1712" s="107">
        <v>14</v>
      </c>
      <c r="D1712" s="107">
        <v>1</v>
      </c>
      <c r="E1712" s="107" t="s">
        <v>491</v>
      </c>
      <c r="F1712" s="107" t="s">
        <v>492</v>
      </c>
      <c r="G1712" s="161">
        <v>45353</v>
      </c>
      <c r="H1712" s="107">
        <f t="shared" si="31"/>
        <v>4</v>
      </c>
    </row>
    <row r="1713" spans="1:8">
      <c r="A1713" s="107">
        <v>2</v>
      </c>
      <c r="B1713" s="107">
        <v>24</v>
      </c>
      <c r="C1713" s="107">
        <v>14</v>
      </c>
      <c r="D1713" s="107">
        <v>2</v>
      </c>
      <c r="E1713" s="107" t="s">
        <v>491</v>
      </c>
      <c r="F1713" s="107" t="s">
        <v>492</v>
      </c>
      <c r="G1713" s="161">
        <v>45353</v>
      </c>
      <c r="H1713" s="107">
        <f t="shared" si="31"/>
        <v>4</v>
      </c>
    </row>
    <row r="1714" spans="1:8">
      <c r="A1714" s="107">
        <v>2</v>
      </c>
      <c r="B1714" s="107">
        <v>24</v>
      </c>
      <c r="C1714" s="107">
        <v>14</v>
      </c>
      <c r="D1714" s="107">
        <v>3</v>
      </c>
      <c r="E1714" s="107" t="s">
        <v>491</v>
      </c>
      <c r="F1714" s="107" t="s">
        <v>492</v>
      </c>
      <c r="G1714" s="107"/>
      <c r="H1714" s="107"/>
    </row>
    <row r="1715" spans="1:8">
      <c r="A1715" s="107">
        <v>2</v>
      </c>
      <c r="B1715" s="107">
        <v>24</v>
      </c>
      <c r="C1715" s="107">
        <v>14</v>
      </c>
      <c r="D1715" s="107">
        <v>4</v>
      </c>
      <c r="E1715" s="107" t="s">
        <v>491</v>
      </c>
      <c r="F1715" s="107" t="s">
        <v>492</v>
      </c>
      <c r="G1715" s="161">
        <v>45353</v>
      </c>
      <c r="H1715" s="107">
        <f t="shared" si="31"/>
        <v>4</v>
      </c>
    </row>
    <row r="1716" spans="1:8">
      <c r="A1716" s="107">
        <v>2</v>
      </c>
      <c r="B1716" s="107">
        <v>24</v>
      </c>
      <c r="C1716" s="107">
        <v>15</v>
      </c>
      <c r="D1716" s="107">
        <v>1</v>
      </c>
      <c r="E1716" s="107" t="s">
        <v>206</v>
      </c>
      <c r="F1716" s="107" t="s">
        <v>207</v>
      </c>
      <c r="G1716" s="161">
        <v>45357</v>
      </c>
      <c r="H1716" s="107">
        <f t="shared" si="31"/>
        <v>8</v>
      </c>
    </row>
    <row r="1717" spans="1:8">
      <c r="A1717" s="107">
        <v>2</v>
      </c>
      <c r="B1717" s="107">
        <v>24</v>
      </c>
      <c r="C1717" s="107">
        <v>15</v>
      </c>
      <c r="D1717" s="107">
        <v>2</v>
      </c>
      <c r="E1717" s="107" t="s">
        <v>206</v>
      </c>
      <c r="F1717" s="107" t="s">
        <v>207</v>
      </c>
      <c r="G1717" s="107"/>
      <c r="H1717" s="107"/>
    </row>
    <row r="1718" spans="1:8">
      <c r="A1718" s="107">
        <v>2</v>
      </c>
      <c r="B1718" s="107">
        <v>24</v>
      </c>
      <c r="C1718" s="107">
        <v>15</v>
      </c>
      <c r="D1718" s="107">
        <v>3</v>
      </c>
      <c r="E1718" s="107" t="s">
        <v>206</v>
      </c>
      <c r="F1718" s="107" t="s">
        <v>207</v>
      </c>
      <c r="G1718" s="161">
        <v>45355</v>
      </c>
      <c r="H1718" s="107">
        <f t="shared" si="31"/>
        <v>6</v>
      </c>
    </row>
    <row r="1719" spans="1:8">
      <c r="A1719" s="107">
        <v>2</v>
      </c>
      <c r="B1719" s="107">
        <v>24</v>
      </c>
      <c r="C1719" s="107">
        <v>15</v>
      </c>
      <c r="D1719" s="107">
        <v>4</v>
      </c>
      <c r="E1719" s="107" t="s">
        <v>206</v>
      </c>
      <c r="F1719" s="107" t="s">
        <v>207</v>
      </c>
      <c r="G1719" s="161">
        <v>45356</v>
      </c>
      <c r="H1719" s="107">
        <f t="shared" si="31"/>
        <v>7</v>
      </c>
    </row>
    <row r="1720" spans="1:8">
      <c r="A1720" s="107">
        <v>2</v>
      </c>
      <c r="B1720" s="107">
        <v>24</v>
      </c>
      <c r="C1720" s="107">
        <v>16</v>
      </c>
      <c r="D1720" s="107">
        <v>1</v>
      </c>
      <c r="E1720" s="107" t="s">
        <v>670</v>
      </c>
      <c r="F1720" s="107" t="s">
        <v>671</v>
      </c>
      <c r="G1720" s="161">
        <v>45353</v>
      </c>
      <c r="H1720" s="107">
        <f t="shared" si="31"/>
        <v>4</v>
      </c>
    </row>
    <row r="1721" spans="1:8">
      <c r="A1721" s="107">
        <v>2</v>
      </c>
      <c r="B1721" s="107">
        <v>24</v>
      </c>
      <c r="C1721" s="107">
        <v>16</v>
      </c>
      <c r="D1721" s="107">
        <v>2</v>
      </c>
      <c r="E1721" s="107" t="s">
        <v>670</v>
      </c>
      <c r="F1721" s="107" t="s">
        <v>671</v>
      </c>
      <c r="G1721" s="161">
        <v>45353</v>
      </c>
      <c r="H1721" s="107">
        <f t="shared" si="31"/>
        <v>4</v>
      </c>
    </row>
    <row r="1722" spans="1:8">
      <c r="A1722" s="107">
        <v>2</v>
      </c>
      <c r="B1722" s="107">
        <v>24</v>
      </c>
      <c r="C1722" s="107">
        <v>16</v>
      </c>
      <c r="D1722" s="107">
        <v>3</v>
      </c>
      <c r="E1722" s="107" t="s">
        <v>670</v>
      </c>
      <c r="F1722" s="107" t="s">
        <v>671</v>
      </c>
      <c r="G1722" s="161">
        <v>45354</v>
      </c>
      <c r="H1722" s="107">
        <f t="shared" si="31"/>
        <v>5</v>
      </c>
    </row>
    <row r="1723" spans="1:8">
      <c r="A1723" s="107">
        <v>2</v>
      </c>
      <c r="B1723" s="107">
        <v>24</v>
      </c>
      <c r="C1723" s="107">
        <v>16</v>
      </c>
      <c r="D1723" s="107">
        <v>4</v>
      </c>
      <c r="E1723" s="107" t="s">
        <v>670</v>
      </c>
      <c r="F1723" s="107" t="s">
        <v>671</v>
      </c>
      <c r="G1723" s="161">
        <v>45353</v>
      </c>
      <c r="H1723" s="107">
        <f t="shared" si="31"/>
        <v>4</v>
      </c>
    </row>
    <row r="1724" spans="1:8">
      <c r="A1724" s="107">
        <v>2</v>
      </c>
      <c r="B1724" s="107">
        <v>24</v>
      </c>
      <c r="C1724" s="107">
        <v>17</v>
      </c>
      <c r="D1724" s="107">
        <v>1</v>
      </c>
      <c r="E1724" s="107" t="s">
        <v>630</v>
      </c>
      <c r="F1724" s="107" t="s">
        <v>631</v>
      </c>
      <c r="G1724" s="161">
        <v>45353</v>
      </c>
      <c r="H1724" s="107">
        <f t="shared" si="31"/>
        <v>4</v>
      </c>
    </row>
    <row r="1725" spans="1:8">
      <c r="A1725" s="107">
        <v>2</v>
      </c>
      <c r="B1725" s="107">
        <v>24</v>
      </c>
      <c r="C1725" s="107">
        <v>17</v>
      </c>
      <c r="D1725" s="107">
        <v>2</v>
      </c>
      <c r="E1725" s="107" t="s">
        <v>630</v>
      </c>
      <c r="F1725" s="107" t="s">
        <v>631</v>
      </c>
      <c r="G1725" s="161">
        <v>45355</v>
      </c>
      <c r="H1725" s="107">
        <f t="shared" si="31"/>
        <v>6</v>
      </c>
    </row>
    <row r="1726" spans="1:8">
      <c r="A1726" s="107">
        <v>2</v>
      </c>
      <c r="B1726" s="107">
        <v>24</v>
      </c>
      <c r="C1726" s="107">
        <v>17</v>
      </c>
      <c r="D1726" s="107">
        <v>3</v>
      </c>
      <c r="E1726" s="107" t="s">
        <v>630</v>
      </c>
      <c r="F1726" s="107" t="s">
        <v>631</v>
      </c>
      <c r="G1726" s="161">
        <v>45354</v>
      </c>
      <c r="H1726" s="107">
        <f t="shared" si="31"/>
        <v>5</v>
      </c>
    </row>
    <row r="1727" spans="1:8">
      <c r="A1727" s="107">
        <v>2</v>
      </c>
      <c r="B1727" s="107">
        <v>24</v>
      </c>
      <c r="C1727" s="107">
        <v>17</v>
      </c>
      <c r="D1727" s="107">
        <v>4</v>
      </c>
      <c r="E1727" s="107" t="s">
        <v>630</v>
      </c>
      <c r="F1727" s="107" t="s">
        <v>631</v>
      </c>
      <c r="G1727" s="161">
        <v>45354</v>
      </c>
      <c r="H1727" s="107">
        <f t="shared" si="31"/>
        <v>5</v>
      </c>
    </row>
    <row r="1728" spans="1:8">
      <c r="A1728" s="107">
        <v>2</v>
      </c>
      <c r="B1728" s="107">
        <v>24</v>
      </c>
      <c r="C1728" s="107">
        <v>18</v>
      </c>
      <c r="D1728" s="107">
        <v>1</v>
      </c>
      <c r="E1728" s="107" t="s">
        <v>707</v>
      </c>
      <c r="F1728" s="107" t="s">
        <v>708</v>
      </c>
      <c r="G1728" s="161">
        <v>45353</v>
      </c>
      <c r="H1728" s="107">
        <f t="shared" si="31"/>
        <v>4</v>
      </c>
    </row>
    <row r="1729" spans="1:8">
      <c r="A1729" s="107">
        <v>2</v>
      </c>
      <c r="B1729" s="107">
        <v>24</v>
      </c>
      <c r="C1729" s="107">
        <v>18</v>
      </c>
      <c r="D1729" s="107">
        <v>2</v>
      </c>
      <c r="E1729" s="107" t="s">
        <v>707</v>
      </c>
      <c r="F1729" s="107" t="s">
        <v>708</v>
      </c>
      <c r="G1729" s="161">
        <v>45353</v>
      </c>
      <c r="H1729" s="107">
        <f t="shared" si="31"/>
        <v>4</v>
      </c>
    </row>
    <row r="1730" spans="1:8">
      <c r="A1730" s="107">
        <v>2</v>
      </c>
      <c r="B1730" s="107">
        <v>24</v>
      </c>
      <c r="C1730" s="107">
        <v>18</v>
      </c>
      <c r="D1730" s="107">
        <v>3</v>
      </c>
      <c r="E1730" s="107" t="s">
        <v>707</v>
      </c>
      <c r="F1730" s="107" t="s">
        <v>708</v>
      </c>
      <c r="G1730" s="161">
        <v>45353</v>
      </c>
      <c r="H1730" s="107">
        <f t="shared" si="31"/>
        <v>4</v>
      </c>
    </row>
    <row r="1731" spans="1:8">
      <c r="A1731" s="107">
        <v>2</v>
      </c>
      <c r="B1731" s="107">
        <v>24</v>
      </c>
      <c r="C1731" s="107">
        <v>18</v>
      </c>
      <c r="D1731" s="107">
        <v>4</v>
      </c>
      <c r="E1731" s="107" t="s">
        <v>707</v>
      </c>
      <c r="F1731" s="107" t="s">
        <v>708</v>
      </c>
      <c r="G1731" s="161">
        <v>45353</v>
      </c>
      <c r="H1731" s="107">
        <f t="shared" si="31"/>
        <v>4</v>
      </c>
    </row>
    <row r="1732" spans="1:8">
      <c r="A1732" s="107">
        <v>2</v>
      </c>
      <c r="B1732" s="107">
        <v>25</v>
      </c>
      <c r="C1732" s="107">
        <v>1</v>
      </c>
      <c r="D1732" s="107">
        <v>1</v>
      </c>
      <c r="E1732" s="107" t="s">
        <v>662</v>
      </c>
      <c r="F1732" s="107" t="s">
        <v>663</v>
      </c>
      <c r="G1732" s="161">
        <v>45353</v>
      </c>
      <c r="H1732" s="107">
        <f t="shared" si="31"/>
        <v>4</v>
      </c>
    </row>
    <row r="1733" spans="1:8">
      <c r="A1733" s="107">
        <v>2</v>
      </c>
      <c r="B1733" s="107">
        <v>25</v>
      </c>
      <c r="C1733" s="107">
        <v>1</v>
      </c>
      <c r="D1733" s="107">
        <v>2</v>
      </c>
      <c r="E1733" s="107" t="s">
        <v>662</v>
      </c>
      <c r="F1733" s="107" t="s">
        <v>663</v>
      </c>
      <c r="G1733" s="161">
        <v>45353</v>
      </c>
      <c r="H1733" s="107">
        <f t="shared" ref="H1733:H1796" si="32">DATEDIF($H$2,G1733,"d")</f>
        <v>4</v>
      </c>
    </row>
    <row r="1734" spans="1:8">
      <c r="A1734" s="107">
        <v>2</v>
      </c>
      <c r="B1734" s="107">
        <v>25</v>
      </c>
      <c r="C1734" s="107">
        <v>1</v>
      </c>
      <c r="D1734" s="107">
        <v>3</v>
      </c>
      <c r="E1734" s="107" t="s">
        <v>662</v>
      </c>
      <c r="F1734" s="107" t="s">
        <v>663</v>
      </c>
      <c r="G1734" s="161">
        <v>45354</v>
      </c>
      <c r="H1734" s="107">
        <f t="shared" si="32"/>
        <v>5</v>
      </c>
    </row>
    <row r="1735" spans="1:8">
      <c r="A1735" s="107">
        <v>2</v>
      </c>
      <c r="B1735" s="107">
        <v>25</v>
      </c>
      <c r="C1735" s="107">
        <v>1</v>
      </c>
      <c r="D1735" s="107">
        <v>4</v>
      </c>
      <c r="E1735" s="107" t="s">
        <v>662</v>
      </c>
      <c r="F1735" s="107" t="s">
        <v>663</v>
      </c>
      <c r="G1735" s="161">
        <v>45353</v>
      </c>
      <c r="H1735" s="107">
        <f t="shared" si="32"/>
        <v>4</v>
      </c>
    </row>
    <row r="1736" spans="1:8">
      <c r="A1736" s="107">
        <v>2</v>
      </c>
      <c r="B1736" s="107">
        <v>25</v>
      </c>
      <c r="C1736" s="107">
        <v>2</v>
      </c>
      <c r="D1736" s="107">
        <v>1</v>
      </c>
      <c r="E1736" s="107" t="s">
        <v>441</v>
      </c>
      <c r="F1736" s="107" t="s">
        <v>442</v>
      </c>
      <c r="G1736" s="161">
        <v>45353</v>
      </c>
      <c r="H1736" s="107">
        <f t="shared" si="32"/>
        <v>4</v>
      </c>
    </row>
    <row r="1737" spans="1:8">
      <c r="A1737" s="107">
        <v>2</v>
      </c>
      <c r="B1737" s="107">
        <v>25</v>
      </c>
      <c r="C1737" s="107">
        <v>2</v>
      </c>
      <c r="D1737" s="107">
        <v>2</v>
      </c>
      <c r="E1737" s="107" t="s">
        <v>441</v>
      </c>
      <c r="F1737" s="107" t="s">
        <v>442</v>
      </c>
      <c r="G1737" s="161">
        <v>45353</v>
      </c>
      <c r="H1737" s="107">
        <f t="shared" si="32"/>
        <v>4</v>
      </c>
    </row>
    <row r="1738" spans="1:8">
      <c r="A1738" s="107">
        <v>2</v>
      </c>
      <c r="B1738" s="107">
        <v>25</v>
      </c>
      <c r="C1738" s="107">
        <v>2</v>
      </c>
      <c r="D1738" s="107">
        <v>3</v>
      </c>
      <c r="E1738" s="107" t="s">
        <v>441</v>
      </c>
      <c r="F1738" s="107" t="s">
        <v>442</v>
      </c>
      <c r="G1738" s="161">
        <v>45353</v>
      </c>
      <c r="H1738" s="107">
        <f t="shared" si="32"/>
        <v>4</v>
      </c>
    </row>
    <row r="1739" spans="1:8">
      <c r="A1739" s="107">
        <v>2</v>
      </c>
      <c r="B1739" s="107">
        <v>25</v>
      </c>
      <c r="C1739" s="107">
        <v>2</v>
      </c>
      <c r="D1739" s="107">
        <v>4</v>
      </c>
      <c r="E1739" s="107" t="s">
        <v>441</v>
      </c>
      <c r="F1739" s="107" t="s">
        <v>442</v>
      </c>
      <c r="G1739" s="161">
        <v>45354</v>
      </c>
      <c r="H1739" s="107">
        <f t="shared" si="32"/>
        <v>5</v>
      </c>
    </row>
    <row r="1740" spans="1:8">
      <c r="A1740" s="107">
        <v>2</v>
      </c>
      <c r="B1740" s="107">
        <v>25</v>
      </c>
      <c r="C1740" s="107">
        <v>3</v>
      </c>
      <c r="D1740" s="107">
        <v>1</v>
      </c>
      <c r="E1740" s="107" t="s">
        <v>405</v>
      </c>
      <c r="F1740" s="107" t="s">
        <v>406</v>
      </c>
      <c r="G1740" s="161">
        <v>45354</v>
      </c>
      <c r="H1740" s="107">
        <f>DATEDIF($H$2,G1741,"d")</f>
        <v>4</v>
      </c>
    </row>
    <row r="1741" spans="1:8">
      <c r="A1741" s="107">
        <v>2</v>
      </c>
      <c r="B1741" s="107">
        <v>25</v>
      </c>
      <c r="C1741" s="107">
        <v>3</v>
      </c>
      <c r="D1741" s="107">
        <v>2</v>
      </c>
      <c r="E1741" s="107" t="s">
        <v>405</v>
      </c>
      <c r="F1741" s="107" t="s">
        <v>406</v>
      </c>
      <c r="G1741" s="161">
        <v>45353</v>
      </c>
      <c r="H1741" s="107">
        <f t="shared" ref="H1741:H1760" si="33">DATEDIF($H$2,G1742,"d")</f>
        <v>9</v>
      </c>
    </row>
    <row r="1742" spans="1:8">
      <c r="A1742" s="107">
        <v>2</v>
      </c>
      <c r="B1742" s="107">
        <v>25</v>
      </c>
      <c r="C1742" s="107">
        <v>3</v>
      </c>
      <c r="D1742" s="107">
        <v>3</v>
      </c>
      <c r="E1742" s="107" t="s">
        <v>405</v>
      </c>
      <c r="F1742" s="107" t="s">
        <v>406</v>
      </c>
      <c r="G1742" s="100">
        <v>45358</v>
      </c>
      <c r="H1742" s="107">
        <f t="shared" si="33"/>
        <v>4</v>
      </c>
    </row>
    <row r="1743" spans="1:8">
      <c r="A1743" s="107">
        <v>2</v>
      </c>
      <c r="B1743" s="107">
        <v>25</v>
      </c>
      <c r="C1743" s="107">
        <v>3</v>
      </c>
      <c r="D1743" s="107">
        <v>4</v>
      </c>
      <c r="E1743" s="107" t="s">
        <v>405</v>
      </c>
      <c r="F1743" s="107" t="s">
        <v>406</v>
      </c>
      <c r="G1743" s="161">
        <v>45353</v>
      </c>
      <c r="H1743" s="107">
        <f t="shared" si="33"/>
        <v>4</v>
      </c>
    </row>
    <row r="1744" spans="1:8">
      <c r="A1744" s="107">
        <v>2</v>
      </c>
      <c r="B1744" s="107">
        <v>25</v>
      </c>
      <c r="C1744" s="107">
        <v>4</v>
      </c>
      <c r="D1744" s="107">
        <v>1</v>
      </c>
      <c r="E1744" s="107" t="s">
        <v>721</v>
      </c>
      <c r="F1744" s="107" t="s">
        <v>722</v>
      </c>
      <c r="G1744" s="161">
        <v>45353</v>
      </c>
      <c r="H1744" s="107">
        <f t="shared" si="33"/>
        <v>4</v>
      </c>
    </row>
    <row r="1745" spans="1:8">
      <c r="A1745" s="107">
        <v>2</v>
      </c>
      <c r="B1745" s="107">
        <v>25</v>
      </c>
      <c r="C1745" s="107">
        <v>4</v>
      </c>
      <c r="D1745" s="107">
        <v>2</v>
      </c>
      <c r="E1745" s="107" t="s">
        <v>721</v>
      </c>
      <c r="F1745" s="107" t="s">
        <v>722</v>
      </c>
      <c r="G1745" s="161">
        <v>45353</v>
      </c>
      <c r="H1745" s="107">
        <f t="shared" si="33"/>
        <v>4</v>
      </c>
    </row>
    <row r="1746" spans="1:8">
      <c r="A1746" s="107">
        <v>2</v>
      </c>
      <c r="B1746" s="107">
        <v>25</v>
      </c>
      <c r="C1746" s="107">
        <v>4</v>
      </c>
      <c r="D1746" s="107">
        <v>3</v>
      </c>
      <c r="E1746" s="107" t="s">
        <v>721</v>
      </c>
      <c r="F1746" s="107" t="s">
        <v>722</v>
      </c>
      <c r="G1746" s="161">
        <v>45353</v>
      </c>
      <c r="H1746" s="107">
        <f t="shared" si="33"/>
        <v>5</v>
      </c>
    </row>
    <row r="1747" spans="1:8">
      <c r="A1747" s="107">
        <v>2</v>
      </c>
      <c r="B1747" s="107">
        <v>25</v>
      </c>
      <c r="C1747" s="107">
        <v>4</v>
      </c>
      <c r="D1747" s="107">
        <v>4</v>
      </c>
      <c r="E1747" s="107" t="s">
        <v>721</v>
      </c>
      <c r="F1747" s="107" t="s">
        <v>722</v>
      </c>
      <c r="G1747" s="161">
        <v>45354</v>
      </c>
      <c r="H1747" s="107">
        <f t="shared" si="33"/>
        <v>5</v>
      </c>
    </row>
    <row r="1748" spans="1:8">
      <c r="A1748" s="107">
        <v>2</v>
      </c>
      <c r="B1748" s="107">
        <v>25</v>
      </c>
      <c r="C1748" s="107">
        <v>5</v>
      </c>
      <c r="D1748" s="107">
        <v>1</v>
      </c>
      <c r="E1748" s="107" t="s">
        <v>528</v>
      </c>
      <c r="F1748" s="107" t="s">
        <v>503</v>
      </c>
      <c r="G1748" s="161">
        <v>45354</v>
      </c>
      <c r="H1748" s="107">
        <f t="shared" si="33"/>
        <v>4</v>
      </c>
    </row>
    <row r="1749" spans="1:8">
      <c r="A1749" s="107">
        <v>2</v>
      </c>
      <c r="B1749" s="107">
        <v>25</v>
      </c>
      <c r="C1749" s="107">
        <v>5</v>
      </c>
      <c r="D1749" s="107">
        <v>2</v>
      </c>
      <c r="E1749" s="107" t="s">
        <v>528</v>
      </c>
      <c r="F1749" s="107" t="s">
        <v>503</v>
      </c>
      <c r="G1749" s="161">
        <v>45353</v>
      </c>
      <c r="H1749" s="107">
        <f t="shared" si="33"/>
        <v>5</v>
      </c>
    </row>
    <row r="1750" spans="1:8">
      <c r="A1750" s="107">
        <v>2</v>
      </c>
      <c r="B1750" s="107">
        <v>25</v>
      </c>
      <c r="C1750" s="107">
        <v>5</v>
      </c>
      <c r="D1750" s="107">
        <v>3</v>
      </c>
      <c r="E1750" s="107" t="s">
        <v>528</v>
      </c>
      <c r="F1750" s="107" t="s">
        <v>503</v>
      </c>
      <c r="G1750" s="161">
        <v>45354</v>
      </c>
      <c r="H1750" s="107">
        <f t="shared" si="33"/>
        <v>4</v>
      </c>
    </row>
    <row r="1751" spans="1:8">
      <c r="A1751" s="107">
        <v>2</v>
      </c>
      <c r="B1751" s="107">
        <v>25</v>
      </c>
      <c r="C1751" s="107">
        <v>5</v>
      </c>
      <c r="D1751" s="107">
        <v>4</v>
      </c>
      <c r="E1751" s="107" t="s">
        <v>528</v>
      </c>
      <c r="F1751" s="107" t="s">
        <v>503</v>
      </c>
      <c r="G1751" s="161">
        <v>45353</v>
      </c>
      <c r="H1751" s="107">
        <f t="shared" si="33"/>
        <v>4</v>
      </c>
    </row>
    <row r="1752" spans="1:8">
      <c r="A1752" s="107">
        <v>2</v>
      </c>
      <c r="B1752" s="107">
        <v>25</v>
      </c>
      <c r="C1752" s="107">
        <v>6</v>
      </c>
      <c r="D1752" s="107">
        <v>1</v>
      </c>
      <c r="E1752" s="107" t="s">
        <v>170</v>
      </c>
      <c r="F1752" s="107" t="s">
        <v>171</v>
      </c>
      <c r="G1752" s="161">
        <v>45353</v>
      </c>
      <c r="H1752" s="107">
        <f t="shared" si="33"/>
        <v>4</v>
      </c>
    </row>
    <row r="1753" spans="1:8">
      <c r="A1753" s="107">
        <v>2</v>
      </c>
      <c r="B1753" s="107">
        <v>25</v>
      </c>
      <c r="C1753" s="107">
        <v>6</v>
      </c>
      <c r="D1753" s="107">
        <v>2</v>
      </c>
      <c r="E1753" s="107" t="s">
        <v>170</v>
      </c>
      <c r="F1753" s="107" t="s">
        <v>171</v>
      </c>
      <c r="G1753" s="161">
        <v>45353</v>
      </c>
      <c r="H1753" s="107">
        <f t="shared" si="33"/>
        <v>6</v>
      </c>
    </row>
    <row r="1754" spans="1:8">
      <c r="A1754" s="107">
        <v>2</v>
      </c>
      <c r="B1754" s="107">
        <v>25</v>
      </c>
      <c r="C1754" s="107">
        <v>6</v>
      </c>
      <c r="D1754" s="107">
        <v>3</v>
      </c>
      <c r="E1754" s="107" t="s">
        <v>170</v>
      </c>
      <c r="F1754" s="107" t="s">
        <v>171</v>
      </c>
      <c r="G1754" s="100">
        <v>45355</v>
      </c>
      <c r="H1754" s="107">
        <f t="shared" si="33"/>
        <v>4</v>
      </c>
    </row>
    <row r="1755" spans="1:8">
      <c r="A1755" s="107">
        <v>2</v>
      </c>
      <c r="B1755" s="107">
        <v>25</v>
      </c>
      <c r="C1755" s="107">
        <v>6</v>
      </c>
      <c r="D1755" s="107">
        <v>4</v>
      </c>
      <c r="E1755" s="107" t="s">
        <v>170</v>
      </c>
      <c r="F1755" s="107" t="s">
        <v>171</v>
      </c>
      <c r="G1755" s="161">
        <v>45353</v>
      </c>
      <c r="H1755" s="107">
        <f t="shared" si="33"/>
        <v>4</v>
      </c>
    </row>
    <row r="1756" spans="1:8">
      <c r="A1756" s="107">
        <v>2</v>
      </c>
      <c r="B1756" s="107">
        <v>25</v>
      </c>
      <c r="C1756" s="107">
        <v>7</v>
      </c>
      <c r="D1756" s="107">
        <v>1</v>
      </c>
      <c r="E1756" s="107" t="s">
        <v>517</v>
      </c>
      <c r="F1756" s="107" t="s">
        <v>518</v>
      </c>
      <c r="G1756" s="161">
        <v>45353</v>
      </c>
      <c r="H1756" s="107">
        <f t="shared" si="33"/>
        <v>4</v>
      </c>
    </row>
    <row r="1757" spans="1:8">
      <c r="A1757" s="107">
        <v>2</v>
      </c>
      <c r="B1757" s="107">
        <v>25</v>
      </c>
      <c r="C1757" s="107">
        <v>7</v>
      </c>
      <c r="D1757" s="107">
        <v>2</v>
      </c>
      <c r="E1757" s="107" t="s">
        <v>517</v>
      </c>
      <c r="F1757" s="107" t="s">
        <v>518</v>
      </c>
      <c r="G1757" s="161">
        <v>45353</v>
      </c>
      <c r="H1757" s="107">
        <f t="shared" si="33"/>
        <v>6</v>
      </c>
    </row>
    <row r="1758" spans="1:8">
      <c r="A1758" s="107">
        <v>2</v>
      </c>
      <c r="B1758" s="107">
        <v>25</v>
      </c>
      <c r="C1758" s="107">
        <v>7</v>
      </c>
      <c r="D1758" s="107">
        <v>3</v>
      </c>
      <c r="E1758" s="107" t="s">
        <v>517</v>
      </c>
      <c r="F1758" s="107" t="s">
        <v>518</v>
      </c>
      <c r="G1758" s="161">
        <v>45355</v>
      </c>
      <c r="H1758" s="107">
        <f t="shared" si="33"/>
        <v>4</v>
      </c>
    </row>
    <row r="1759" spans="1:8">
      <c r="A1759" s="107">
        <v>2</v>
      </c>
      <c r="B1759" s="107">
        <v>25</v>
      </c>
      <c r="C1759" s="107">
        <v>7</v>
      </c>
      <c r="D1759" s="107">
        <v>4</v>
      </c>
      <c r="E1759" s="107" t="s">
        <v>517</v>
      </c>
      <c r="F1759" s="107" t="s">
        <v>518</v>
      </c>
      <c r="G1759" s="161">
        <v>45353</v>
      </c>
      <c r="H1759" s="107">
        <f t="shared" si="33"/>
        <v>5</v>
      </c>
    </row>
    <row r="1760" spans="1:8">
      <c r="A1760" s="107">
        <v>2</v>
      </c>
      <c r="B1760" s="107">
        <v>25</v>
      </c>
      <c r="C1760" s="107">
        <v>8</v>
      </c>
      <c r="D1760" s="107">
        <v>1</v>
      </c>
      <c r="E1760" s="107" t="s">
        <v>311</v>
      </c>
      <c r="F1760" s="107" t="s">
        <v>312</v>
      </c>
      <c r="G1760" s="161">
        <v>45354</v>
      </c>
      <c r="H1760" s="107">
        <f t="shared" si="33"/>
        <v>7</v>
      </c>
    </row>
    <row r="1761" spans="1:8">
      <c r="A1761" s="107">
        <v>2</v>
      </c>
      <c r="B1761" s="107">
        <v>25</v>
      </c>
      <c r="C1761" s="107">
        <v>8</v>
      </c>
      <c r="D1761" s="107">
        <v>2</v>
      </c>
      <c r="E1761" s="107" t="s">
        <v>311</v>
      </c>
      <c r="F1761" s="107" t="s">
        <v>312</v>
      </c>
      <c r="G1761" s="161">
        <v>45356</v>
      </c>
      <c r="H1761" s="107">
        <f t="shared" si="32"/>
        <v>7</v>
      </c>
    </row>
    <row r="1762" spans="1:8">
      <c r="A1762" s="107">
        <v>2</v>
      </c>
      <c r="B1762" s="107">
        <v>25</v>
      </c>
      <c r="C1762" s="107">
        <v>8</v>
      </c>
      <c r="D1762" s="107">
        <v>3</v>
      </c>
      <c r="E1762" s="107" t="s">
        <v>311</v>
      </c>
      <c r="F1762" s="107" t="s">
        <v>312</v>
      </c>
      <c r="G1762" s="161">
        <v>45354</v>
      </c>
      <c r="H1762" s="107">
        <f t="shared" si="32"/>
        <v>5</v>
      </c>
    </row>
    <row r="1763" spans="1:8">
      <c r="A1763" s="107">
        <v>2</v>
      </c>
      <c r="B1763" s="107">
        <v>25</v>
      </c>
      <c r="C1763" s="107">
        <v>8</v>
      </c>
      <c r="D1763" s="107">
        <v>4</v>
      </c>
      <c r="E1763" s="107" t="s">
        <v>311</v>
      </c>
      <c r="F1763" s="107" t="s">
        <v>312</v>
      </c>
      <c r="G1763" s="161">
        <v>45353</v>
      </c>
      <c r="H1763" s="107">
        <f t="shared" si="32"/>
        <v>4</v>
      </c>
    </row>
    <row r="1764" spans="1:8">
      <c r="A1764" s="107">
        <v>2</v>
      </c>
      <c r="B1764" s="107">
        <v>25</v>
      </c>
      <c r="C1764" s="107">
        <v>9</v>
      </c>
      <c r="D1764" s="107">
        <v>1</v>
      </c>
      <c r="E1764" s="107" t="s">
        <v>560</v>
      </c>
      <c r="F1764" s="107" t="s">
        <v>561</v>
      </c>
      <c r="G1764" s="161">
        <v>45354</v>
      </c>
      <c r="H1764" s="107">
        <f t="shared" si="32"/>
        <v>5</v>
      </c>
    </row>
    <row r="1765" spans="1:8">
      <c r="A1765" s="107">
        <v>2</v>
      </c>
      <c r="B1765" s="107">
        <v>25</v>
      </c>
      <c r="C1765" s="107">
        <v>9</v>
      </c>
      <c r="D1765" s="107">
        <v>2</v>
      </c>
      <c r="E1765" s="107" t="s">
        <v>560</v>
      </c>
      <c r="F1765" s="107" t="s">
        <v>561</v>
      </c>
      <c r="G1765" s="161">
        <v>45361</v>
      </c>
      <c r="H1765" s="107">
        <f t="shared" si="32"/>
        <v>12</v>
      </c>
    </row>
    <row r="1766" spans="1:8">
      <c r="A1766" s="107">
        <v>2</v>
      </c>
      <c r="B1766" s="107">
        <v>25</v>
      </c>
      <c r="C1766" s="107">
        <v>9</v>
      </c>
      <c r="D1766" s="107">
        <v>3</v>
      </c>
      <c r="E1766" s="107" t="s">
        <v>560</v>
      </c>
      <c r="F1766" s="107" t="s">
        <v>561</v>
      </c>
      <c r="G1766" s="161">
        <v>45353</v>
      </c>
      <c r="H1766" s="107">
        <f t="shared" si="32"/>
        <v>4</v>
      </c>
    </row>
    <row r="1767" spans="1:8">
      <c r="A1767" s="107">
        <v>2</v>
      </c>
      <c r="B1767" s="107">
        <v>25</v>
      </c>
      <c r="C1767" s="107">
        <v>9</v>
      </c>
      <c r="D1767" s="107">
        <v>4</v>
      </c>
      <c r="E1767" s="107" t="s">
        <v>560</v>
      </c>
      <c r="F1767" s="107" t="s">
        <v>561</v>
      </c>
      <c r="G1767" s="161">
        <v>45354</v>
      </c>
      <c r="H1767" s="107">
        <f t="shared" si="32"/>
        <v>5</v>
      </c>
    </row>
    <row r="1768" spans="1:8">
      <c r="A1768" s="107">
        <v>2</v>
      </c>
      <c r="B1768" s="107">
        <v>25</v>
      </c>
      <c r="C1768" s="107">
        <v>10</v>
      </c>
      <c r="D1768" s="107">
        <v>1</v>
      </c>
      <c r="E1768" s="107" t="s">
        <v>355</v>
      </c>
      <c r="F1768" s="107" t="s">
        <v>356</v>
      </c>
      <c r="G1768" s="161">
        <v>45354</v>
      </c>
      <c r="H1768" s="107">
        <f t="shared" si="32"/>
        <v>5</v>
      </c>
    </row>
    <row r="1769" spans="1:8">
      <c r="A1769" s="107">
        <v>2</v>
      </c>
      <c r="B1769" s="107">
        <v>25</v>
      </c>
      <c r="C1769" s="107">
        <v>10</v>
      </c>
      <c r="D1769" s="107">
        <v>2</v>
      </c>
      <c r="E1769" s="107" t="s">
        <v>355</v>
      </c>
      <c r="F1769" s="107" t="s">
        <v>356</v>
      </c>
      <c r="G1769" s="161">
        <v>45353</v>
      </c>
      <c r="H1769" s="107">
        <f t="shared" si="32"/>
        <v>4</v>
      </c>
    </row>
    <row r="1770" spans="1:8">
      <c r="A1770" s="107">
        <v>2</v>
      </c>
      <c r="B1770" s="107">
        <v>25</v>
      </c>
      <c r="C1770" s="107">
        <v>10</v>
      </c>
      <c r="D1770" s="107">
        <v>3</v>
      </c>
      <c r="E1770" s="107" t="s">
        <v>355</v>
      </c>
      <c r="F1770" s="107" t="s">
        <v>356</v>
      </c>
      <c r="G1770" s="161">
        <v>45354</v>
      </c>
      <c r="H1770" s="107">
        <f t="shared" si="32"/>
        <v>5</v>
      </c>
    </row>
    <row r="1771" spans="1:8">
      <c r="A1771" s="107">
        <v>2</v>
      </c>
      <c r="B1771" s="107">
        <v>25</v>
      </c>
      <c r="C1771" s="107">
        <v>10</v>
      </c>
      <c r="D1771" s="107">
        <v>4</v>
      </c>
      <c r="E1771" s="107" t="s">
        <v>355</v>
      </c>
      <c r="F1771" s="107" t="s">
        <v>356</v>
      </c>
      <c r="G1771" s="161">
        <v>45353</v>
      </c>
      <c r="H1771" s="107">
        <f t="shared" si="32"/>
        <v>4</v>
      </c>
    </row>
    <row r="1772" spans="1:8">
      <c r="A1772" s="107">
        <v>2</v>
      </c>
      <c r="B1772" s="107">
        <v>25</v>
      </c>
      <c r="C1772" s="107">
        <v>11</v>
      </c>
      <c r="D1772" s="107">
        <v>1</v>
      </c>
      <c r="E1772" s="107" t="s">
        <v>164</v>
      </c>
      <c r="F1772" s="107" t="s">
        <v>165</v>
      </c>
      <c r="G1772" s="161">
        <v>45353</v>
      </c>
      <c r="H1772" s="107">
        <f t="shared" si="32"/>
        <v>4</v>
      </c>
    </row>
    <row r="1773" spans="1:8">
      <c r="A1773" s="107">
        <v>2</v>
      </c>
      <c r="B1773" s="107">
        <v>25</v>
      </c>
      <c r="C1773" s="107">
        <v>11</v>
      </c>
      <c r="D1773" s="107">
        <v>2</v>
      </c>
      <c r="E1773" s="107" t="s">
        <v>164</v>
      </c>
      <c r="F1773" s="107" t="s">
        <v>165</v>
      </c>
      <c r="G1773" s="161">
        <v>45353</v>
      </c>
      <c r="H1773" s="107">
        <f t="shared" si="32"/>
        <v>4</v>
      </c>
    </row>
    <row r="1774" spans="1:8">
      <c r="A1774" s="107">
        <v>2</v>
      </c>
      <c r="B1774" s="107">
        <v>25</v>
      </c>
      <c r="C1774" s="107">
        <v>11</v>
      </c>
      <c r="D1774" s="107">
        <v>3</v>
      </c>
      <c r="E1774" s="107" t="s">
        <v>164</v>
      </c>
      <c r="F1774" s="107" t="s">
        <v>165</v>
      </c>
      <c r="G1774" s="161">
        <v>45354</v>
      </c>
      <c r="H1774" s="107">
        <f t="shared" si="32"/>
        <v>5</v>
      </c>
    </row>
    <row r="1775" spans="1:8">
      <c r="A1775" s="107">
        <v>2</v>
      </c>
      <c r="B1775" s="107">
        <v>25</v>
      </c>
      <c r="C1775" s="107">
        <v>11</v>
      </c>
      <c r="D1775" s="107">
        <v>4</v>
      </c>
      <c r="E1775" s="107" t="s">
        <v>164</v>
      </c>
      <c r="F1775" s="107" t="s">
        <v>165</v>
      </c>
      <c r="G1775" s="161">
        <v>45353</v>
      </c>
      <c r="H1775" s="107">
        <f t="shared" si="32"/>
        <v>4</v>
      </c>
    </row>
    <row r="1776" spans="1:8">
      <c r="A1776" s="107">
        <v>2</v>
      </c>
      <c r="B1776" s="107">
        <v>25</v>
      </c>
      <c r="C1776" s="107">
        <v>12</v>
      </c>
      <c r="D1776" s="107">
        <v>1</v>
      </c>
      <c r="E1776" s="107" t="s">
        <v>457</v>
      </c>
      <c r="F1776" s="107" t="s">
        <v>458</v>
      </c>
      <c r="G1776" s="161">
        <v>45353</v>
      </c>
      <c r="H1776" s="107">
        <f t="shared" si="32"/>
        <v>4</v>
      </c>
    </row>
    <row r="1777" spans="1:8">
      <c r="A1777" s="107">
        <v>2</v>
      </c>
      <c r="B1777" s="107">
        <v>25</v>
      </c>
      <c r="C1777" s="107">
        <v>12</v>
      </c>
      <c r="D1777" s="107">
        <v>2</v>
      </c>
      <c r="E1777" s="107" t="s">
        <v>457</v>
      </c>
      <c r="F1777" s="107" t="s">
        <v>458</v>
      </c>
      <c r="G1777" s="161">
        <v>45353</v>
      </c>
      <c r="H1777" s="107">
        <f t="shared" si="32"/>
        <v>4</v>
      </c>
    </row>
    <row r="1778" spans="1:8">
      <c r="A1778" s="107">
        <v>2</v>
      </c>
      <c r="B1778" s="107">
        <v>25</v>
      </c>
      <c r="C1778" s="107">
        <v>12</v>
      </c>
      <c r="D1778" s="107">
        <v>3</v>
      </c>
      <c r="E1778" s="107" t="s">
        <v>457</v>
      </c>
      <c r="F1778" s="107" t="s">
        <v>458</v>
      </c>
      <c r="G1778" s="161">
        <v>45353</v>
      </c>
      <c r="H1778" s="107">
        <f t="shared" si="32"/>
        <v>4</v>
      </c>
    </row>
    <row r="1779" spans="1:8">
      <c r="A1779" s="107">
        <v>2</v>
      </c>
      <c r="B1779" s="107">
        <v>25</v>
      </c>
      <c r="C1779" s="107">
        <v>12</v>
      </c>
      <c r="D1779" s="107">
        <v>4</v>
      </c>
      <c r="E1779" s="107" t="s">
        <v>457</v>
      </c>
      <c r="F1779" s="107" t="s">
        <v>458</v>
      </c>
      <c r="G1779" s="161">
        <v>45353</v>
      </c>
      <c r="H1779" s="107">
        <f t="shared" si="32"/>
        <v>4</v>
      </c>
    </row>
    <row r="1780" spans="1:8">
      <c r="A1780" s="107">
        <v>2</v>
      </c>
      <c r="B1780" s="107">
        <v>25</v>
      </c>
      <c r="C1780" s="107">
        <v>13</v>
      </c>
      <c r="D1780" s="107">
        <v>1</v>
      </c>
      <c r="E1780" s="107" t="s">
        <v>240</v>
      </c>
      <c r="F1780" s="107" t="s">
        <v>241</v>
      </c>
      <c r="G1780" s="161">
        <v>45353</v>
      </c>
      <c r="H1780" s="107">
        <f t="shared" si="32"/>
        <v>4</v>
      </c>
    </row>
    <row r="1781" spans="1:8">
      <c r="A1781" s="107">
        <v>2</v>
      </c>
      <c r="B1781" s="107">
        <v>25</v>
      </c>
      <c r="C1781" s="107">
        <v>13</v>
      </c>
      <c r="D1781" s="107">
        <v>2</v>
      </c>
      <c r="E1781" s="107" t="s">
        <v>240</v>
      </c>
      <c r="F1781" s="107" t="s">
        <v>241</v>
      </c>
      <c r="G1781" s="161">
        <v>45354</v>
      </c>
      <c r="H1781" s="107">
        <f t="shared" si="32"/>
        <v>5</v>
      </c>
    </row>
    <row r="1782" spans="1:8">
      <c r="A1782" s="107">
        <v>2</v>
      </c>
      <c r="B1782" s="107">
        <v>25</v>
      </c>
      <c r="C1782" s="107">
        <v>13</v>
      </c>
      <c r="D1782" s="107">
        <v>3</v>
      </c>
      <c r="E1782" s="107" t="s">
        <v>240</v>
      </c>
      <c r="F1782" s="107" t="s">
        <v>241</v>
      </c>
      <c r="G1782" s="161">
        <v>45354</v>
      </c>
      <c r="H1782" s="107">
        <f t="shared" si="32"/>
        <v>5</v>
      </c>
    </row>
    <row r="1783" spans="1:8">
      <c r="A1783" s="107">
        <v>2</v>
      </c>
      <c r="B1783" s="107">
        <v>25</v>
      </c>
      <c r="C1783" s="107">
        <v>13</v>
      </c>
      <c r="D1783" s="107">
        <v>4</v>
      </c>
      <c r="E1783" s="107" t="s">
        <v>240</v>
      </c>
      <c r="F1783" s="107" t="s">
        <v>241</v>
      </c>
      <c r="G1783" s="161">
        <v>45354</v>
      </c>
      <c r="H1783" s="107">
        <f t="shared" si="32"/>
        <v>5</v>
      </c>
    </row>
    <row r="1784" spans="1:8">
      <c r="A1784" s="107">
        <v>2</v>
      </c>
      <c r="B1784" s="107">
        <v>25</v>
      </c>
      <c r="C1784" s="107">
        <v>14</v>
      </c>
      <c r="D1784" s="107">
        <v>1</v>
      </c>
      <c r="E1784" s="107" t="s">
        <v>305</v>
      </c>
      <c r="F1784" s="107" t="s">
        <v>306</v>
      </c>
      <c r="G1784" s="161">
        <v>45353</v>
      </c>
      <c r="H1784" s="107">
        <f t="shared" si="32"/>
        <v>4</v>
      </c>
    </row>
    <row r="1785" spans="1:8">
      <c r="A1785" s="107">
        <v>2</v>
      </c>
      <c r="B1785" s="107">
        <v>25</v>
      </c>
      <c r="C1785" s="107">
        <v>14</v>
      </c>
      <c r="D1785" s="107">
        <v>2</v>
      </c>
      <c r="E1785" s="107" t="s">
        <v>305</v>
      </c>
      <c r="F1785" s="107" t="s">
        <v>306</v>
      </c>
      <c r="G1785" s="161">
        <v>45353</v>
      </c>
      <c r="H1785" s="107">
        <f t="shared" si="32"/>
        <v>4</v>
      </c>
    </row>
    <row r="1786" spans="1:8">
      <c r="A1786" s="107">
        <v>2</v>
      </c>
      <c r="B1786" s="107">
        <v>25</v>
      </c>
      <c r="C1786" s="107">
        <v>14</v>
      </c>
      <c r="D1786" s="107">
        <v>3</v>
      </c>
      <c r="E1786" s="107" t="s">
        <v>305</v>
      </c>
      <c r="F1786" s="107" t="s">
        <v>306</v>
      </c>
      <c r="G1786" s="161">
        <v>45353</v>
      </c>
      <c r="H1786" s="107">
        <f t="shared" si="32"/>
        <v>4</v>
      </c>
    </row>
    <row r="1787" spans="1:8">
      <c r="A1787" s="107">
        <v>2</v>
      </c>
      <c r="B1787" s="107">
        <v>25</v>
      </c>
      <c r="C1787" s="107">
        <v>14</v>
      </c>
      <c r="D1787" s="107">
        <v>4</v>
      </c>
      <c r="E1787" s="107" t="s">
        <v>305</v>
      </c>
      <c r="F1787" s="107" t="s">
        <v>306</v>
      </c>
      <c r="G1787" s="161">
        <v>45353</v>
      </c>
      <c r="H1787" s="107">
        <f t="shared" si="32"/>
        <v>4</v>
      </c>
    </row>
    <row r="1788" spans="1:8">
      <c r="A1788" s="107">
        <v>2</v>
      </c>
      <c r="B1788" s="107">
        <v>25</v>
      </c>
      <c r="C1788" s="107">
        <v>15</v>
      </c>
      <c r="D1788" s="107">
        <v>1</v>
      </c>
      <c r="E1788" s="107" t="s">
        <v>580</v>
      </c>
      <c r="F1788" s="107" t="s">
        <v>581</v>
      </c>
      <c r="G1788" s="161">
        <v>45353</v>
      </c>
      <c r="H1788" s="107">
        <f t="shared" si="32"/>
        <v>4</v>
      </c>
    </row>
    <row r="1789" spans="1:8">
      <c r="A1789" s="107">
        <v>2</v>
      </c>
      <c r="B1789" s="107">
        <v>25</v>
      </c>
      <c r="C1789" s="107">
        <v>15</v>
      </c>
      <c r="D1789" s="107">
        <v>2</v>
      </c>
      <c r="E1789" s="107" t="s">
        <v>580</v>
      </c>
      <c r="F1789" s="107" t="s">
        <v>581</v>
      </c>
      <c r="G1789" s="161">
        <v>45354</v>
      </c>
      <c r="H1789" s="107">
        <f t="shared" si="32"/>
        <v>5</v>
      </c>
    </row>
    <row r="1790" spans="1:8">
      <c r="A1790" s="107">
        <v>2</v>
      </c>
      <c r="B1790" s="107">
        <v>25</v>
      </c>
      <c r="C1790" s="107">
        <v>15</v>
      </c>
      <c r="D1790" s="107">
        <v>3</v>
      </c>
      <c r="E1790" s="107" t="s">
        <v>580</v>
      </c>
      <c r="F1790" s="107" t="s">
        <v>581</v>
      </c>
      <c r="G1790" s="161">
        <v>45353</v>
      </c>
      <c r="H1790" s="107">
        <f t="shared" si="32"/>
        <v>4</v>
      </c>
    </row>
    <row r="1791" spans="1:8">
      <c r="A1791" s="107">
        <v>2</v>
      </c>
      <c r="B1791" s="107">
        <v>25</v>
      </c>
      <c r="C1791" s="107">
        <v>15</v>
      </c>
      <c r="D1791" s="107">
        <v>4</v>
      </c>
      <c r="E1791" s="107" t="s">
        <v>580</v>
      </c>
      <c r="F1791" s="107" t="s">
        <v>581</v>
      </c>
      <c r="G1791" s="161">
        <v>45353</v>
      </c>
      <c r="H1791" s="107">
        <f t="shared" si="32"/>
        <v>4</v>
      </c>
    </row>
    <row r="1792" spans="1:8">
      <c r="A1792" s="107">
        <v>2</v>
      </c>
      <c r="B1792" s="107">
        <v>25</v>
      </c>
      <c r="C1792" s="107">
        <v>16</v>
      </c>
      <c r="D1792" s="107">
        <v>1</v>
      </c>
      <c r="E1792" s="107" t="s">
        <v>216</v>
      </c>
      <c r="F1792" s="107" t="s">
        <v>217</v>
      </c>
      <c r="G1792" s="161">
        <v>45353</v>
      </c>
      <c r="H1792" s="107">
        <f t="shared" si="32"/>
        <v>4</v>
      </c>
    </row>
    <row r="1793" spans="1:8">
      <c r="A1793" s="107">
        <v>2</v>
      </c>
      <c r="B1793" s="107">
        <v>25</v>
      </c>
      <c r="C1793" s="107">
        <v>16</v>
      </c>
      <c r="D1793" s="107">
        <v>2</v>
      </c>
      <c r="E1793" s="107" t="s">
        <v>216</v>
      </c>
      <c r="F1793" s="107" t="s">
        <v>217</v>
      </c>
      <c r="G1793" s="161">
        <v>45356</v>
      </c>
      <c r="H1793" s="107">
        <f t="shared" si="32"/>
        <v>7</v>
      </c>
    </row>
    <row r="1794" spans="1:8">
      <c r="A1794" s="107">
        <v>2</v>
      </c>
      <c r="B1794" s="107">
        <v>25</v>
      </c>
      <c r="C1794" s="107">
        <v>16</v>
      </c>
      <c r="D1794" s="107">
        <v>3</v>
      </c>
      <c r="E1794" s="107" t="s">
        <v>216</v>
      </c>
      <c r="F1794" s="107" t="s">
        <v>217</v>
      </c>
      <c r="G1794" s="161">
        <v>45353</v>
      </c>
      <c r="H1794" s="107">
        <f t="shared" si="32"/>
        <v>4</v>
      </c>
    </row>
    <row r="1795" spans="1:8">
      <c r="A1795" s="107">
        <v>2</v>
      </c>
      <c r="B1795" s="107">
        <v>25</v>
      </c>
      <c r="C1795" s="107">
        <v>16</v>
      </c>
      <c r="D1795" s="107">
        <v>4</v>
      </c>
      <c r="E1795" s="107" t="s">
        <v>216</v>
      </c>
      <c r="F1795" s="107" t="s">
        <v>217</v>
      </c>
      <c r="G1795" s="161">
        <v>45354</v>
      </c>
      <c r="H1795" s="107">
        <f t="shared" si="32"/>
        <v>5</v>
      </c>
    </row>
    <row r="1796" spans="1:8">
      <c r="A1796" s="107">
        <v>2</v>
      </c>
      <c r="B1796" s="107">
        <v>25</v>
      </c>
      <c r="C1796" s="107">
        <v>17</v>
      </c>
      <c r="D1796" s="107">
        <v>1</v>
      </c>
      <c r="E1796" s="107" t="s">
        <v>644</v>
      </c>
      <c r="F1796" s="107" t="s">
        <v>645</v>
      </c>
      <c r="G1796" s="161">
        <v>45353</v>
      </c>
      <c r="H1796" s="107">
        <f t="shared" si="32"/>
        <v>4</v>
      </c>
    </row>
    <row r="1797" spans="1:8">
      <c r="A1797" s="107">
        <v>2</v>
      </c>
      <c r="B1797" s="107">
        <v>25</v>
      </c>
      <c r="C1797" s="107">
        <v>17</v>
      </c>
      <c r="D1797" s="107">
        <v>2</v>
      </c>
      <c r="E1797" s="107" t="s">
        <v>644</v>
      </c>
      <c r="F1797" s="107" t="s">
        <v>645</v>
      </c>
      <c r="G1797" s="161">
        <v>45353</v>
      </c>
      <c r="H1797" s="107">
        <f t="shared" ref="H1797:H1860" si="34">DATEDIF($H$2,G1797,"d")</f>
        <v>4</v>
      </c>
    </row>
    <row r="1798" spans="1:8">
      <c r="A1798" s="107">
        <v>2</v>
      </c>
      <c r="B1798" s="107">
        <v>25</v>
      </c>
      <c r="C1798" s="107">
        <v>17</v>
      </c>
      <c r="D1798" s="107">
        <v>3</v>
      </c>
      <c r="E1798" s="107" t="s">
        <v>644</v>
      </c>
      <c r="F1798" s="107" t="s">
        <v>645</v>
      </c>
      <c r="G1798" s="161">
        <v>45353</v>
      </c>
      <c r="H1798" s="107">
        <f t="shared" si="34"/>
        <v>4</v>
      </c>
    </row>
    <row r="1799" spans="1:8">
      <c r="A1799" s="107">
        <v>2</v>
      </c>
      <c r="B1799" s="107">
        <v>25</v>
      </c>
      <c r="C1799" s="107">
        <v>17</v>
      </c>
      <c r="D1799" s="107">
        <v>4</v>
      </c>
      <c r="E1799" s="107" t="s">
        <v>644</v>
      </c>
      <c r="F1799" s="107" t="s">
        <v>645</v>
      </c>
      <c r="G1799" s="161">
        <v>45353</v>
      </c>
      <c r="H1799" s="107">
        <f t="shared" si="34"/>
        <v>4</v>
      </c>
    </row>
    <row r="1800" spans="1:8">
      <c r="A1800" s="107">
        <v>2</v>
      </c>
      <c r="B1800" s="107">
        <v>25</v>
      </c>
      <c r="C1800" s="107">
        <v>18</v>
      </c>
      <c r="D1800" s="107">
        <v>1</v>
      </c>
      <c r="E1800" s="107" t="s">
        <v>668</v>
      </c>
      <c r="F1800" s="107" t="s">
        <v>669</v>
      </c>
      <c r="G1800" s="161">
        <v>45353</v>
      </c>
      <c r="H1800" s="107">
        <f t="shared" si="34"/>
        <v>4</v>
      </c>
    </row>
    <row r="1801" spans="1:8">
      <c r="A1801" s="107">
        <v>2</v>
      </c>
      <c r="B1801" s="107">
        <v>25</v>
      </c>
      <c r="C1801" s="107">
        <v>18</v>
      </c>
      <c r="D1801" s="107">
        <v>2</v>
      </c>
      <c r="E1801" s="107" t="s">
        <v>668</v>
      </c>
      <c r="F1801" s="107" t="s">
        <v>669</v>
      </c>
      <c r="G1801" s="161">
        <v>45353</v>
      </c>
      <c r="H1801" s="107">
        <f t="shared" si="34"/>
        <v>4</v>
      </c>
    </row>
    <row r="1802" spans="1:8">
      <c r="A1802" s="107">
        <v>2</v>
      </c>
      <c r="B1802" s="107">
        <v>25</v>
      </c>
      <c r="C1802" s="107">
        <v>18</v>
      </c>
      <c r="D1802" s="107">
        <v>3</v>
      </c>
      <c r="E1802" s="107" t="s">
        <v>668</v>
      </c>
      <c r="F1802" s="107" t="s">
        <v>669</v>
      </c>
      <c r="G1802" s="161">
        <v>45353</v>
      </c>
      <c r="H1802" s="107">
        <f t="shared" si="34"/>
        <v>4</v>
      </c>
    </row>
    <row r="1803" spans="1:8">
      <c r="A1803" s="107">
        <v>2</v>
      </c>
      <c r="B1803" s="107">
        <v>25</v>
      </c>
      <c r="C1803" s="107">
        <v>18</v>
      </c>
      <c r="D1803" s="107">
        <v>4</v>
      </c>
      <c r="E1803" s="107" t="s">
        <v>668</v>
      </c>
      <c r="F1803" s="107" t="s">
        <v>669</v>
      </c>
      <c r="G1803" s="161">
        <v>45353</v>
      </c>
      <c r="H1803" s="107">
        <f t="shared" si="34"/>
        <v>4</v>
      </c>
    </row>
    <row r="1804" spans="1:8">
      <c r="A1804" s="107">
        <v>2</v>
      </c>
      <c r="B1804" s="107">
        <v>26</v>
      </c>
      <c r="C1804" s="107">
        <v>1</v>
      </c>
      <c r="D1804" s="107">
        <v>1</v>
      </c>
      <c r="E1804" s="107" t="s">
        <v>140</v>
      </c>
      <c r="F1804" s="107" t="s">
        <v>141</v>
      </c>
      <c r="G1804" s="107"/>
      <c r="H1804" s="107"/>
    </row>
    <row r="1805" spans="1:8">
      <c r="A1805" s="107">
        <v>2</v>
      </c>
      <c r="B1805" s="107">
        <v>26</v>
      </c>
      <c r="C1805" s="107">
        <v>1</v>
      </c>
      <c r="D1805" s="107">
        <v>2</v>
      </c>
      <c r="E1805" s="107" t="s">
        <v>140</v>
      </c>
      <c r="F1805" s="107" t="s">
        <v>141</v>
      </c>
      <c r="G1805" s="107"/>
      <c r="H1805" s="107"/>
    </row>
    <row r="1806" spans="1:8">
      <c r="A1806" s="107">
        <v>2</v>
      </c>
      <c r="B1806" s="107">
        <v>26</v>
      </c>
      <c r="C1806" s="107">
        <v>1</v>
      </c>
      <c r="D1806" s="107">
        <v>3</v>
      </c>
      <c r="E1806" s="107" t="s">
        <v>140</v>
      </c>
      <c r="F1806" s="107" t="s">
        <v>141</v>
      </c>
      <c r="G1806" s="107"/>
      <c r="H1806" s="107"/>
    </row>
    <row r="1807" spans="1:8">
      <c r="A1807" s="107">
        <v>2</v>
      </c>
      <c r="B1807" s="107">
        <v>26</v>
      </c>
      <c r="C1807" s="107">
        <v>1</v>
      </c>
      <c r="D1807" s="107">
        <v>4</v>
      </c>
      <c r="E1807" s="107" t="s">
        <v>140</v>
      </c>
      <c r="F1807" s="107" t="s">
        <v>141</v>
      </c>
      <c r="G1807" s="161">
        <v>45354</v>
      </c>
      <c r="H1807" s="107">
        <f t="shared" si="34"/>
        <v>5</v>
      </c>
    </row>
    <row r="1808" spans="1:8">
      <c r="A1808" s="107">
        <v>2</v>
      </c>
      <c r="B1808" s="107">
        <v>26</v>
      </c>
      <c r="C1808" s="107">
        <v>2</v>
      </c>
      <c r="D1808" s="107">
        <v>1</v>
      </c>
      <c r="E1808" s="107" t="s">
        <v>532</v>
      </c>
      <c r="F1808" s="107" t="s">
        <v>503</v>
      </c>
      <c r="G1808" s="161">
        <v>45353</v>
      </c>
      <c r="H1808" s="107">
        <f t="shared" si="34"/>
        <v>4</v>
      </c>
    </row>
    <row r="1809" spans="1:8">
      <c r="A1809" s="107">
        <v>2</v>
      </c>
      <c r="B1809" s="107">
        <v>26</v>
      </c>
      <c r="C1809" s="107">
        <v>2</v>
      </c>
      <c r="D1809" s="107">
        <v>2</v>
      </c>
      <c r="E1809" s="107" t="s">
        <v>532</v>
      </c>
      <c r="F1809" s="107" t="s">
        <v>503</v>
      </c>
      <c r="G1809" s="161">
        <v>45353</v>
      </c>
      <c r="H1809" s="107">
        <f t="shared" si="34"/>
        <v>4</v>
      </c>
    </row>
    <row r="1810" spans="1:8">
      <c r="A1810" s="107">
        <v>2</v>
      </c>
      <c r="B1810" s="107">
        <v>26</v>
      </c>
      <c r="C1810" s="107">
        <v>2</v>
      </c>
      <c r="D1810" s="107">
        <v>3</v>
      </c>
      <c r="E1810" s="107" t="s">
        <v>532</v>
      </c>
      <c r="F1810" s="107" t="s">
        <v>503</v>
      </c>
      <c r="G1810" s="161">
        <v>45354</v>
      </c>
      <c r="H1810" s="107">
        <f t="shared" si="34"/>
        <v>5</v>
      </c>
    </row>
    <row r="1811" spans="1:8">
      <c r="A1811" s="107">
        <v>2</v>
      </c>
      <c r="B1811" s="107">
        <v>26</v>
      </c>
      <c r="C1811" s="107">
        <v>2</v>
      </c>
      <c r="D1811" s="107">
        <v>4</v>
      </c>
      <c r="E1811" s="107" t="s">
        <v>532</v>
      </c>
      <c r="F1811" s="107" t="s">
        <v>503</v>
      </c>
      <c r="G1811" s="161">
        <v>45353</v>
      </c>
      <c r="H1811" s="107">
        <f t="shared" si="34"/>
        <v>4</v>
      </c>
    </row>
    <row r="1812" spans="1:8">
      <c r="A1812" s="107">
        <v>2</v>
      </c>
      <c r="B1812" s="107">
        <v>26</v>
      </c>
      <c r="C1812" s="107">
        <v>3</v>
      </c>
      <c r="D1812" s="107">
        <v>1</v>
      </c>
      <c r="E1812" s="107" t="s">
        <v>706</v>
      </c>
      <c r="F1812" s="107" t="s">
        <v>137</v>
      </c>
      <c r="G1812" s="161">
        <v>45355</v>
      </c>
      <c r="H1812" s="107">
        <f t="shared" si="34"/>
        <v>6</v>
      </c>
    </row>
    <row r="1813" spans="1:8">
      <c r="A1813" s="107">
        <v>2</v>
      </c>
      <c r="B1813" s="107">
        <v>26</v>
      </c>
      <c r="C1813" s="107">
        <v>3</v>
      </c>
      <c r="D1813" s="107">
        <v>2</v>
      </c>
      <c r="E1813" s="107" t="s">
        <v>706</v>
      </c>
      <c r="F1813" s="107" t="s">
        <v>137</v>
      </c>
      <c r="G1813" s="161">
        <v>45353</v>
      </c>
      <c r="H1813" s="107">
        <f t="shared" si="34"/>
        <v>4</v>
      </c>
    </row>
    <row r="1814" spans="1:8">
      <c r="A1814" s="107">
        <v>2</v>
      </c>
      <c r="B1814" s="107">
        <v>26</v>
      </c>
      <c r="C1814" s="107">
        <v>3</v>
      </c>
      <c r="D1814" s="107">
        <v>3</v>
      </c>
      <c r="E1814" s="107" t="s">
        <v>706</v>
      </c>
      <c r="F1814" s="107" t="s">
        <v>137</v>
      </c>
      <c r="G1814" s="161">
        <v>45353</v>
      </c>
      <c r="H1814" s="107">
        <f t="shared" si="34"/>
        <v>4</v>
      </c>
    </row>
    <row r="1815" spans="1:8">
      <c r="A1815" s="107">
        <v>2</v>
      </c>
      <c r="B1815" s="107">
        <v>26</v>
      </c>
      <c r="C1815" s="107">
        <v>3</v>
      </c>
      <c r="D1815" s="107">
        <v>4</v>
      </c>
      <c r="E1815" s="107" t="s">
        <v>706</v>
      </c>
      <c r="F1815" s="107" t="s">
        <v>137</v>
      </c>
      <c r="G1815" s="161">
        <v>45353</v>
      </c>
      <c r="H1815" s="107">
        <f t="shared" si="34"/>
        <v>4</v>
      </c>
    </row>
    <row r="1816" spans="1:8">
      <c r="A1816" s="107">
        <v>2</v>
      </c>
      <c r="B1816" s="107">
        <v>26</v>
      </c>
      <c r="C1816" s="107">
        <v>4</v>
      </c>
      <c r="D1816" s="107">
        <v>1</v>
      </c>
      <c r="E1816" s="107" t="s">
        <v>244</v>
      </c>
      <c r="F1816" s="107" t="s">
        <v>245</v>
      </c>
      <c r="G1816" s="161">
        <v>45354</v>
      </c>
      <c r="H1816" s="107">
        <f t="shared" si="34"/>
        <v>5</v>
      </c>
    </row>
    <row r="1817" spans="1:8">
      <c r="A1817" s="107">
        <v>2</v>
      </c>
      <c r="B1817" s="107">
        <v>26</v>
      </c>
      <c r="C1817" s="107">
        <v>4</v>
      </c>
      <c r="D1817" s="107">
        <v>2</v>
      </c>
      <c r="E1817" s="107" t="s">
        <v>244</v>
      </c>
      <c r="F1817" s="107" t="s">
        <v>245</v>
      </c>
      <c r="G1817" s="161">
        <v>45356</v>
      </c>
      <c r="H1817" s="107">
        <f t="shared" si="34"/>
        <v>7</v>
      </c>
    </row>
    <row r="1818" spans="1:8">
      <c r="A1818" s="107">
        <v>2</v>
      </c>
      <c r="B1818" s="107">
        <v>26</v>
      </c>
      <c r="C1818" s="107">
        <v>4</v>
      </c>
      <c r="D1818" s="107">
        <v>3</v>
      </c>
      <c r="E1818" s="107" t="s">
        <v>244</v>
      </c>
      <c r="F1818" s="107" t="s">
        <v>245</v>
      </c>
      <c r="G1818" s="161">
        <v>45354</v>
      </c>
      <c r="H1818" s="107">
        <f t="shared" si="34"/>
        <v>5</v>
      </c>
    </row>
    <row r="1819" spans="1:8">
      <c r="A1819" s="107">
        <v>2</v>
      </c>
      <c r="B1819" s="107">
        <v>26</v>
      </c>
      <c r="C1819" s="107">
        <v>4</v>
      </c>
      <c r="D1819" s="107">
        <v>4</v>
      </c>
      <c r="E1819" s="107" t="s">
        <v>244</v>
      </c>
      <c r="F1819" s="107" t="s">
        <v>245</v>
      </c>
      <c r="G1819" s="161">
        <v>45354</v>
      </c>
      <c r="H1819" s="107">
        <f t="shared" si="34"/>
        <v>5</v>
      </c>
    </row>
    <row r="1820" spans="1:8">
      <c r="A1820" s="107">
        <v>2</v>
      </c>
      <c r="B1820" s="107">
        <v>26</v>
      </c>
      <c r="C1820" s="107">
        <v>5</v>
      </c>
      <c r="D1820" s="107">
        <v>1</v>
      </c>
      <c r="E1820" s="107" t="s">
        <v>586</v>
      </c>
      <c r="F1820" s="107" t="s">
        <v>587</v>
      </c>
      <c r="G1820" s="161">
        <v>45353</v>
      </c>
      <c r="H1820" s="107">
        <f t="shared" si="34"/>
        <v>4</v>
      </c>
    </row>
    <row r="1821" spans="1:8">
      <c r="A1821" s="107">
        <v>2</v>
      </c>
      <c r="B1821" s="107">
        <v>26</v>
      </c>
      <c r="C1821" s="107">
        <v>5</v>
      </c>
      <c r="D1821" s="107">
        <v>2</v>
      </c>
      <c r="E1821" s="107" t="s">
        <v>586</v>
      </c>
      <c r="F1821" s="107" t="s">
        <v>587</v>
      </c>
      <c r="G1821" s="161">
        <v>45354</v>
      </c>
      <c r="H1821" s="107">
        <f t="shared" si="34"/>
        <v>5</v>
      </c>
    </row>
    <row r="1822" spans="1:8">
      <c r="A1822" s="107">
        <v>2</v>
      </c>
      <c r="B1822" s="107">
        <v>26</v>
      </c>
      <c r="C1822" s="107">
        <v>5</v>
      </c>
      <c r="D1822" s="107">
        <v>3</v>
      </c>
      <c r="E1822" s="107" t="s">
        <v>586</v>
      </c>
      <c r="F1822" s="107" t="s">
        <v>587</v>
      </c>
      <c r="G1822" s="161">
        <v>45353</v>
      </c>
      <c r="H1822" s="107">
        <f t="shared" si="34"/>
        <v>4</v>
      </c>
    </row>
    <row r="1823" spans="1:8">
      <c r="A1823" s="107">
        <v>2</v>
      </c>
      <c r="B1823" s="107">
        <v>26</v>
      </c>
      <c r="C1823" s="107">
        <v>5</v>
      </c>
      <c r="D1823" s="107">
        <v>4</v>
      </c>
      <c r="E1823" s="107" t="s">
        <v>586</v>
      </c>
      <c r="F1823" s="107" t="s">
        <v>587</v>
      </c>
      <c r="G1823" s="161">
        <v>45354</v>
      </c>
      <c r="H1823" s="107">
        <f t="shared" si="34"/>
        <v>5</v>
      </c>
    </row>
    <row r="1824" spans="1:8">
      <c r="A1824" s="107">
        <v>2</v>
      </c>
      <c r="B1824" s="107">
        <v>26</v>
      </c>
      <c r="C1824" s="107">
        <v>6</v>
      </c>
      <c r="D1824" s="107">
        <v>1</v>
      </c>
      <c r="E1824" s="107" t="s">
        <v>419</v>
      </c>
      <c r="F1824" s="107" t="s">
        <v>420</v>
      </c>
      <c r="G1824" s="161">
        <v>45354</v>
      </c>
      <c r="H1824" s="107">
        <f t="shared" si="34"/>
        <v>5</v>
      </c>
    </row>
    <row r="1825" spans="1:8">
      <c r="A1825" s="107">
        <v>2</v>
      </c>
      <c r="B1825" s="107">
        <v>26</v>
      </c>
      <c r="C1825" s="107">
        <v>6</v>
      </c>
      <c r="D1825" s="107">
        <v>2</v>
      </c>
      <c r="E1825" s="107" t="s">
        <v>419</v>
      </c>
      <c r="F1825" s="107" t="s">
        <v>420</v>
      </c>
      <c r="G1825" s="161">
        <v>45353</v>
      </c>
      <c r="H1825" s="107">
        <f t="shared" si="34"/>
        <v>4</v>
      </c>
    </row>
    <row r="1826" spans="1:8">
      <c r="A1826" s="107">
        <v>2</v>
      </c>
      <c r="B1826" s="107">
        <v>26</v>
      </c>
      <c r="C1826" s="107">
        <v>6</v>
      </c>
      <c r="D1826" s="107">
        <v>3</v>
      </c>
      <c r="E1826" s="107" t="s">
        <v>419</v>
      </c>
      <c r="F1826" s="107" t="s">
        <v>420</v>
      </c>
      <c r="G1826" s="161">
        <v>45354</v>
      </c>
      <c r="H1826" s="107">
        <f t="shared" si="34"/>
        <v>5</v>
      </c>
    </row>
    <row r="1827" spans="1:8">
      <c r="A1827" s="107">
        <v>2</v>
      </c>
      <c r="B1827" s="107">
        <v>26</v>
      </c>
      <c r="C1827" s="107">
        <v>6</v>
      </c>
      <c r="D1827" s="107">
        <v>4</v>
      </c>
      <c r="E1827" s="107" t="s">
        <v>419</v>
      </c>
      <c r="F1827" s="107" t="s">
        <v>420</v>
      </c>
      <c r="G1827" s="161">
        <v>45353</v>
      </c>
      <c r="H1827" s="107">
        <f t="shared" si="34"/>
        <v>4</v>
      </c>
    </row>
    <row r="1828" spans="1:8">
      <c r="A1828" s="107">
        <v>2</v>
      </c>
      <c r="B1828" s="107">
        <v>26</v>
      </c>
      <c r="C1828" s="107">
        <v>7</v>
      </c>
      <c r="D1828" s="107">
        <v>1</v>
      </c>
      <c r="E1828" s="107" t="s">
        <v>553</v>
      </c>
      <c r="F1828" s="107" t="s">
        <v>547</v>
      </c>
      <c r="G1828" s="161">
        <v>45354</v>
      </c>
      <c r="H1828" s="107">
        <f t="shared" si="34"/>
        <v>5</v>
      </c>
    </row>
    <row r="1829" spans="1:8">
      <c r="A1829" s="107">
        <v>2</v>
      </c>
      <c r="B1829" s="107">
        <v>26</v>
      </c>
      <c r="C1829" s="107">
        <v>7</v>
      </c>
      <c r="D1829" s="107">
        <v>2</v>
      </c>
      <c r="E1829" s="107" t="s">
        <v>553</v>
      </c>
      <c r="F1829" s="107" t="s">
        <v>547</v>
      </c>
      <c r="G1829" s="161">
        <v>45353</v>
      </c>
      <c r="H1829" s="107">
        <f t="shared" si="34"/>
        <v>4</v>
      </c>
    </row>
    <row r="1830" spans="1:8">
      <c r="A1830" s="107">
        <v>2</v>
      </c>
      <c r="B1830" s="107">
        <v>26</v>
      </c>
      <c r="C1830" s="107">
        <v>7</v>
      </c>
      <c r="D1830" s="107">
        <v>3</v>
      </c>
      <c r="E1830" s="107" t="s">
        <v>553</v>
      </c>
      <c r="F1830" s="107" t="s">
        <v>547</v>
      </c>
      <c r="G1830" s="161">
        <v>45353</v>
      </c>
      <c r="H1830" s="107">
        <f t="shared" si="34"/>
        <v>4</v>
      </c>
    </row>
    <row r="1831" spans="1:8">
      <c r="A1831" s="107">
        <v>2</v>
      </c>
      <c r="B1831" s="107">
        <v>26</v>
      </c>
      <c r="C1831" s="107">
        <v>7</v>
      </c>
      <c r="D1831" s="107">
        <v>4</v>
      </c>
      <c r="E1831" s="107" t="s">
        <v>553</v>
      </c>
      <c r="F1831" s="107" t="s">
        <v>547</v>
      </c>
      <c r="G1831" s="161">
        <v>45353</v>
      </c>
      <c r="H1831" s="107">
        <f t="shared" si="34"/>
        <v>4</v>
      </c>
    </row>
    <row r="1832" spans="1:8">
      <c r="A1832" s="107">
        <v>2</v>
      </c>
      <c r="B1832" s="107">
        <v>26</v>
      </c>
      <c r="C1832" s="107">
        <v>8</v>
      </c>
      <c r="D1832" s="107">
        <v>1</v>
      </c>
      <c r="E1832" s="107" t="s">
        <v>506</v>
      </c>
      <c r="F1832" s="107" t="s">
        <v>507</v>
      </c>
      <c r="G1832" s="161">
        <v>45353</v>
      </c>
      <c r="H1832" s="107">
        <f t="shared" si="34"/>
        <v>4</v>
      </c>
    </row>
    <row r="1833" spans="1:8">
      <c r="A1833" s="107">
        <v>2</v>
      </c>
      <c r="B1833" s="107">
        <v>26</v>
      </c>
      <c r="C1833" s="107">
        <v>8</v>
      </c>
      <c r="D1833" s="107">
        <v>2</v>
      </c>
      <c r="E1833" s="107" t="s">
        <v>506</v>
      </c>
      <c r="F1833" s="107" t="s">
        <v>507</v>
      </c>
      <c r="G1833" s="161">
        <v>45354</v>
      </c>
      <c r="H1833" s="107">
        <f t="shared" si="34"/>
        <v>5</v>
      </c>
    </row>
    <row r="1834" spans="1:8">
      <c r="A1834" s="107">
        <v>2</v>
      </c>
      <c r="B1834" s="107">
        <v>26</v>
      </c>
      <c r="C1834" s="107">
        <v>8</v>
      </c>
      <c r="D1834" s="107">
        <v>3</v>
      </c>
      <c r="E1834" s="107" t="s">
        <v>506</v>
      </c>
      <c r="F1834" s="107" t="s">
        <v>507</v>
      </c>
      <c r="G1834" s="161">
        <v>45353</v>
      </c>
      <c r="H1834" s="107">
        <f t="shared" si="34"/>
        <v>4</v>
      </c>
    </row>
    <row r="1835" spans="1:8">
      <c r="A1835" s="107">
        <v>2</v>
      </c>
      <c r="B1835" s="107">
        <v>26</v>
      </c>
      <c r="C1835" s="107">
        <v>8</v>
      </c>
      <c r="D1835" s="107">
        <v>4</v>
      </c>
      <c r="E1835" s="107" t="s">
        <v>506</v>
      </c>
      <c r="F1835" s="107" t="s">
        <v>507</v>
      </c>
      <c r="G1835" s="107"/>
      <c r="H1835" s="107"/>
    </row>
    <row r="1836" spans="1:8">
      <c r="A1836" s="107">
        <v>2</v>
      </c>
      <c r="B1836" s="107">
        <v>26</v>
      </c>
      <c r="C1836" s="107">
        <v>9</v>
      </c>
      <c r="D1836" s="107">
        <v>1</v>
      </c>
      <c r="E1836" s="107" t="s">
        <v>461</v>
      </c>
      <c r="F1836" s="107" t="s">
        <v>462</v>
      </c>
      <c r="G1836" s="161">
        <v>45354</v>
      </c>
      <c r="H1836" s="107">
        <f t="shared" si="34"/>
        <v>5</v>
      </c>
    </row>
    <row r="1837" spans="1:8">
      <c r="A1837" s="107">
        <v>2</v>
      </c>
      <c r="B1837" s="107">
        <v>26</v>
      </c>
      <c r="C1837" s="107">
        <v>9</v>
      </c>
      <c r="D1837" s="107">
        <v>2</v>
      </c>
      <c r="E1837" s="107" t="s">
        <v>461</v>
      </c>
      <c r="F1837" s="107" t="s">
        <v>462</v>
      </c>
      <c r="G1837" s="161">
        <v>45354</v>
      </c>
      <c r="H1837" s="107">
        <f t="shared" si="34"/>
        <v>5</v>
      </c>
    </row>
    <row r="1838" spans="1:8">
      <c r="A1838" s="107">
        <v>2</v>
      </c>
      <c r="B1838" s="107">
        <v>26</v>
      </c>
      <c r="C1838" s="107">
        <v>9</v>
      </c>
      <c r="D1838" s="107">
        <v>3</v>
      </c>
      <c r="E1838" s="107" t="s">
        <v>461</v>
      </c>
      <c r="F1838" s="107" t="s">
        <v>462</v>
      </c>
      <c r="G1838" s="161">
        <v>45353</v>
      </c>
      <c r="H1838" s="107">
        <f t="shared" si="34"/>
        <v>4</v>
      </c>
    </row>
    <row r="1839" spans="1:8">
      <c r="A1839" s="107">
        <v>2</v>
      </c>
      <c r="B1839" s="107">
        <v>26</v>
      </c>
      <c r="C1839" s="107">
        <v>9</v>
      </c>
      <c r="D1839" s="107">
        <v>4</v>
      </c>
      <c r="E1839" s="107" t="s">
        <v>461</v>
      </c>
      <c r="F1839" s="107" t="s">
        <v>462</v>
      </c>
      <c r="G1839" s="161">
        <v>45353</v>
      </c>
      <c r="H1839" s="107">
        <f t="shared" si="34"/>
        <v>4</v>
      </c>
    </row>
    <row r="1840" spans="1:8">
      <c r="A1840" s="107">
        <v>2</v>
      </c>
      <c r="B1840" s="107">
        <v>26</v>
      </c>
      <c r="C1840" s="107">
        <v>10</v>
      </c>
      <c r="D1840" s="107">
        <v>1</v>
      </c>
      <c r="E1840" s="107" t="s">
        <v>333</v>
      </c>
      <c r="F1840" s="107" t="s">
        <v>334</v>
      </c>
      <c r="G1840" s="161">
        <v>45354</v>
      </c>
      <c r="H1840" s="107">
        <f t="shared" si="34"/>
        <v>5</v>
      </c>
    </row>
    <row r="1841" spans="1:8">
      <c r="A1841" s="107">
        <v>2</v>
      </c>
      <c r="B1841" s="107">
        <v>26</v>
      </c>
      <c r="C1841" s="107">
        <v>10</v>
      </c>
      <c r="D1841" s="107">
        <v>2</v>
      </c>
      <c r="E1841" s="107" t="s">
        <v>333</v>
      </c>
      <c r="F1841" s="107" t="s">
        <v>334</v>
      </c>
      <c r="G1841" s="161">
        <v>45353</v>
      </c>
      <c r="H1841" s="107">
        <f t="shared" si="34"/>
        <v>4</v>
      </c>
    </row>
    <row r="1842" spans="1:8">
      <c r="A1842" s="107">
        <v>2</v>
      </c>
      <c r="B1842" s="107">
        <v>26</v>
      </c>
      <c r="C1842" s="107">
        <v>10</v>
      </c>
      <c r="D1842" s="107">
        <v>3</v>
      </c>
      <c r="E1842" s="107" t="s">
        <v>333</v>
      </c>
      <c r="F1842" s="107" t="s">
        <v>334</v>
      </c>
      <c r="G1842" s="161">
        <v>45354</v>
      </c>
      <c r="H1842" s="107">
        <f t="shared" si="34"/>
        <v>5</v>
      </c>
    </row>
    <row r="1843" spans="1:8">
      <c r="A1843" s="107">
        <v>2</v>
      </c>
      <c r="B1843" s="107">
        <v>26</v>
      </c>
      <c r="C1843" s="107">
        <v>10</v>
      </c>
      <c r="D1843" s="107">
        <v>4</v>
      </c>
      <c r="E1843" s="107" t="s">
        <v>333</v>
      </c>
      <c r="F1843" s="107" t="s">
        <v>334</v>
      </c>
      <c r="G1843" s="161">
        <v>45353</v>
      </c>
      <c r="H1843" s="107">
        <f t="shared" si="34"/>
        <v>4</v>
      </c>
    </row>
    <row r="1844" spans="1:8">
      <c r="A1844" s="107">
        <v>2</v>
      </c>
      <c r="B1844" s="107">
        <v>26</v>
      </c>
      <c r="C1844" s="107">
        <v>11</v>
      </c>
      <c r="D1844" s="107">
        <v>1</v>
      </c>
      <c r="E1844" s="107" t="s">
        <v>369</v>
      </c>
      <c r="F1844" s="107" t="s">
        <v>370</v>
      </c>
      <c r="G1844" s="161">
        <v>45354</v>
      </c>
      <c r="H1844" s="107">
        <f t="shared" si="34"/>
        <v>5</v>
      </c>
    </row>
    <row r="1845" spans="1:8">
      <c r="A1845" s="107">
        <v>2</v>
      </c>
      <c r="B1845" s="107">
        <v>26</v>
      </c>
      <c r="C1845" s="107">
        <v>11</v>
      </c>
      <c r="D1845" s="107">
        <v>2</v>
      </c>
      <c r="E1845" s="107" t="s">
        <v>369</v>
      </c>
      <c r="F1845" s="107" t="s">
        <v>370</v>
      </c>
      <c r="G1845" s="161">
        <v>45353</v>
      </c>
      <c r="H1845" s="107">
        <f t="shared" si="34"/>
        <v>4</v>
      </c>
    </row>
    <row r="1846" spans="1:8">
      <c r="A1846" s="107">
        <v>2</v>
      </c>
      <c r="B1846" s="107">
        <v>26</v>
      </c>
      <c r="C1846" s="107">
        <v>11</v>
      </c>
      <c r="D1846" s="107">
        <v>3</v>
      </c>
      <c r="E1846" s="107" t="s">
        <v>369</v>
      </c>
      <c r="F1846" s="107" t="s">
        <v>370</v>
      </c>
      <c r="G1846" s="161">
        <v>45353</v>
      </c>
      <c r="H1846" s="107">
        <f t="shared" si="34"/>
        <v>4</v>
      </c>
    </row>
    <row r="1847" spans="1:8">
      <c r="A1847" s="107">
        <v>2</v>
      </c>
      <c r="B1847" s="107">
        <v>26</v>
      </c>
      <c r="C1847" s="107">
        <v>11</v>
      </c>
      <c r="D1847" s="107">
        <v>4</v>
      </c>
      <c r="E1847" s="107" t="s">
        <v>369</v>
      </c>
      <c r="F1847" s="107" t="s">
        <v>370</v>
      </c>
      <c r="G1847" s="161">
        <v>45354</v>
      </c>
      <c r="H1847" s="107">
        <f t="shared" si="34"/>
        <v>5</v>
      </c>
    </row>
    <row r="1848" spans="1:8">
      <c r="A1848" s="107">
        <v>2</v>
      </c>
      <c r="B1848" s="107">
        <v>26</v>
      </c>
      <c r="C1848" s="107">
        <v>12</v>
      </c>
      <c r="D1848" s="107">
        <v>1</v>
      </c>
      <c r="E1848" s="107" t="s">
        <v>737</v>
      </c>
      <c r="F1848" s="107" t="s">
        <v>738</v>
      </c>
      <c r="G1848" s="161">
        <v>45353</v>
      </c>
      <c r="H1848" s="107">
        <f t="shared" si="34"/>
        <v>4</v>
      </c>
    </row>
    <row r="1849" spans="1:8">
      <c r="A1849" s="107">
        <v>2</v>
      </c>
      <c r="B1849" s="107">
        <v>26</v>
      </c>
      <c r="C1849" s="107">
        <v>12</v>
      </c>
      <c r="D1849" s="107">
        <v>2</v>
      </c>
      <c r="E1849" s="107" t="s">
        <v>737</v>
      </c>
      <c r="F1849" s="107" t="s">
        <v>738</v>
      </c>
      <c r="G1849" s="161">
        <v>45353</v>
      </c>
      <c r="H1849" s="107">
        <f t="shared" si="34"/>
        <v>4</v>
      </c>
    </row>
    <row r="1850" spans="1:8">
      <c r="A1850" s="107">
        <v>2</v>
      </c>
      <c r="B1850" s="107">
        <v>26</v>
      </c>
      <c r="C1850" s="107">
        <v>12</v>
      </c>
      <c r="D1850" s="107">
        <v>3</v>
      </c>
      <c r="E1850" s="107" t="s">
        <v>737</v>
      </c>
      <c r="F1850" s="107" t="s">
        <v>738</v>
      </c>
      <c r="G1850" s="161">
        <v>45353</v>
      </c>
      <c r="H1850" s="107">
        <f t="shared" si="34"/>
        <v>4</v>
      </c>
    </row>
    <row r="1851" spans="1:8">
      <c r="A1851" s="107">
        <v>2</v>
      </c>
      <c r="B1851" s="107">
        <v>26</v>
      </c>
      <c r="C1851" s="107">
        <v>12</v>
      </c>
      <c r="D1851" s="107">
        <v>4</v>
      </c>
      <c r="E1851" s="107" t="s">
        <v>737</v>
      </c>
      <c r="F1851" s="107" t="s">
        <v>738</v>
      </c>
      <c r="G1851" s="107"/>
      <c r="H1851" s="107"/>
    </row>
    <row r="1852" spans="1:8">
      <c r="A1852" s="107">
        <v>2</v>
      </c>
      <c r="B1852" s="107">
        <v>26</v>
      </c>
      <c r="C1852" s="107">
        <v>13</v>
      </c>
      <c r="D1852" s="107">
        <v>1</v>
      </c>
      <c r="E1852" s="107" t="s">
        <v>190</v>
      </c>
      <c r="F1852" s="107" t="s">
        <v>191</v>
      </c>
      <c r="G1852" s="161">
        <v>45354</v>
      </c>
      <c r="H1852" s="107">
        <f t="shared" si="34"/>
        <v>5</v>
      </c>
    </row>
    <row r="1853" spans="1:8">
      <c r="A1853" s="107">
        <v>2</v>
      </c>
      <c r="B1853" s="107">
        <v>26</v>
      </c>
      <c r="C1853" s="107">
        <v>13</v>
      </c>
      <c r="D1853" s="107">
        <v>2</v>
      </c>
      <c r="E1853" s="107" t="s">
        <v>190</v>
      </c>
      <c r="F1853" s="107" t="s">
        <v>191</v>
      </c>
      <c r="G1853" s="161">
        <v>45353</v>
      </c>
      <c r="H1853" s="107">
        <f t="shared" si="34"/>
        <v>4</v>
      </c>
    </row>
    <row r="1854" spans="1:8">
      <c r="A1854" s="107">
        <v>2</v>
      </c>
      <c r="B1854" s="107">
        <v>26</v>
      </c>
      <c r="C1854" s="107">
        <v>13</v>
      </c>
      <c r="D1854" s="107">
        <v>3</v>
      </c>
      <c r="E1854" s="107" t="s">
        <v>190</v>
      </c>
      <c r="F1854" s="107" t="s">
        <v>191</v>
      </c>
      <c r="G1854" s="161">
        <v>45355</v>
      </c>
      <c r="H1854" s="107">
        <f t="shared" si="34"/>
        <v>6</v>
      </c>
    </row>
    <row r="1855" spans="1:8">
      <c r="A1855" s="107">
        <v>2</v>
      </c>
      <c r="B1855" s="107">
        <v>26</v>
      </c>
      <c r="C1855" s="107">
        <v>13</v>
      </c>
      <c r="D1855" s="107">
        <v>4</v>
      </c>
      <c r="E1855" s="107" t="s">
        <v>190</v>
      </c>
      <c r="F1855" s="107" t="s">
        <v>191</v>
      </c>
      <c r="G1855" s="161">
        <v>45353</v>
      </c>
      <c r="H1855" s="107">
        <f t="shared" si="34"/>
        <v>4</v>
      </c>
    </row>
    <row r="1856" spans="1:8">
      <c r="A1856" s="107">
        <v>2</v>
      </c>
      <c r="B1856" s="107">
        <v>26</v>
      </c>
      <c r="C1856" s="107">
        <v>14</v>
      </c>
      <c r="D1856" s="107">
        <v>1</v>
      </c>
      <c r="E1856" s="107" t="s">
        <v>622</v>
      </c>
      <c r="F1856" s="107" t="s">
        <v>623</v>
      </c>
      <c r="G1856" s="161">
        <v>45353</v>
      </c>
      <c r="H1856" s="107">
        <f t="shared" si="34"/>
        <v>4</v>
      </c>
    </row>
    <row r="1857" spans="1:8">
      <c r="A1857" s="107">
        <v>2</v>
      </c>
      <c r="B1857" s="107">
        <v>26</v>
      </c>
      <c r="C1857" s="107">
        <v>14</v>
      </c>
      <c r="D1857" s="107">
        <v>2</v>
      </c>
      <c r="E1857" s="107" t="s">
        <v>622</v>
      </c>
      <c r="F1857" s="107" t="s">
        <v>623</v>
      </c>
      <c r="G1857" s="161">
        <v>45353</v>
      </c>
      <c r="H1857" s="107">
        <f t="shared" si="34"/>
        <v>4</v>
      </c>
    </row>
    <row r="1858" spans="1:8">
      <c r="A1858" s="107">
        <v>2</v>
      </c>
      <c r="B1858" s="107">
        <v>26</v>
      </c>
      <c r="C1858" s="107">
        <v>14</v>
      </c>
      <c r="D1858" s="107">
        <v>3</v>
      </c>
      <c r="E1858" s="107" t="s">
        <v>622</v>
      </c>
      <c r="F1858" s="107" t="s">
        <v>623</v>
      </c>
      <c r="G1858" s="161">
        <v>45353</v>
      </c>
      <c r="H1858" s="107">
        <f t="shared" si="34"/>
        <v>4</v>
      </c>
    </row>
    <row r="1859" spans="1:8">
      <c r="A1859" s="107">
        <v>2</v>
      </c>
      <c r="B1859" s="107">
        <v>26</v>
      </c>
      <c r="C1859" s="107">
        <v>14</v>
      </c>
      <c r="D1859" s="107">
        <v>4</v>
      </c>
      <c r="E1859" s="107" t="s">
        <v>622</v>
      </c>
      <c r="F1859" s="107" t="s">
        <v>623</v>
      </c>
      <c r="G1859" s="161">
        <v>45353</v>
      </c>
      <c r="H1859" s="107">
        <f t="shared" si="34"/>
        <v>4</v>
      </c>
    </row>
    <row r="1860" spans="1:8">
      <c r="A1860" s="107">
        <v>2</v>
      </c>
      <c r="B1860" s="107">
        <v>26</v>
      </c>
      <c r="C1860" s="107">
        <v>15</v>
      </c>
      <c r="D1860" s="107">
        <v>1</v>
      </c>
      <c r="E1860" s="107" t="s">
        <v>234</v>
      </c>
      <c r="F1860" s="107" t="s">
        <v>235</v>
      </c>
      <c r="G1860" s="161">
        <v>45354</v>
      </c>
      <c r="H1860" s="107">
        <f t="shared" si="34"/>
        <v>5</v>
      </c>
    </row>
    <row r="1861" spans="1:8">
      <c r="A1861" s="107">
        <v>2</v>
      </c>
      <c r="B1861" s="107">
        <v>26</v>
      </c>
      <c r="C1861" s="107">
        <v>15</v>
      </c>
      <c r="D1861" s="107">
        <v>2</v>
      </c>
      <c r="E1861" s="107" t="s">
        <v>234</v>
      </c>
      <c r="F1861" s="107" t="s">
        <v>235</v>
      </c>
      <c r="G1861" s="161">
        <v>45354</v>
      </c>
      <c r="H1861" s="107">
        <f t="shared" ref="H1861:H1924" si="35">DATEDIF($H$2,G1861,"d")</f>
        <v>5</v>
      </c>
    </row>
    <row r="1862" spans="1:8">
      <c r="A1862" s="107">
        <v>2</v>
      </c>
      <c r="B1862" s="107">
        <v>26</v>
      </c>
      <c r="C1862" s="107">
        <v>15</v>
      </c>
      <c r="D1862" s="107">
        <v>3</v>
      </c>
      <c r="E1862" s="107" t="s">
        <v>234</v>
      </c>
      <c r="F1862" s="107" t="s">
        <v>235</v>
      </c>
      <c r="G1862" s="161">
        <v>45353</v>
      </c>
      <c r="H1862" s="107">
        <f t="shared" si="35"/>
        <v>4</v>
      </c>
    </row>
    <row r="1863" spans="1:8">
      <c r="A1863" s="107">
        <v>2</v>
      </c>
      <c r="B1863" s="107">
        <v>26</v>
      </c>
      <c r="C1863" s="107">
        <v>15</v>
      </c>
      <c r="D1863" s="107">
        <v>4</v>
      </c>
      <c r="E1863" s="107" t="s">
        <v>234</v>
      </c>
      <c r="F1863" s="107" t="s">
        <v>235</v>
      </c>
      <c r="G1863" s="161">
        <v>45353</v>
      </c>
      <c r="H1863" s="107">
        <f t="shared" si="35"/>
        <v>4</v>
      </c>
    </row>
    <row r="1864" spans="1:8">
      <c r="A1864" s="107">
        <v>2</v>
      </c>
      <c r="B1864" s="107">
        <v>26</v>
      </c>
      <c r="C1864" s="107">
        <v>16</v>
      </c>
      <c r="D1864" s="107">
        <v>1</v>
      </c>
      <c r="E1864" s="107" t="s">
        <v>660</v>
      </c>
      <c r="F1864" s="107" t="s">
        <v>661</v>
      </c>
      <c r="G1864" s="161">
        <v>45353</v>
      </c>
      <c r="H1864" s="107">
        <f t="shared" si="35"/>
        <v>4</v>
      </c>
    </row>
    <row r="1865" spans="1:8">
      <c r="A1865" s="107">
        <v>2</v>
      </c>
      <c r="B1865" s="107">
        <v>26</v>
      </c>
      <c r="C1865" s="107">
        <v>16</v>
      </c>
      <c r="D1865" s="107">
        <v>2</v>
      </c>
      <c r="E1865" s="107" t="s">
        <v>660</v>
      </c>
      <c r="F1865" s="107" t="s">
        <v>661</v>
      </c>
      <c r="G1865" s="161">
        <v>45353</v>
      </c>
      <c r="H1865" s="107">
        <f t="shared" si="35"/>
        <v>4</v>
      </c>
    </row>
    <row r="1866" spans="1:8">
      <c r="A1866" s="107">
        <v>2</v>
      </c>
      <c r="B1866" s="107">
        <v>26</v>
      </c>
      <c r="C1866" s="107">
        <v>16</v>
      </c>
      <c r="D1866" s="107">
        <v>3</v>
      </c>
      <c r="E1866" s="107" t="s">
        <v>660</v>
      </c>
      <c r="F1866" s="107" t="s">
        <v>661</v>
      </c>
      <c r="G1866" s="161">
        <v>45354</v>
      </c>
      <c r="H1866" s="107">
        <f t="shared" si="35"/>
        <v>5</v>
      </c>
    </row>
    <row r="1867" spans="1:8">
      <c r="A1867" s="107">
        <v>2</v>
      </c>
      <c r="B1867" s="107">
        <v>26</v>
      </c>
      <c r="C1867" s="107">
        <v>16</v>
      </c>
      <c r="D1867" s="107">
        <v>4</v>
      </c>
      <c r="E1867" s="107" t="s">
        <v>660</v>
      </c>
      <c r="F1867" s="107" t="s">
        <v>661</v>
      </c>
      <c r="G1867" s="161">
        <v>45353</v>
      </c>
      <c r="H1867" s="107">
        <f t="shared" si="35"/>
        <v>4</v>
      </c>
    </row>
    <row r="1868" spans="1:8">
      <c r="A1868" s="107">
        <v>2</v>
      </c>
      <c r="B1868" s="107">
        <v>26</v>
      </c>
      <c r="C1868" s="107">
        <v>17</v>
      </c>
      <c r="D1868" s="107">
        <v>1</v>
      </c>
      <c r="E1868" s="107" t="s">
        <v>381</v>
      </c>
      <c r="F1868" s="107" t="s">
        <v>382</v>
      </c>
      <c r="G1868" s="161">
        <v>45353</v>
      </c>
      <c r="H1868" s="107">
        <f t="shared" si="35"/>
        <v>4</v>
      </c>
    </row>
    <row r="1869" spans="1:8">
      <c r="A1869" s="107">
        <v>2</v>
      </c>
      <c r="B1869" s="107">
        <v>26</v>
      </c>
      <c r="C1869" s="107">
        <v>17</v>
      </c>
      <c r="D1869" s="107">
        <v>2</v>
      </c>
      <c r="E1869" s="107" t="s">
        <v>381</v>
      </c>
      <c r="F1869" s="107" t="s">
        <v>382</v>
      </c>
      <c r="G1869" s="107"/>
      <c r="H1869" s="107"/>
    </row>
    <row r="1870" spans="1:8">
      <c r="A1870" s="107">
        <v>2</v>
      </c>
      <c r="B1870" s="107">
        <v>26</v>
      </c>
      <c r="C1870" s="107">
        <v>17</v>
      </c>
      <c r="D1870" s="107">
        <v>3</v>
      </c>
      <c r="E1870" s="107" t="s">
        <v>381</v>
      </c>
      <c r="F1870" s="107" t="s">
        <v>382</v>
      </c>
      <c r="G1870" s="107"/>
      <c r="H1870" s="107"/>
    </row>
    <row r="1871" spans="1:8">
      <c r="A1871" s="107">
        <v>2</v>
      </c>
      <c r="B1871" s="107">
        <v>26</v>
      </c>
      <c r="C1871" s="107">
        <v>17</v>
      </c>
      <c r="D1871" s="107">
        <v>4</v>
      </c>
      <c r="E1871" s="107" t="s">
        <v>381</v>
      </c>
      <c r="F1871" s="107" t="s">
        <v>382</v>
      </c>
      <c r="G1871" s="161">
        <v>45354</v>
      </c>
      <c r="H1871" s="107">
        <f t="shared" si="35"/>
        <v>5</v>
      </c>
    </row>
    <row r="1872" spans="1:8">
      <c r="A1872" s="107">
        <v>2</v>
      </c>
      <c r="B1872" s="107">
        <v>26</v>
      </c>
      <c r="C1872" s="107">
        <v>18</v>
      </c>
      <c r="D1872" s="107">
        <v>1</v>
      </c>
      <c r="E1872" s="107" t="s">
        <v>279</v>
      </c>
      <c r="F1872" s="107" t="s">
        <v>280</v>
      </c>
      <c r="G1872" s="161">
        <v>45353</v>
      </c>
      <c r="H1872" s="107">
        <f t="shared" si="35"/>
        <v>4</v>
      </c>
    </row>
    <row r="1873" spans="1:8">
      <c r="A1873" s="107">
        <v>2</v>
      </c>
      <c r="B1873" s="107">
        <v>26</v>
      </c>
      <c r="C1873" s="107">
        <v>18</v>
      </c>
      <c r="D1873" s="107">
        <v>2</v>
      </c>
      <c r="E1873" s="107" t="s">
        <v>279</v>
      </c>
      <c r="F1873" s="107" t="s">
        <v>280</v>
      </c>
      <c r="G1873" s="161">
        <v>45354</v>
      </c>
      <c r="H1873" s="107">
        <f t="shared" si="35"/>
        <v>5</v>
      </c>
    </row>
    <row r="1874" spans="1:8">
      <c r="A1874" s="107">
        <v>2</v>
      </c>
      <c r="B1874" s="107">
        <v>26</v>
      </c>
      <c r="C1874" s="107">
        <v>18</v>
      </c>
      <c r="D1874" s="107">
        <v>3</v>
      </c>
      <c r="E1874" s="107" t="s">
        <v>279</v>
      </c>
      <c r="F1874" s="107" t="s">
        <v>280</v>
      </c>
      <c r="G1874" s="161">
        <v>45353</v>
      </c>
      <c r="H1874" s="107">
        <f t="shared" si="35"/>
        <v>4</v>
      </c>
    </row>
    <row r="1875" spans="1:8">
      <c r="A1875" s="107">
        <v>2</v>
      </c>
      <c r="B1875" s="107">
        <v>26</v>
      </c>
      <c r="C1875" s="107">
        <v>18</v>
      </c>
      <c r="D1875" s="107">
        <v>4</v>
      </c>
      <c r="E1875" s="107" t="s">
        <v>279</v>
      </c>
      <c r="F1875" s="107" t="s">
        <v>280</v>
      </c>
      <c r="G1875" s="161">
        <v>45354</v>
      </c>
      <c r="H1875" s="107">
        <f t="shared" si="35"/>
        <v>5</v>
      </c>
    </row>
    <row r="1876" spans="1:8">
      <c r="A1876" s="107">
        <v>2</v>
      </c>
      <c r="B1876" s="107">
        <v>27</v>
      </c>
      <c r="C1876" s="107">
        <v>1</v>
      </c>
      <c r="D1876" s="107">
        <v>1</v>
      </c>
      <c r="E1876" s="107" t="s">
        <v>500</v>
      </c>
      <c r="F1876" s="107" t="s">
        <v>501</v>
      </c>
      <c r="G1876" s="161">
        <v>45353</v>
      </c>
      <c r="H1876" s="107">
        <f t="shared" si="35"/>
        <v>4</v>
      </c>
    </row>
    <row r="1877" spans="1:8">
      <c r="A1877" s="107">
        <v>2</v>
      </c>
      <c r="B1877" s="107">
        <v>27</v>
      </c>
      <c r="C1877" s="107">
        <v>1</v>
      </c>
      <c r="D1877" s="107">
        <v>2</v>
      </c>
      <c r="E1877" s="107" t="s">
        <v>500</v>
      </c>
      <c r="F1877" s="107" t="s">
        <v>501</v>
      </c>
      <c r="G1877" s="161">
        <v>45354</v>
      </c>
      <c r="H1877" s="107">
        <f t="shared" si="35"/>
        <v>5</v>
      </c>
    </row>
    <row r="1878" spans="1:8">
      <c r="A1878" s="107">
        <v>2</v>
      </c>
      <c r="B1878" s="107">
        <v>27</v>
      </c>
      <c r="C1878" s="107">
        <v>1</v>
      </c>
      <c r="D1878" s="107">
        <v>3</v>
      </c>
      <c r="E1878" s="107" t="s">
        <v>500</v>
      </c>
      <c r="F1878" s="107" t="s">
        <v>501</v>
      </c>
      <c r="G1878" s="161">
        <v>45353</v>
      </c>
      <c r="H1878" s="107">
        <f t="shared" si="35"/>
        <v>4</v>
      </c>
    </row>
    <row r="1879" spans="1:8">
      <c r="A1879" s="107">
        <v>2</v>
      </c>
      <c r="B1879" s="107">
        <v>27</v>
      </c>
      <c r="C1879" s="107">
        <v>1</v>
      </c>
      <c r="D1879" s="107">
        <v>4</v>
      </c>
      <c r="E1879" s="107" t="s">
        <v>500</v>
      </c>
      <c r="F1879" s="107" t="s">
        <v>501</v>
      </c>
      <c r="G1879" s="107"/>
      <c r="H1879" s="107"/>
    </row>
    <row r="1880" spans="1:8">
      <c r="A1880" s="107">
        <v>2</v>
      </c>
      <c r="B1880" s="107">
        <v>27</v>
      </c>
      <c r="C1880" s="107">
        <v>2</v>
      </c>
      <c r="D1880" s="107">
        <v>1</v>
      </c>
      <c r="E1880" s="107" t="s">
        <v>200</v>
      </c>
      <c r="F1880" s="107" t="s">
        <v>201</v>
      </c>
      <c r="G1880" s="161">
        <v>45354</v>
      </c>
      <c r="H1880" s="107">
        <f t="shared" si="35"/>
        <v>5</v>
      </c>
    </row>
    <row r="1881" spans="1:8">
      <c r="A1881" s="107">
        <v>2</v>
      </c>
      <c r="B1881" s="107">
        <v>27</v>
      </c>
      <c r="C1881" s="107">
        <v>2</v>
      </c>
      <c r="D1881" s="107">
        <v>2</v>
      </c>
      <c r="E1881" s="107" t="s">
        <v>200</v>
      </c>
      <c r="F1881" s="107" t="s">
        <v>201</v>
      </c>
      <c r="G1881" s="161">
        <v>45353</v>
      </c>
      <c r="H1881" s="107">
        <f t="shared" si="35"/>
        <v>4</v>
      </c>
    </row>
    <row r="1882" spans="1:8">
      <c r="A1882" s="107">
        <v>2</v>
      </c>
      <c r="B1882" s="107">
        <v>27</v>
      </c>
      <c r="C1882" s="107">
        <v>2</v>
      </c>
      <c r="D1882" s="107">
        <v>3</v>
      </c>
      <c r="E1882" s="107" t="s">
        <v>200</v>
      </c>
      <c r="F1882" s="107" t="s">
        <v>201</v>
      </c>
      <c r="G1882" s="107"/>
      <c r="H1882" s="107"/>
    </row>
    <row r="1883" spans="1:8">
      <c r="A1883" s="107">
        <v>2</v>
      </c>
      <c r="B1883" s="107">
        <v>27</v>
      </c>
      <c r="C1883" s="107">
        <v>2</v>
      </c>
      <c r="D1883" s="107">
        <v>4</v>
      </c>
      <c r="E1883" s="107" t="s">
        <v>200</v>
      </c>
      <c r="F1883" s="107" t="s">
        <v>201</v>
      </c>
      <c r="G1883" s="161">
        <v>45354</v>
      </c>
      <c r="H1883" s="107">
        <f t="shared" si="35"/>
        <v>5</v>
      </c>
    </row>
    <row r="1884" spans="1:8">
      <c r="A1884" s="107">
        <v>2</v>
      </c>
      <c r="B1884" s="107">
        <v>27</v>
      </c>
      <c r="C1884" s="107">
        <v>3</v>
      </c>
      <c r="D1884" s="107">
        <v>1</v>
      </c>
      <c r="E1884" s="107" t="s">
        <v>365</v>
      </c>
      <c r="F1884" s="107" t="s">
        <v>366</v>
      </c>
      <c r="G1884" s="161"/>
      <c r="H1884" s="107"/>
    </row>
    <row r="1885" spans="1:8">
      <c r="A1885" s="107">
        <v>2</v>
      </c>
      <c r="B1885" s="107">
        <v>27</v>
      </c>
      <c r="C1885" s="107">
        <v>3</v>
      </c>
      <c r="D1885" s="107">
        <v>2</v>
      </c>
      <c r="E1885" s="107" t="s">
        <v>365</v>
      </c>
      <c r="F1885" s="107" t="s">
        <v>366</v>
      </c>
      <c r="G1885" s="161">
        <v>45353</v>
      </c>
      <c r="H1885" s="107">
        <f t="shared" si="35"/>
        <v>4</v>
      </c>
    </row>
    <row r="1886" spans="1:8">
      <c r="A1886" s="107">
        <v>2</v>
      </c>
      <c r="B1886" s="107">
        <v>27</v>
      </c>
      <c r="C1886" s="107">
        <v>3</v>
      </c>
      <c r="D1886" s="107">
        <v>3</v>
      </c>
      <c r="E1886" s="107" t="s">
        <v>365</v>
      </c>
      <c r="F1886" s="107" t="s">
        <v>366</v>
      </c>
      <c r="G1886" s="161">
        <v>45353</v>
      </c>
      <c r="H1886" s="107">
        <f t="shared" si="35"/>
        <v>4</v>
      </c>
    </row>
    <row r="1887" spans="1:8">
      <c r="A1887" s="107">
        <v>2</v>
      </c>
      <c r="B1887" s="107">
        <v>27</v>
      </c>
      <c r="C1887" s="107">
        <v>3</v>
      </c>
      <c r="D1887" s="107">
        <v>4</v>
      </c>
      <c r="E1887" s="107" t="s">
        <v>365</v>
      </c>
      <c r="F1887" s="107" t="s">
        <v>366</v>
      </c>
      <c r="G1887" s="161">
        <v>45353</v>
      </c>
      <c r="H1887" s="107">
        <f t="shared" si="35"/>
        <v>4</v>
      </c>
    </row>
    <row r="1888" spans="1:8">
      <c r="A1888" s="107">
        <v>2</v>
      </c>
      <c r="B1888" s="107">
        <v>27</v>
      </c>
      <c r="C1888" s="107">
        <v>4</v>
      </c>
      <c r="D1888" s="107">
        <v>1</v>
      </c>
      <c r="E1888" s="107" t="s">
        <v>148</v>
      </c>
      <c r="F1888" s="107" t="s">
        <v>149</v>
      </c>
      <c r="G1888" s="161">
        <v>45354</v>
      </c>
      <c r="H1888" s="107">
        <f t="shared" si="35"/>
        <v>5</v>
      </c>
    </row>
    <row r="1889" spans="1:8">
      <c r="A1889" s="107">
        <v>2</v>
      </c>
      <c r="B1889" s="107">
        <v>27</v>
      </c>
      <c r="C1889" s="107">
        <v>4</v>
      </c>
      <c r="D1889" s="107">
        <v>2</v>
      </c>
      <c r="E1889" s="107" t="s">
        <v>148</v>
      </c>
      <c r="F1889" s="107" t="s">
        <v>149</v>
      </c>
      <c r="G1889" s="161">
        <v>45354</v>
      </c>
      <c r="H1889" s="107">
        <f t="shared" si="35"/>
        <v>5</v>
      </c>
    </row>
    <row r="1890" spans="1:8">
      <c r="A1890" s="107">
        <v>2</v>
      </c>
      <c r="B1890" s="107">
        <v>27</v>
      </c>
      <c r="C1890" s="107">
        <v>4</v>
      </c>
      <c r="D1890" s="107">
        <v>3</v>
      </c>
      <c r="E1890" s="107" t="s">
        <v>148</v>
      </c>
      <c r="F1890" s="107" t="s">
        <v>149</v>
      </c>
      <c r="G1890" s="161">
        <v>45354</v>
      </c>
      <c r="H1890" s="107">
        <f t="shared" si="35"/>
        <v>5</v>
      </c>
    </row>
    <row r="1891" spans="1:8">
      <c r="A1891" s="107">
        <v>2</v>
      </c>
      <c r="B1891" s="107">
        <v>27</v>
      </c>
      <c r="C1891" s="107">
        <v>4</v>
      </c>
      <c r="D1891" s="107">
        <v>4</v>
      </c>
      <c r="E1891" s="107" t="s">
        <v>148</v>
      </c>
      <c r="F1891" s="107" t="s">
        <v>149</v>
      </c>
      <c r="G1891" s="161">
        <v>45354</v>
      </c>
      <c r="H1891" s="107">
        <f t="shared" si="35"/>
        <v>5</v>
      </c>
    </row>
    <row r="1892" spans="1:8">
      <c r="A1892" s="107">
        <v>2</v>
      </c>
      <c r="B1892" s="107">
        <v>27</v>
      </c>
      <c r="C1892" s="107">
        <v>5</v>
      </c>
      <c r="D1892" s="107">
        <v>1</v>
      </c>
      <c r="E1892" s="107" t="s">
        <v>608</v>
      </c>
      <c r="F1892" s="107" t="s">
        <v>609</v>
      </c>
      <c r="G1892" s="161">
        <v>45353</v>
      </c>
      <c r="H1892" s="107">
        <f t="shared" si="35"/>
        <v>4</v>
      </c>
    </row>
    <row r="1893" spans="1:8">
      <c r="A1893" s="107">
        <v>2</v>
      </c>
      <c r="B1893" s="107">
        <v>27</v>
      </c>
      <c r="C1893" s="107">
        <v>5</v>
      </c>
      <c r="D1893" s="107">
        <v>2</v>
      </c>
      <c r="E1893" s="107" t="s">
        <v>608</v>
      </c>
      <c r="F1893" s="107" t="s">
        <v>609</v>
      </c>
      <c r="G1893" s="161">
        <v>45353</v>
      </c>
      <c r="H1893" s="107">
        <f t="shared" si="35"/>
        <v>4</v>
      </c>
    </row>
    <row r="1894" spans="1:8">
      <c r="A1894" s="107">
        <v>2</v>
      </c>
      <c r="B1894" s="107">
        <v>27</v>
      </c>
      <c r="C1894" s="107">
        <v>5</v>
      </c>
      <c r="D1894" s="107">
        <v>3</v>
      </c>
      <c r="E1894" s="107" t="s">
        <v>608</v>
      </c>
      <c r="F1894" s="107" t="s">
        <v>609</v>
      </c>
      <c r="G1894" s="161">
        <v>45353</v>
      </c>
      <c r="H1894" s="107">
        <f t="shared" si="35"/>
        <v>4</v>
      </c>
    </row>
    <row r="1895" spans="1:8">
      <c r="A1895" s="107">
        <v>2</v>
      </c>
      <c r="B1895" s="107">
        <v>27</v>
      </c>
      <c r="C1895" s="107">
        <v>5</v>
      </c>
      <c r="D1895" s="107">
        <v>4</v>
      </c>
      <c r="E1895" s="107" t="s">
        <v>608</v>
      </c>
      <c r="F1895" s="107" t="s">
        <v>609</v>
      </c>
      <c r="G1895" s="161">
        <v>45353</v>
      </c>
      <c r="H1895" s="107">
        <f t="shared" si="35"/>
        <v>4</v>
      </c>
    </row>
    <row r="1896" spans="1:8">
      <c r="A1896" s="107">
        <v>2</v>
      </c>
      <c r="B1896" s="107">
        <v>27</v>
      </c>
      <c r="C1896" s="107">
        <v>6</v>
      </c>
      <c r="D1896" s="107">
        <v>1</v>
      </c>
      <c r="E1896" s="107" t="s">
        <v>624</v>
      </c>
      <c r="F1896" s="107" t="s">
        <v>625</v>
      </c>
      <c r="G1896" s="161">
        <v>45353</v>
      </c>
      <c r="H1896" s="107">
        <f t="shared" si="35"/>
        <v>4</v>
      </c>
    </row>
    <row r="1897" spans="1:8">
      <c r="A1897" s="107">
        <v>2</v>
      </c>
      <c r="B1897" s="107">
        <v>27</v>
      </c>
      <c r="C1897" s="107">
        <v>6</v>
      </c>
      <c r="D1897" s="107">
        <v>2</v>
      </c>
      <c r="E1897" s="107" t="s">
        <v>624</v>
      </c>
      <c r="F1897" s="107" t="s">
        <v>625</v>
      </c>
      <c r="G1897" s="161">
        <v>45353</v>
      </c>
      <c r="H1897" s="107">
        <f t="shared" si="35"/>
        <v>4</v>
      </c>
    </row>
    <row r="1898" spans="1:8">
      <c r="A1898" s="107">
        <v>2</v>
      </c>
      <c r="B1898" s="107">
        <v>27</v>
      </c>
      <c r="C1898" s="107">
        <v>6</v>
      </c>
      <c r="D1898" s="107">
        <v>3</v>
      </c>
      <c r="E1898" s="107" t="s">
        <v>624</v>
      </c>
      <c r="F1898" s="107" t="s">
        <v>625</v>
      </c>
      <c r="G1898" s="161">
        <v>45354</v>
      </c>
      <c r="H1898" s="107">
        <f t="shared" si="35"/>
        <v>5</v>
      </c>
    </row>
    <row r="1899" spans="1:8">
      <c r="A1899" s="107">
        <v>2</v>
      </c>
      <c r="B1899" s="107">
        <v>27</v>
      </c>
      <c r="C1899" s="107">
        <v>6</v>
      </c>
      <c r="D1899" s="107">
        <v>4</v>
      </c>
      <c r="E1899" s="107" t="s">
        <v>624</v>
      </c>
      <c r="F1899" s="107" t="s">
        <v>625</v>
      </c>
      <c r="G1899" s="161">
        <v>45354</v>
      </c>
      <c r="H1899" s="107">
        <f t="shared" si="35"/>
        <v>5</v>
      </c>
    </row>
    <row r="1900" spans="1:8">
      <c r="A1900" s="107">
        <v>2</v>
      </c>
      <c r="B1900" s="107">
        <v>27</v>
      </c>
      <c r="C1900" s="107">
        <v>7</v>
      </c>
      <c r="D1900" s="107">
        <v>1</v>
      </c>
      <c r="E1900" s="107" t="s">
        <v>654</v>
      </c>
      <c r="F1900" s="107" t="s">
        <v>655</v>
      </c>
      <c r="G1900" s="161">
        <v>45355</v>
      </c>
      <c r="H1900" s="107">
        <f t="shared" si="35"/>
        <v>6</v>
      </c>
    </row>
    <row r="1901" spans="1:8">
      <c r="A1901" s="107">
        <v>2</v>
      </c>
      <c r="B1901" s="107">
        <v>27</v>
      </c>
      <c r="C1901" s="107">
        <v>7</v>
      </c>
      <c r="D1901" s="107">
        <v>2</v>
      </c>
      <c r="E1901" s="107" t="s">
        <v>654</v>
      </c>
      <c r="F1901" s="107" t="s">
        <v>655</v>
      </c>
      <c r="G1901" s="161">
        <v>45354</v>
      </c>
      <c r="H1901" s="107">
        <f t="shared" si="35"/>
        <v>5</v>
      </c>
    </row>
    <row r="1902" spans="1:8">
      <c r="A1902" s="107">
        <v>2</v>
      </c>
      <c r="B1902" s="107">
        <v>27</v>
      </c>
      <c r="C1902" s="107">
        <v>7</v>
      </c>
      <c r="D1902" s="107">
        <v>3</v>
      </c>
      <c r="E1902" s="107" t="s">
        <v>654</v>
      </c>
      <c r="F1902" s="107" t="s">
        <v>655</v>
      </c>
      <c r="G1902" s="161">
        <v>45355</v>
      </c>
      <c r="H1902" s="107">
        <f t="shared" si="35"/>
        <v>6</v>
      </c>
    </row>
    <row r="1903" spans="1:8">
      <c r="A1903" s="107">
        <v>2</v>
      </c>
      <c r="B1903" s="107">
        <v>27</v>
      </c>
      <c r="C1903" s="107">
        <v>7</v>
      </c>
      <c r="D1903" s="107">
        <v>4</v>
      </c>
      <c r="E1903" s="107" t="s">
        <v>654</v>
      </c>
      <c r="F1903" s="107" t="s">
        <v>655</v>
      </c>
      <c r="G1903" s="161">
        <v>45355</v>
      </c>
      <c r="H1903" s="107">
        <f t="shared" si="35"/>
        <v>6</v>
      </c>
    </row>
    <row r="1904" spans="1:8">
      <c r="A1904" s="107">
        <v>2</v>
      </c>
      <c r="B1904" s="107">
        <v>27</v>
      </c>
      <c r="C1904" s="107">
        <v>8</v>
      </c>
      <c r="D1904" s="107">
        <v>1</v>
      </c>
      <c r="E1904" s="107" t="s">
        <v>550</v>
      </c>
      <c r="F1904" s="107" t="s">
        <v>551</v>
      </c>
      <c r="G1904" s="161">
        <v>45353</v>
      </c>
      <c r="H1904" s="107">
        <f t="shared" si="35"/>
        <v>4</v>
      </c>
    </row>
    <row r="1905" spans="1:8">
      <c r="A1905" s="107">
        <v>2</v>
      </c>
      <c r="B1905" s="107">
        <v>27</v>
      </c>
      <c r="C1905" s="107">
        <v>8</v>
      </c>
      <c r="D1905" s="107">
        <v>2</v>
      </c>
      <c r="E1905" s="107" t="s">
        <v>550</v>
      </c>
      <c r="F1905" s="107" t="s">
        <v>551</v>
      </c>
      <c r="G1905" s="107"/>
      <c r="H1905" s="107"/>
    </row>
    <row r="1906" spans="1:8">
      <c r="A1906" s="107">
        <v>2</v>
      </c>
      <c r="B1906" s="107">
        <v>27</v>
      </c>
      <c r="C1906" s="107">
        <v>8</v>
      </c>
      <c r="D1906" s="107">
        <v>3</v>
      </c>
      <c r="E1906" s="107" t="s">
        <v>550</v>
      </c>
      <c r="F1906" s="107" t="s">
        <v>551</v>
      </c>
      <c r="G1906" s="161">
        <v>45353</v>
      </c>
      <c r="H1906" s="107">
        <f t="shared" si="35"/>
        <v>4</v>
      </c>
    </row>
    <row r="1907" spans="1:8">
      <c r="A1907" s="107">
        <v>2</v>
      </c>
      <c r="B1907" s="107">
        <v>27</v>
      </c>
      <c r="C1907" s="107">
        <v>8</v>
      </c>
      <c r="D1907" s="107">
        <v>4</v>
      </c>
      <c r="E1907" s="107" t="s">
        <v>550</v>
      </c>
      <c r="F1907" s="107" t="s">
        <v>551</v>
      </c>
      <c r="G1907" s="161">
        <v>45354</v>
      </c>
      <c r="H1907" s="107">
        <f t="shared" si="35"/>
        <v>5</v>
      </c>
    </row>
    <row r="1908" spans="1:8">
      <c r="A1908" s="107">
        <v>2</v>
      </c>
      <c r="B1908" s="107">
        <v>27</v>
      </c>
      <c r="C1908" s="107">
        <v>9</v>
      </c>
      <c r="D1908" s="107">
        <v>1</v>
      </c>
      <c r="E1908" s="107" t="s">
        <v>387</v>
      </c>
      <c r="F1908" s="107" t="s">
        <v>388</v>
      </c>
      <c r="G1908" s="161">
        <v>45355</v>
      </c>
      <c r="H1908" s="107">
        <f t="shared" si="35"/>
        <v>6</v>
      </c>
    </row>
    <row r="1909" spans="1:8">
      <c r="A1909" s="107">
        <v>2</v>
      </c>
      <c r="B1909" s="107">
        <v>27</v>
      </c>
      <c r="C1909" s="107">
        <v>9</v>
      </c>
      <c r="D1909" s="107">
        <v>2</v>
      </c>
      <c r="E1909" s="107" t="s">
        <v>387</v>
      </c>
      <c r="F1909" s="107" t="s">
        <v>388</v>
      </c>
      <c r="G1909" s="161">
        <v>45354</v>
      </c>
      <c r="H1909" s="107">
        <f t="shared" si="35"/>
        <v>5</v>
      </c>
    </row>
    <row r="1910" spans="1:8">
      <c r="A1910" s="107">
        <v>2</v>
      </c>
      <c r="B1910" s="107">
        <v>27</v>
      </c>
      <c r="C1910" s="107">
        <v>9</v>
      </c>
      <c r="D1910" s="107">
        <v>3</v>
      </c>
      <c r="E1910" s="107" t="s">
        <v>387</v>
      </c>
      <c r="F1910" s="107" t="s">
        <v>388</v>
      </c>
      <c r="G1910" s="161">
        <v>45354</v>
      </c>
      <c r="H1910" s="107">
        <f t="shared" si="35"/>
        <v>5</v>
      </c>
    </row>
    <row r="1911" spans="1:8">
      <c r="A1911" s="107">
        <v>2</v>
      </c>
      <c r="B1911" s="107">
        <v>27</v>
      </c>
      <c r="C1911" s="107">
        <v>9</v>
      </c>
      <c r="D1911" s="107">
        <v>4</v>
      </c>
      <c r="E1911" s="107" t="s">
        <v>387</v>
      </c>
      <c r="F1911" s="107" t="s">
        <v>388</v>
      </c>
      <c r="G1911" s="161">
        <v>45353</v>
      </c>
      <c r="H1911" s="107">
        <f t="shared" si="35"/>
        <v>4</v>
      </c>
    </row>
    <row r="1912" spans="1:8">
      <c r="A1912" s="107">
        <v>2</v>
      </c>
      <c r="B1912" s="107">
        <v>27</v>
      </c>
      <c r="C1912" s="107">
        <v>10</v>
      </c>
      <c r="D1912" s="107">
        <v>1</v>
      </c>
      <c r="E1912" s="107" t="s">
        <v>226</v>
      </c>
      <c r="F1912" s="107" t="s">
        <v>227</v>
      </c>
      <c r="G1912" s="161">
        <v>45355</v>
      </c>
      <c r="H1912" s="107">
        <f t="shared" si="35"/>
        <v>6</v>
      </c>
    </row>
    <row r="1913" spans="1:8">
      <c r="A1913" s="107">
        <v>2</v>
      </c>
      <c r="B1913" s="107">
        <v>27</v>
      </c>
      <c r="C1913" s="107">
        <v>10</v>
      </c>
      <c r="D1913" s="107">
        <v>2</v>
      </c>
      <c r="E1913" s="107" t="s">
        <v>226</v>
      </c>
      <c r="F1913" s="107" t="s">
        <v>227</v>
      </c>
      <c r="G1913" s="161">
        <v>45353</v>
      </c>
      <c r="H1913" s="107">
        <f t="shared" si="35"/>
        <v>4</v>
      </c>
    </row>
    <row r="1914" spans="1:8">
      <c r="A1914" s="107">
        <v>2</v>
      </c>
      <c r="B1914" s="107">
        <v>27</v>
      </c>
      <c r="C1914" s="107">
        <v>10</v>
      </c>
      <c r="D1914" s="107">
        <v>3</v>
      </c>
      <c r="E1914" s="107" t="s">
        <v>226</v>
      </c>
      <c r="F1914" s="107" t="s">
        <v>227</v>
      </c>
      <c r="G1914" s="161">
        <v>45353</v>
      </c>
      <c r="H1914" s="107">
        <f t="shared" si="35"/>
        <v>4</v>
      </c>
    </row>
    <row r="1915" spans="1:8">
      <c r="A1915" s="107">
        <v>2</v>
      </c>
      <c r="B1915" s="107">
        <v>27</v>
      </c>
      <c r="C1915" s="107">
        <v>10</v>
      </c>
      <c r="D1915" s="107">
        <v>4</v>
      </c>
      <c r="E1915" s="107" t="s">
        <v>226</v>
      </c>
      <c r="F1915" s="107" t="s">
        <v>227</v>
      </c>
      <c r="G1915" s="161">
        <v>45356</v>
      </c>
      <c r="H1915" s="107">
        <f t="shared" si="35"/>
        <v>7</v>
      </c>
    </row>
    <row r="1916" spans="1:8">
      <c r="A1916" s="107">
        <v>2</v>
      </c>
      <c r="B1916" s="107">
        <v>27</v>
      </c>
      <c r="C1916" s="107">
        <v>11</v>
      </c>
      <c r="D1916" s="107">
        <v>1</v>
      </c>
      <c r="E1916" s="107" t="s">
        <v>268</v>
      </c>
      <c r="F1916" s="107" t="s">
        <v>161</v>
      </c>
      <c r="G1916" s="161">
        <v>45353</v>
      </c>
      <c r="H1916" s="107">
        <f t="shared" si="35"/>
        <v>4</v>
      </c>
    </row>
    <row r="1917" spans="1:8">
      <c r="A1917" s="107">
        <v>2</v>
      </c>
      <c r="B1917" s="107">
        <v>27</v>
      </c>
      <c r="C1917" s="107">
        <v>11</v>
      </c>
      <c r="D1917" s="107">
        <v>2</v>
      </c>
      <c r="E1917" s="107" t="s">
        <v>268</v>
      </c>
      <c r="F1917" s="107" t="s">
        <v>161</v>
      </c>
      <c r="G1917" s="161">
        <v>45353</v>
      </c>
      <c r="H1917" s="107">
        <f t="shared" si="35"/>
        <v>4</v>
      </c>
    </row>
    <row r="1918" spans="1:8">
      <c r="A1918" s="107">
        <v>2</v>
      </c>
      <c r="B1918" s="107">
        <v>27</v>
      </c>
      <c r="C1918" s="107">
        <v>11</v>
      </c>
      <c r="D1918" s="107">
        <v>3</v>
      </c>
      <c r="E1918" s="107" t="s">
        <v>268</v>
      </c>
      <c r="F1918" s="107" t="s">
        <v>161</v>
      </c>
      <c r="G1918" s="161">
        <v>45353</v>
      </c>
      <c r="H1918" s="107">
        <f t="shared" si="35"/>
        <v>4</v>
      </c>
    </row>
    <row r="1919" spans="1:8">
      <c r="A1919" s="107">
        <v>2</v>
      </c>
      <c r="B1919" s="107">
        <v>27</v>
      </c>
      <c r="C1919" s="107">
        <v>11</v>
      </c>
      <c r="D1919" s="107">
        <v>4</v>
      </c>
      <c r="E1919" s="107" t="s">
        <v>268</v>
      </c>
      <c r="F1919" s="107" t="s">
        <v>161</v>
      </c>
      <c r="G1919" s="161">
        <v>45353</v>
      </c>
      <c r="H1919" s="107">
        <f t="shared" si="35"/>
        <v>4</v>
      </c>
    </row>
    <row r="1920" spans="1:8">
      <c r="A1920" s="107">
        <v>2</v>
      </c>
      <c r="B1920" s="107">
        <v>27</v>
      </c>
      <c r="C1920" s="107">
        <v>12</v>
      </c>
      <c r="D1920" s="107">
        <v>1</v>
      </c>
      <c r="E1920" s="107" t="s">
        <v>709</v>
      </c>
      <c r="F1920" s="107" t="s">
        <v>710</v>
      </c>
      <c r="G1920" s="161">
        <v>45353</v>
      </c>
      <c r="H1920" s="107">
        <f t="shared" si="35"/>
        <v>4</v>
      </c>
    </row>
    <row r="1921" spans="1:8">
      <c r="A1921" s="107">
        <v>2</v>
      </c>
      <c r="B1921" s="107">
        <v>27</v>
      </c>
      <c r="C1921" s="107">
        <v>12</v>
      </c>
      <c r="D1921" s="107">
        <v>2</v>
      </c>
      <c r="E1921" s="107" t="s">
        <v>709</v>
      </c>
      <c r="F1921" s="107" t="s">
        <v>710</v>
      </c>
      <c r="G1921" s="161">
        <v>45355</v>
      </c>
      <c r="H1921" s="107">
        <f t="shared" si="35"/>
        <v>6</v>
      </c>
    </row>
    <row r="1922" spans="1:8">
      <c r="A1922" s="107">
        <v>2</v>
      </c>
      <c r="B1922" s="107">
        <v>27</v>
      </c>
      <c r="C1922" s="107">
        <v>12</v>
      </c>
      <c r="D1922" s="107">
        <v>3</v>
      </c>
      <c r="E1922" s="107" t="s">
        <v>709</v>
      </c>
      <c r="F1922" s="107" t="s">
        <v>710</v>
      </c>
      <c r="G1922" s="161">
        <v>45353</v>
      </c>
      <c r="H1922" s="107">
        <f t="shared" si="35"/>
        <v>4</v>
      </c>
    </row>
    <row r="1923" spans="1:8">
      <c r="A1923" s="107">
        <v>2</v>
      </c>
      <c r="B1923" s="107">
        <v>27</v>
      </c>
      <c r="C1923" s="107">
        <v>12</v>
      </c>
      <c r="D1923" s="107">
        <v>4</v>
      </c>
      <c r="E1923" s="107" t="s">
        <v>709</v>
      </c>
      <c r="F1923" s="107" t="s">
        <v>710</v>
      </c>
      <c r="G1923" s="161">
        <v>45355</v>
      </c>
      <c r="H1923" s="107">
        <f t="shared" si="35"/>
        <v>6</v>
      </c>
    </row>
    <row r="1924" spans="1:8">
      <c r="A1924" s="107">
        <v>2</v>
      </c>
      <c r="B1924" s="107">
        <v>27</v>
      </c>
      <c r="C1924" s="107">
        <v>13</v>
      </c>
      <c r="D1924" s="107">
        <v>1</v>
      </c>
      <c r="E1924" s="107" t="s">
        <v>287</v>
      </c>
      <c r="F1924" s="107" t="s">
        <v>288</v>
      </c>
      <c r="G1924" s="161">
        <v>45354</v>
      </c>
      <c r="H1924" s="107">
        <f t="shared" si="35"/>
        <v>5</v>
      </c>
    </row>
    <row r="1925" spans="1:8">
      <c r="A1925" s="107">
        <v>2</v>
      </c>
      <c r="B1925" s="107">
        <v>27</v>
      </c>
      <c r="C1925" s="107">
        <v>13</v>
      </c>
      <c r="D1925" s="107">
        <v>2</v>
      </c>
      <c r="E1925" s="107" t="s">
        <v>287</v>
      </c>
      <c r="F1925" s="107" t="s">
        <v>288</v>
      </c>
      <c r="G1925" s="161">
        <v>45354</v>
      </c>
      <c r="H1925" s="107">
        <f t="shared" ref="H1925:H1988" si="36">DATEDIF($H$2,G1925,"d")</f>
        <v>5</v>
      </c>
    </row>
    <row r="1926" spans="1:8">
      <c r="A1926" s="107">
        <v>2</v>
      </c>
      <c r="B1926" s="107">
        <v>27</v>
      </c>
      <c r="C1926" s="107">
        <v>13</v>
      </c>
      <c r="D1926" s="107">
        <v>3</v>
      </c>
      <c r="E1926" s="107" t="s">
        <v>287</v>
      </c>
      <c r="F1926" s="107" t="s">
        <v>288</v>
      </c>
      <c r="G1926" s="161">
        <v>45354</v>
      </c>
      <c r="H1926" s="107">
        <f t="shared" si="36"/>
        <v>5</v>
      </c>
    </row>
    <row r="1927" spans="1:8">
      <c r="A1927" s="107">
        <v>2</v>
      </c>
      <c r="B1927" s="107">
        <v>27</v>
      </c>
      <c r="C1927" s="107">
        <v>13</v>
      </c>
      <c r="D1927" s="107">
        <v>4</v>
      </c>
      <c r="E1927" s="107" t="s">
        <v>287</v>
      </c>
      <c r="F1927" s="107" t="s">
        <v>288</v>
      </c>
      <c r="G1927" s="161">
        <v>45354</v>
      </c>
      <c r="H1927" s="107">
        <f t="shared" si="36"/>
        <v>5</v>
      </c>
    </row>
    <row r="1928" spans="1:8">
      <c r="A1928" s="107">
        <v>2</v>
      </c>
      <c r="B1928" s="107">
        <v>27</v>
      </c>
      <c r="C1928" s="107">
        <v>14</v>
      </c>
      <c r="D1928" s="107">
        <v>1</v>
      </c>
      <c r="E1928" s="107" t="s">
        <v>431</v>
      </c>
      <c r="F1928" s="107" t="s">
        <v>432</v>
      </c>
      <c r="G1928" s="161">
        <v>45354</v>
      </c>
      <c r="H1928" s="107">
        <f t="shared" si="36"/>
        <v>5</v>
      </c>
    </row>
    <row r="1929" spans="1:8">
      <c r="A1929" s="107">
        <v>2</v>
      </c>
      <c r="B1929" s="107">
        <v>27</v>
      </c>
      <c r="C1929" s="107">
        <v>14</v>
      </c>
      <c r="D1929" s="107">
        <v>2</v>
      </c>
      <c r="E1929" s="107" t="s">
        <v>431</v>
      </c>
      <c r="F1929" s="107" t="s">
        <v>432</v>
      </c>
      <c r="G1929" s="161">
        <v>45353</v>
      </c>
      <c r="H1929" s="107">
        <f t="shared" si="36"/>
        <v>4</v>
      </c>
    </row>
    <row r="1930" spans="1:8">
      <c r="A1930" s="107">
        <v>2</v>
      </c>
      <c r="B1930" s="107">
        <v>27</v>
      </c>
      <c r="C1930" s="107">
        <v>14</v>
      </c>
      <c r="D1930" s="107">
        <v>3</v>
      </c>
      <c r="E1930" s="107" t="s">
        <v>431</v>
      </c>
      <c r="F1930" s="107" t="s">
        <v>432</v>
      </c>
      <c r="G1930" s="161">
        <v>45354</v>
      </c>
      <c r="H1930" s="107">
        <f t="shared" si="36"/>
        <v>5</v>
      </c>
    </row>
    <row r="1931" spans="1:8">
      <c r="A1931" s="107">
        <v>2</v>
      </c>
      <c r="B1931" s="107">
        <v>27</v>
      </c>
      <c r="C1931" s="107">
        <v>14</v>
      </c>
      <c r="D1931" s="107">
        <v>4</v>
      </c>
      <c r="E1931" s="107" t="s">
        <v>431</v>
      </c>
      <c r="F1931" s="107" t="s">
        <v>432</v>
      </c>
      <c r="G1931" s="161">
        <v>45354</v>
      </c>
      <c r="H1931" s="107">
        <f t="shared" si="36"/>
        <v>5</v>
      </c>
    </row>
    <row r="1932" spans="1:8">
      <c r="A1932" s="107">
        <v>2</v>
      </c>
      <c r="B1932" s="107">
        <v>27</v>
      </c>
      <c r="C1932" s="107">
        <v>15</v>
      </c>
      <c r="D1932" s="107">
        <v>1</v>
      </c>
      <c r="E1932" s="107" t="s">
        <v>475</v>
      </c>
      <c r="F1932" s="107" t="s">
        <v>476</v>
      </c>
      <c r="G1932" s="161">
        <v>45354</v>
      </c>
      <c r="H1932" s="107">
        <f t="shared" si="36"/>
        <v>5</v>
      </c>
    </row>
    <row r="1933" spans="1:8">
      <c r="A1933" s="107">
        <v>2</v>
      </c>
      <c r="B1933" s="107">
        <v>27</v>
      </c>
      <c r="C1933" s="107">
        <v>15</v>
      </c>
      <c r="D1933" s="107">
        <v>2</v>
      </c>
      <c r="E1933" s="107" t="s">
        <v>475</v>
      </c>
      <c r="F1933" s="107" t="s">
        <v>476</v>
      </c>
      <c r="G1933" s="161">
        <v>45353</v>
      </c>
      <c r="H1933" s="107">
        <f t="shared" si="36"/>
        <v>4</v>
      </c>
    </row>
    <row r="1934" spans="1:8">
      <c r="A1934" s="107">
        <v>2</v>
      </c>
      <c r="B1934" s="107">
        <v>27</v>
      </c>
      <c r="C1934" s="107">
        <v>15</v>
      </c>
      <c r="D1934" s="107">
        <v>3</v>
      </c>
      <c r="E1934" s="107" t="s">
        <v>475</v>
      </c>
      <c r="F1934" s="107" t="s">
        <v>476</v>
      </c>
      <c r="G1934" s="161">
        <v>45353</v>
      </c>
      <c r="H1934" s="107">
        <f t="shared" si="36"/>
        <v>4</v>
      </c>
    </row>
    <row r="1935" spans="1:8">
      <c r="A1935" s="107">
        <v>2</v>
      </c>
      <c r="B1935" s="107">
        <v>27</v>
      </c>
      <c r="C1935" s="107">
        <v>15</v>
      </c>
      <c r="D1935" s="107">
        <v>4</v>
      </c>
      <c r="E1935" s="107" t="s">
        <v>475</v>
      </c>
      <c r="F1935" s="107" t="s">
        <v>476</v>
      </c>
      <c r="G1935" s="161">
        <v>45354</v>
      </c>
      <c r="H1935" s="107">
        <f t="shared" si="36"/>
        <v>5</v>
      </c>
    </row>
    <row r="1936" spans="1:8">
      <c r="A1936" s="107">
        <v>2</v>
      </c>
      <c r="B1936" s="107">
        <v>27</v>
      </c>
      <c r="C1936" s="107">
        <v>16</v>
      </c>
      <c r="D1936" s="107">
        <v>1</v>
      </c>
      <c r="E1936" s="107" t="s">
        <v>329</v>
      </c>
      <c r="F1936" s="107" t="s">
        <v>330</v>
      </c>
      <c r="G1936" s="161">
        <v>45353</v>
      </c>
      <c r="H1936" s="107">
        <f t="shared" si="36"/>
        <v>4</v>
      </c>
    </row>
    <row r="1937" spans="1:8">
      <c r="A1937" s="107">
        <v>2</v>
      </c>
      <c r="B1937" s="107">
        <v>27</v>
      </c>
      <c r="C1937" s="107">
        <v>16</v>
      </c>
      <c r="D1937" s="107">
        <v>2</v>
      </c>
      <c r="E1937" s="107" t="s">
        <v>329</v>
      </c>
      <c r="F1937" s="107" t="s">
        <v>330</v>
      </c>
      <c r="G1937" s="161">
        <v>45354</v>
      </c>
      <c r="H1937" s="107">
        <f t="shared" si="36"/>
        <v>5</v>
      </c>
    </row>
    <row r="1938" spans="1:8">
      <c r="A1938" s="107">
        <v>2</v>
      </c>
      <c r="B1938" s="107">
        <v>27</v>
      </c>
      <c r="C1938" s="107">
        <v>16</v>
      </c>
      <c r="D1938" s="107">
        <v>3</v>
      </c>
      <c r="E1938" s="107" t="s">
        <v>329</v>
      </c>
      <c r="F1938" s="107" t="s">
        <v>330</v>
      </c>
      <c r="G1938" s="161">
        <v>45353</v>
      </c>
      <c r="H1938" s="107">
        <f t="shared" si="36"/>
        <v>4</v>
      </c>
    </row>
    <row r="1939" spans="1:8">
      <c r="A1939" s="107">
        <v>2</v>
      </c>
      <c r="B1939" s="107">
        <v>27</v>
      </c>
      <c r="C1939" s="107">
        <v>16</v>
      </c>
      <c r="D1939" s="107">
        <v>4</v>
      </c>
      <c r="E1939" s="107" t="s">
        <v>329</v>
      </c>
      <c r="F1939" s="107" t="s">
        <v>330</v>
      </c>
      <c r="G1939" s="161">
        <v>45353</v>
      </c>
      <c r="H1939" s="107">
        <f t="shared" si="36"/>
        <v>4</v>
      </c>
    </row>
    <row r="1940" spans="1:8">
      <c r="A1940" s="107">
        <v>2</v>
      </c>
      <c r="B1940" s="107">
        <v>27</v>
      </c>
      <c r="C1940" s="107">
        <v>17</v>
      </c>
      <c r="D1940" s="107">
        <v>1</v>
      </c>
      <c r="E1940" s="107" t="s">
        <v>542</v>
      </c>
      <c r="F1940" s="107" t="s">
        <v>539</v>
      </c>
      <c r="G1940" s="161">
        <v>45353</v>
      </c>
      <c r="H1940" s="107">
        <f t="shared" si="36"/>
        <v>4</v>
      </c>
    </row>
    <row r="1941" spans="1:8">
      <c r="A1941" s="107">
        <v>2</v>
      </c>
      <c r="B1941" s="107">
        <v>27</v>
      </c>
      <c r="C1941" s="107">
        <v>17</v>
      </c>
      <c r="D1941" s="107">
        <v>2</v>
      </c>
      <c r="E1941" s="107" t="s">
        <v>542</v>
      </c>
      <c r="F1941" s="107" t="s">
        <v>539</v>
      </c>
      <c r="G1941" s="161">
        <v>45353</v>
      </c>
      <c r="H1941" s="107">
        <f t="shared" si="36"/>
        <v>4</v>
      </c>
    </row>
    <row r="1942" spans="1:8">
      <c r="A1942" s="107">
        <v>2</v>
      </c>
      <c r="B1942" s="107">
        <v>27</v>
      </c>
      <c r="C1942" s="107">
        <v>17</v>
      </c>
      <c r="D1942" s="107">
        <v>3</v>
      </c>
      <c r="E1942" s="107" t="s">
        <v>542</v>
      </c>
      <c r="F1942" s="107" t="s">
        <v>539</v>
      </c>
      <c r="G1942" s="161">
        <v>45353</v>
      </c>
      <c r="H1942" s="107">
        <f t="shared" si="36"/>
        <v>4</v>
      </c>
    </row>
    <row r="1943" spans="1:8">
      <c r="A1943" s="107">
        <v>2</v>
      </c>
      <c r="B1943" s="107">
        <v>27</v>
      </c>
      <c r="C1943" s="107">
        <v>17</v>
      </c>
      <c r="D1943" s="107">
        <v>4</v>
      </c>
      <c r="E1943" s="107" t="s">
        <v>542</v>
      </c>
      <c r="F1943" s="107" t="s">
        <v>539</v>
      </c>
      <c r="G1943" s="161">
        <v>45353</v>
      </c>
      <c r="H1943" s="107">
        <f t="shared" si="36"/>
        <v>4</v>
      </c>
    </row>
    <row r="1944" spans="1:8">
      <c r="A1944" s="107">
        <v>2</v>
      </c>
      <c r="B1944" s="107">
        <v>27</v>
      </c>
      <c r="C1944" s="107">
        <v>18</v>
      </c>
      <c r="D1944" s="107">
        <v>1</v>
      </c>
      <c r="E1944" s="107" t="s">
        <v>743</v>
      </c>
      <c r="F1944" s="107" t="s">
        <v>744</v>
      </c>
      <c r="G1944" s="161">
        <v>45354</v>
      </c>
      <c r="H1944" s="107">
        <f t="shared" si="36"/>
        <v>5</v>
      </c>
    </row>
    <row r="1945" spans="1:8">
      <c r="A1945" s="107">
        <v>2</v>
      </c>
      <c r="B1945" s="107">
        <v>27</v>
      </c>
      <c r="C1945" s="107">
        <v>18</v>
      </c>
      <c r="D1945" s="107">
        <v>2</v>
      </c>
      <c r="E1945" s="107" t="s">
        <v>743</v>
      </c>
      <c r="F1945" s="107" t="s">
        <v>744</v>
      </c>
      <c r="G1945" s="161">
        <v>45354</v>
      </c>
      <c r="H1945" s="107">
        <f t="shared" si="36"/>
        <v>5</v>
      </c>
    </row>
    <row r="1946" spans="1:8">
      <c r="A1946" s="107">
        <v>2</v>
      </c>
      <c r="B1946" s="107">
        <v>27</v>
      </c>
      <c r="C1946" s="107">
        <v>18</v>
      </c>
      <c r="D1946" s="107">
        <v>3</v>
      </c>
      <c r="E1946" s="107" t="s">
        <v>743</v>
      </c>
      <c r="F1946" s="107" t="s">
        <v>744</v>
      </c>
      <c r="G1946" s="161">
        <v>45354</v>
      </c>
      <c r="H1946" s="107">
        <f t="shared" si="36"/>
        <v>5</v>
      </c>
    </row>
    <row r="1947" spans="1:8">
      <c r="A1947" s="107">
        <v>2</v>
      </c>
      <c r="B1947" s="107">
        <v>27</v>
      </c>
      <c r="C1947" s="107">
        <v>18</v>
      </c>
      <c r="D1947" s="107">
        <v>4</v>
      </c>
      <c r="E1947" s="107" t="s">
        <v>743</v>
      </c>
      <c r="F1947" s="107" t="s">
        <v>744</v>
      </c>
      <c r="G1947" s="161">
        <v>45353</v>
      </c>
      <c r="H1947" s="107">
        <f t="shared" si="36"/>
        <v>4</v>
      </c>
    </row>
    <row r="1948" spans="1:8">
      <c r="A1948" s="107">
        <v>2</v>
      </c>
      <c r="B1948" s="107">
        <v>28</v>
      </c>
      <c r="C1948" s="107">
        <v>1</v>
      </c>
      <c r="D1948" s="107">
        <v>1</v>
      </c>
      <c r="E1948" s="107" t="s">
        <v>578</v>
      </c>
      <c r="F1948" s="107" t="s">
        <v>579</v>
      </c>
      <c r="G1948" s="161">
        <v>45354</v>
      </c>
      <c r="H1948" s="107">
        <f t="shared" si="36"/>
        <v>5</v>
      </c>
    </row>
    <row r="1949" spans="1:8">
      <c r="A1949" s="107">
        <v>2</v>
      </c>
      <c r="B1949" s="107">
        <v>28</v>
      </c>
      <c r="C1949" s="107">
        <v>1</v>
      </c>
      <c r="D1949" s="107">
        <v>2</v>
      </c>
      <c r="E1949" s="107" t="s">
        <v>578</v>
      </c>
      <c r="F1949" s="107" t="s">
        <v>579</v>
      </c>
      <c r="G1949" s="161">
        <v>45354</v>
      </c>
      <c r="H1949" s="107">
        <f t="shared" si="36"/>
        <v>5</v>
      </c>
    </row>
    <row r="1950" spans="1:8">
      <c r="A1950" s="107">
        <v>2</v>
      </c>
      <c r="B1950" s="107">
        <v>28</v>
      </c>
      <c r="C1950" s="107">
        <v>1</v>
      </c>
      <c r="D1950" s="107">
        <v>3</v>
      </c>
      <c r="E1950" s="107" t="s">
        <v>578</v>
      </c>
      <c r="F1950" s="107" t="s">
        <v>579</v>
      </c>
      <c r="G1950" s="161">
        <v>45353</v>
      </c>
      <c r="H1950" s="107">
        <f t="shared" si="36"/>
        <v>4</v>
      </c>
    </row>
    <row r="1951" spans="1:8">
      <c r="A1951" s="107">
        <v>2</v>
      </c>
      <c r="B1951" s="107">
        <v>28</v>
      </c>
      <c r="C1951" s="107">
        <v>1</v>
      </c>
      <c r="D1951" s="107">
        <v>4</v>
      </c>
      <c r="E1951" s="107" t="s">
        <v>578</v>
      </c>
      <c r="F1951" s="107" t="s">
        <v>579</v>
      </c>
      <c r="G1951" s="161">
        <v>45355</v>
      </c>
      <c r="H1951" s="107">
        <f t="shared" si="36"/>
        <v>6</v>
      </c>
    </row>
    <row r="1952" spans="1:8">
      <c r="A1952" s="107">
        <v>2</v>
      </c>
      <c r="B1952" s="107">
        <v>28</v>
      </c>
      <c r="C1952" s="107">
        <v>2</v>
      </c>
      <c r="D1952" s="107">
        <v>1</v>
      </c>
      <c r="E1952" s="107" t="s">
        <v>281</v>
      </c>
      <c r="F1952" s="107" t="s">
        <v>282</v>
      </c>
      <c r="G1952" s="161">
        <v>45353</v>
      </c>
      <c r="H1952" s="107">
        <f t="shared" si="36"/>
        <v>4</v>
      </c>
    </row>
    <row r="1953" spans="1:8">
      <c r="A1953" s="107">
        <v>2</v>
      </c>
      <c r="B1953" s="107">
        <v>28</v>
      </c>
      <c r="C1953" s="107">
        <v>2</v>
      </c>
      <c r="D1953" s="107">
        <v>2</v>
      </c>
      <c r="E1953" s="107" t="s">
        <v>281</v>
      </c>
      <c r="F1953" s="107" t="s">
        <v>282</v>
      </c>
      <c r="G1953" s="161">
        <v>45354</v>
      </c>
      <c r="H1953" s="107">
        <f t="shared" si="36"/>
        <v>5</v>
      </c>
    </row>
    <row r="1954" spans="1:8">
      <c r="A1954" s="107">
        <v>2</v>
      </c>
      <c r="B1954" s="107">
        <v>28</v>
      </c>
      <c r="C1954" s="107">
        <v>2</v>
      </c>
      <c r="D1954" s="107">
        <v>3</v>
      </c>
      <c r="E1954" s="107" t="s">
        <v>281</v>
      </c>
      <c r="F1954" s="107" t="s">
        <v>282</v>
      </c>
      <c r="G1954" s="161">
        <v>45353</v>
      </c>
      <c r="H1954" s="107">
        <f t="shared" si="36"/>
        <v>4</v>
      </c>
    </row>
    <row r="1955" spans="1:8">
      <c r="A1955" s="107">
        <v>2</v>
      </c>
      <c r="B1955" s="107">
        <v>28</v>
      </c>
      <c r="C1955" s="107">
        <v>2</v>
      </c>
      <c r="D1955" s="107">
        <v>4</v>
      </c>
      <c r="E1955" s="107" t="s">
        <v>281</v>
      </c>
      <c r="F1955" s="107" t="s">
        <v>282</v>
      </c>
      <c r="G1955" s="161">
        <v>45353</v>
      </c>
      <c r="H1955" s="107">
        <f t="shared" si="36"/>
        <v>4</v>
      </c>
    </row>
    <row r="1956" spans="1:8">
      <c r="A1956" s="107">
        <v>2</v>
      </c>
      <c r="B1956" s="107">
        <v>28</v>
      </c>
      <c r="C1956" s="107">
        <v>3</v>
      </c>
      <c r="D1956" s="107">
        <v>1</v>
      </c>
      <c r="E1956" s="107" t="s">
        <v>317</v>
      </c>
      <c r="F1956" s="107" t="s">
        <v>318</v>
      </c>
      <c r="G1956" s="161">
        <v>45355</v>
      </c>
      <c r="H1956" s="107">
        <f t="shared" si="36"/>
        <v>6</v>
      </c>
    </row>
    <row r="1957" spans="1:8">
      <c r="A1957" s="107">
        <v>2</v>
      </c>
      <c r="B1957" s="107">
        <v>28</v>
      </c>
      <c r="C1957" s="107">
        <v>3</v>
      </c>
      <c r="D1957" s="107">
        <v>2</v>
      </c>
      <c r="E1957" s="107" t="s">
        <v>317</v>
      </c>
      <c r="F1957" s="107" t="s">
        <v>318</v>
      </c>
      <c r="G1957" s="161">
        <v>45354</v>
      </c>
      <c r="H1957" s="107">
        <f t="shared" si="36"/>
        <v>5</v>
      </c>
    </row>
    <row r="1958" spans="1:8">
      <c r="A1958" s="107">
        <v>2</v>
      </c>
      <c r="B1958" s="107">
        <v>28</v>
      </c>
      <c r="C1958" s="107">
        <v>3</v>
      </c>
      <c r="D1958" s="107">
        <v>3</v>
      </c>
      <c r="E1958" s="107" t="s">
        <v>317</v>
      </c>
      <c r="F1958" s="107" t="s">
        <v>318</v>
      </c>
      <c r="G1958" s="161">
        <v>45355</v>
      </c>
      <c r="H1958" s="107">
        <f t="shared" si="36"/>
        <v>6</v>
      </c>
    </row>
    <row r="1959" spans="1:8">
      <c r="A1959" s="107">
        <v>2</v>
      </c>
      <c r="B1959" s="107">
        <v>28</v>
      </c>
      <c r="C1959" s="107">
        <v>3</v>
      </c>
      <c r="D1959" s="107">
        <v>4</v>
      </c>
      <c r="E1959" s="107" t="s">
        <v>317</v>
      </c>
      <c r="F1959" s="107" t="s">
        <v>318</v>
      </c>
      <c r="G1959" s="161">
        <v>45354</v>
      </c>
      <c r="H1959" s="107">
        <f t="shared" si="36"/>
        <v>5</v>
      </c>
    </row>
    <row r="1960" spans="1:8">
      <c r="A1960" s="107">
        <v>2</v>
      </c>
      <c r="B1960" s="107">
        <v>28</v>
      </c>
      <c r="C1960" s="107">
        <v>4</v>
      </c>
      <c r="D1960" s="107">
        <v>1</v>
      </c>
      <c r="E1960" s="107" t="s">
        <v>504</v>
      </c>
      <c r="F1960" s="107" t="s">
        <v>505</v>
      </c>
      <c r="G1960" s="161">
        <v>45354</v>
      </c>
      <c r="H1960" s="107">
        <f t="shared" si="36"/>
        <v>5</v>
      </c>
    </row>
    <row r="1961" spans="1:8">
      <c r="A1961" s="107">
        <v>2</v>
      </c>
      <c r="B1961" s="107">
        <v>28</v>
      </c>
      <c r="C1961" s="107">
        <v>4</v>
      </c>
      <c r="D1961" s="107">
        <v>2</v>
      </c>
      <c r="E1961" s="107" t="s">
        <v>504</v>
      </c>
      <c r="F1961" s="107" t="s">
        <v>505</v>
      </c>
      <c r="G1961" s="161">
        <v>45354</v>
      </c>
      <c r="H1961" s="107">
        <f t="shared" si="36"/>
        <v>5</v>
      </c>
    </row>
    <row r="1962" spans="1:8">
      <c r="A1962" s="107">
        <v>2</v>
      </c>
      <c r="B1962" s="107">
        <v>28</v>
      </c>
      <c r="C1962" s="107">
        <v>4</v>
      </c>
      <c r="D1962" s="107">
        <v>3</v>
      </c>
      <c r="E1962" s="107" t="s">
        <v>504</v>
      </c>
      <c r="F1962" s="107" t="s">
        <v>505</v>
      </c>
      <c r="G1962" s="161">
        <v>45354</v>
      </c>
      <c r="H1962" s="107">
        <f t="shared" si="36"/>
        <v>5</v>
      </c>
    </row>
    <row r="1963" spans="1:8">
      <c r="A1963" s="107">
        <v>2</v>
      </c>
      <c r="B1963" s="107">
        <v>28</v>
      </c>
      <c r="C1963" s="107">
        <v>4</v>
      </c>
      <c r="D1963" s="107">
        <v>4</v>
      </c>
      <c r="E1963" s="107" t="s">
        <v>504</v>
      </c>
      <c r="F1963" s="107" t="s">
        <v>505</v>
      </c>
      <c r="G1963" s="161">
        <v>45354</v>
      </c>
      <c r="H1963" s="107">
        <f t="shared" si="36"/>
        <v>5</v>
      </c>
    </row>
    <row r="1964" spans="1:8">
      <c r="A1964" s="107">
        <v>2</v>
      </c>
      <c r="B1964" s="107">
        <v>28</v>
      </c>
      <c r="C1964" s="107">
        <v>5</v>
      </c>
      <c r="D1964" s="107">
        <v>1</v>
      </c>
      <c r="E1964" s="107" t="s">
        <v>634</v>
      </c>
      <c r="F1964" s="107" t="s">
        <v>635</v>
      </c>
      <c r="G1964" s="161">
        <v>45354</v>
      </c>
      <c r="H1964" s="107">
        <f t="shared" si="36"/>
        <v>5</v>
      </c>
    </row>
    <row r="1965" spans="1:8">
      <c r="A1965" s="107">
        <v>2</v>
      </c>
      <c r="B1965" s="107">
        <v>28</v>
      </c>
      <c r="C1965" s="107">
        <v>5</v>
      </c>
      <c r="D1965" s="107">
        <v>2</v>
      </c>
      <c r="E1965" s="107" t="s">
        <v>634</v>
      </c>
      <c r="F1965" s="107" t="s">
        <v>635</v>
      </c>
      <c r="G1965" s="161">
        <v>45354</v>
      </c>
      <c r="H1965" s="107">
        <f t="shared" si="36"/>
        <v>5</v>
      </c>
    </row>
    <row r="1966" spans="1:8">
      <c r="A1966" s="107">
        <v>2</v>
      </c>
      <c r="B1966" s="107">
        <v>28</v>
      </c>
      <c r="C1966" s="107">
        <v>5</v>
      </c>
      <c r="D1966" s="107">
        <v>3</v>
      </c>
      <c r="E1966" s="107" t="s">
        <v>634</v>
      </c>
      <c r="F1966" s="107" t="s">
        <v>635</v>
      </c>
      <c r="G1966" s="161">
        <v>45355</v>
      </c>
      <c r="H1966" s="107">
        <f t="shared" si="36"/>
        <v>6</v>
      </c>
    </row>
    <row r="1967" spans="1:8">
      <c r="A1967" s="107">
        <v>2</v>
      </c>
      <c r="B1967" s="107">
        <v>28</v>
      </c>
      <c r="C1967" s="107">
        <v>5</v>
      </c>
      <c r="D1967" s="107">
        <v>4</v>
      </c>
      <c r="E1967" s="107" t="s">
        <v>634</v>
      </c>
      <c r="F1967" s="107" t="s">
        <v>635</v>
      </c>
      <c r="G1967" s="161">
        <v>45354</v>
      </c>
      <c r="H1967" s="107">
        <f t="shared" si="36"/>
        <v>5</v>
      </c>
    </row>
    <row r="1968" spans="1:8">
      <c r="A1968" s="107">
        <v>2</v>
      </c>
      <c r="B1968" s="107">
        <v>28</v>
      </c>
      <c r="C1968" s="107">
        <v>6</v>
      </c>
      <c r="D1968" s="107">
        <v>1</v>
      </c>
      <c r="E1968" s="107" t="s">
        <v>256</v>
      </c>
      <c r="F1968" s="107" t="s">
        <v>257</v>
      </c>
      <c r="G1968" s="161"/>
      <c r="H1968" s="107"/>
    </row>
    <row r="1969" spans="1:8">
      <c r="A1969" s="107">
        <v>2</v>
      </c>
      <c r="B1969" s="107">
        <v>28</v>
      </c>
      <c r="C1969" s="107">
        <v>6</v>
      </c>
      <c r="D1969" s="107">
        <v>2</v>
      </c>
      <c r="E1969" s="107" t="s">
        <v>256</v>
      </c>
      <c r="F1969" s="107" t="s">
        <v>257</v>
      </c>
      <c r="G1969" s="161"/>
      <c r="H1969" s="107"/>
    </row>
    <row r="1970" spans="1:8">
      <c r="A1970" s="107">
        <v>2</v>
      </c>
      <c r="B1970" s="107">
        <v>28</v>
      </c>
      <c r="C1970" s="107">
        <v>6</v>
      </c>
      <c r="D1970" s="107">
        <v>3</v>
      </c>
      <c r="E1970" s="107" t="s">
        <v>256</v>
      </c>
      <c r="F1970" s="107" t="s">
        <v>257</v>
      </c>
      <c r="G1970" s="161"/>
      <c r="H1970" s="107"/>
    </row>
    <row r="1971" spans="1:8">
      <c r="A1971" s="107">
        <v>2</v>
      </c>
      <c r="B1971" s="107">
        <v>28</v>
      </c>
      <c r="C1971" s="107">
        <v>6</v>
      </c>
      <c r="D1971" s="107">
        <v>4</v>
      </c>
      <c r="E1971" s="107" t="s">
        <v>256</v>
      </c>
      <c r="F1971" s="107" t="s">
        <v>257</v>
      </c>
      <c r="G1971" s="161">
        <v>45356</v>
      </c>
      <c r="H1971" s="107">
        <f t="shared" si="36"/>
        <v>7</v>
      </c>
    </row>
    <row r="1972" spans="1:8">
      <c r="A1972" s="107">
        <v>2</v>
      </c>
      <c r="B1972" s="107">
        <v>28</v>
      </c>
      <c r="C1972" s="107">
        <v>7</v>
      </c>
      <c r="D1972" s="107">
        <v>1</v>
      </c>
      <c r="E1972" s="107" t="s">
        <v>375</v>
      </c>
      <c r="F1972" s="107" t="s">
        <v>376</v>
      </c>
      <c r="G1972" s="161">
        <v>45354</v>
      </c>
      <c r="H1972" s="107">
        <f t="shared" si="36"/>
        <v>5</v>
      </c>
    </row>
    <row r="1973" spans="1:8">
      <c r="A1973" s="107">
        <v>2</v>
      </c>
      <c r="B1973" s="107">
        <v>28</v>
      </c>
      <c r="C1973" s="107">
        <v>7</v>
      </c>
      <c r="D1973" s="107">
        <v>2</v>
      </c>
      <c r="E1973" s="107" t="s">
        <v>375</v>
      </c>
      <c r="F1973" s="107" t="s">
        <v>376</v>
      </c>
      <c r="G1973" s="161">
        <v>45353</v>
      </c>
      <c r="H1973" s="107">
        <f t="shared" si="36"/>
        <v>4</v>
      </c>
    </row>
    <row r="1974" spans="1:8">
      <c r="A1974" s="107">
        <v>2</v>
      </c>
      <c r="B1974" s="107">
        <v>28</v>
      </c>
      <c r="C1974" s="107">
        <v>7</v>
      </c>
      <c r="D1974" s="107">
        <v>3</v>
      </c>
      <c r="E1974" s="107" t="s">
        <v>375</v>
      </c>
      <c r="F1974" s="107" t="s">
        <v>376</v>
      </c>
      <c r="G1974" s="161">
        <v>45353</v>
      </c>
      <c r="H1974" s="107">
        <f t="shared" si="36"/>
        <v>4</v>
      </c>
    </row>
    <row r="1975" spans="1:8">
      <c r="A1975" s="107">
        <v>2</v>
      </c>
      <c r="B1975" s="107">
        <v>28</v>
      </c>
      <c r="C1975" s="107">
        <v>7</v>
      </c>
      <c r="D1975" s="107">
        <v>4</v>
      </c>
      <c r="E1975" s="107" t="s">
        <v>375</v>
      </c>
      <c r="F1975" s="107" t="s">
        <v>376</v>
      </c>
      <c r="G1975" s="161">
        <v>45353</v>
      </c>
      <c r="H1975" s="107">
        <f t="shared" si="36"/>
        <v>4</v>
      </c>
    </row>
    <row r="1976" spans="1:8">
      <c r="A1976" s="107">
        <v>2</v>
      </c>
      <c r="B1976" s="107">
        <v>28</v>
      </c>
      <c r="C1976" s="107">
        <v>8</v>
      </c>
      <c r="D1976" s="107">
        <v>1</v>
      </c>
      <c r="E1976" s="107" t="s">
        <v>739</v>
      </c>
      <c r="F1976" s="107" t="s">
        <v>740</v>
      </c>
      <c r="G1976" s="161">
        <v>45354</v>
      </c>
      <c r="H1976" s="107">
        <f t="shared" si="36"/>
        <v>5</v>
      </c>
    </row>
    <row r="1977" spans="1:8">
      <c r="A1977" s="107">
        <v>2</v>
      </c>
      <c r="B1977" s="107">
        <v>28</v>
      </c>
      <c r="C1977" s="107">
        <v>8</v>
      </c>
      <c r="D1977" s="107">
        <v>2</v>
      </c>
      <c r="E1977" s="107" t="s">
        <v>739</v>
      </c>
      <c r="F1977" s="107" t="s">
        <v>740</v>
      </c>
      <c r="G1977" s="161">
        <v>45354</v>
      </c>
      <c r="H1977" s="107">
        <f t="shared" si="36"/>
        <v>5</v>
      </c>
    </row>
    <row r="1978" spans="1:8">
      <c r="A1978" s="107">
        <v>2</v>
      </c>
      <c r="B1978" s="107">
        <v>28</v>
      </c>
      <c r="C1978" s="107">
        <v>8</v>
      </c>
      <c r="D1978" s="107">
        <v>3</v>
      </c>
      <c r="E1978" s="107" t="s">
        <v>739</v>
      </c>
      <c r="F1978" s="107" t="s">
        <v>740</v>
      </c>
      <c r="G1978" s="161">
        <v>45354</v>
      </c>
      <c r="H1978" s="107">
        <f t="shared" si="36"/>
        <v>5</v>
      </c>
    </row>
    <row r="1979" spans="1:8">
      <c r="A1979" s="107">
        <v>2</v>
      </c>
      <c r="B1979" s="107">
        <v>28</v>
      </c>
      <c r="C1979" s="107">
        <v>8</v>
      </c>
      <c r="D1979" s="107">
        <v>4</v>
      </c>
      <c r="E1979" s="107" t="s">
        <v>739</v>
      </c>
      <c r="F1979" s="107" t="s">
        <v>740</v>
      </c>
      <c r="G1979" s="161">
        <v>45354</v>
      </c>
      <c r="H1979" s="107">
        <f t="shared" si="36"/>
        <v>5</v>
      </c>
    </row>
    <row r="1980" spans="1:8">
      <c r="A1980" s="107">
        <v>2</v>
      </c>
      <c r="B1980" s="107">
        <v>28</v>
      </c>
      <c r="C1980" s="107">
        <v>9</v>
      </c>
      <c r="D1980" s="107">
        <v>1</v>
      </c>
      <c r="E1980" s="107" t="s">
        <v>652</v>
      </c>
      <c r="F1980" s="107" t="s">
        <v>653</v>
      </c>
      <c r="G1980" s="161">
        <v>45355</v>
      </c>
      <c r="H1980" s="107">
        <f t="shared" si="36"/>
        <v>6</v>
      </c>
    </row>
    <row r="1981" spans="1:8">
      <c r="A1981" s="107">
        <v>2</v>
      </c>
      <c r="B1981" s="107">
        <v>28</v>
      </c>
      <c r="C1981" s="107">
        <v>9</v>
      </c>
      <c r="D1981" s="107">
        <v>2</v>
      </c>
      <c r="E1981" s="107" t="s">
        <v>652</v>
      </c>
      <c r="F1981" s="107" t="s">
        <v>653</v>
      </c>
      <c r="G1981" s="161">
        <v>45355</v>
      </c>
      <c r="H1981" s="107">
        <f t="shared" si="36"/>
        <v>6</v>
      </c>
    </row>
    <row r="1982" spans="1:8">
      <c r="A1982" s="107">
        <v>2</v>
      </c>
      <c r="B1982" s="107">
        <v>28</v>
      </c>
      <c r="C1982" s="107">
        <v>9</v>
      </c>
      <c r="D1982" s="107">
        <v>3</v>
      </c>
      <c r="E1982" s="107" t="s">
        <v>652</v>
      </c>
      <c r="F1982" s="107" t="s">
        <v>653</v>
      </c>
      <c r="G1982" s="161">
        <v>45355</v>
      </c>
      <c r="H1982" s="107">
        <f t="shared" si="36"/>
        <v>6</v>
      </c>
    </row>
    <row r="1983" spans="1:8">
      <c r="A1983" s="107">
        <v>2</v>
      </c>
      <c r="B1983" s="107">
        <v>28</v>
      </c>
      <c r="C1983" s="107">
        <v>9</v>
      </c>
      <c r="D1983" s="107">
        <v>4</v>
      </c>
      <c r="E1983" s="107" t="s">
        <v>652</v>
      </c>
      <c r="F1983" s="107" t="s">
        <v>653</v>
      </c>
      <c r="G1983" s="161">
        <v>45354</v>
      </c>
      <c r="H1983" s="107">
        <f t="shared" si="36"/>
        <v>5</v>
      </c>
    </row>
    <row r="1984" spans="1:8">
      <c r="A1984" s="107">
        <v>2</v>
      </c>
      <c r="B1984" s="107">
        <v>28</v>
      </c>
      <c r="C1984" s="107">
        <v>10</v>
      </c>
      <c r="D1984" s="107">
        <v>1</v>
      </c>
      <c r="E1984" s="107" t="s">
        <v>138</v>
      </c>
      <c r="F1984" s="107" t="s">
        <v>139</v>
      </c>
      <c r="G1984" s="161">
        <v>45356</v>
      </c>
      <c r="H1984" s="107">
        <f t="shared" si="36"/>
        <v>7</v>
      </c>
    </row>
    <row r="1985" spans="1:8">
      <c r="A1985" s="107">
        <v>2</v>
      </c>
      <c r="B1985" s="107">
        <v>28</v>
      </c>
      <c r="C1985" s="107">
        <v>10</v>
      </c>
      <c r="D1985" s="107">
        <v>2</v>
      </c>
      <c r="E1985" s="107" t="s">
        <v>138</v>
      </c>
      <c r="F1985" s="107" t="s">
        <v>139</v>
      </c>
      <c r="G1985" s="107"/>
      <c r="H1985" s="107"/>
    </row>
    <row r="1986" spans="1:8">
      <c r="A1986" s="107">
        <v>2</v>
      </c>
      <c r="B1986" s="107">
        <v>28</v>
      </c>
      <c r="C1986" s="107">
        <v>10</v>
      </c>
      <c r="D1986" s="107">
        <v>3</v>
      </c>
      <c r="E1986" s="107" t="s">
        <v>138</v>
      </c>
      <c r="F1986" s="107" t="s">
        <v>139</v>
      </c>
      <c r="G1986" s="161">
        <v>45356</v>
      </c>
      <c r="H1986" s="107">
        <f t="shared" si="36"/>
        <v>7</v>
      </c>
    </row>
    <row r="1987" spans="1:8">
      <c r="A1987" s="107">
        <v>2</v>
      </c>
      <c r="B1987" s="107">
        <v>28</v>
      </c>
      <c r="C1987" s="107">
        <v>10</v>
      </c>
      <c r="D1987" s="107">
        <v>4</v>
      </c>
      <c r="E1987" s="107" t="s">
        <v>138</v>
      </c>
      <c r="F1987" s="107" t="s">
        <v>139</v>
      </c>
      <c r="G1987" s="161">
        <v>45355</v>
      </c>
      <c r="H1987" s="107">
        <f t="shared" si="36"/>
        <v>6</v>
      </c>
    </row>
    <row r="1988" spans="1:8">
      <c r="A1988" s="107">
        <v>2</v>
      </c>
      <c r="B1988" s="107">
        <v>28</v>
      </c>
      <c r="C1988" s="107">
        <v>11</v>
      </c>
      <c r="D1988" s="107">
        <v>1</v>
      </c>
      <c r="E1988" s="107" t="s">
        <v>224</v>
      </c>
      <c r="F1988" s="107" t="s">
        <v>225</v>
      </c>
      <c r="G1988" s="161">
        <v>45354</v>
      </c>
      <c r="H1988" s="107">
        <f t="shared" si="36"/>
        <v>5</v>
      </c>
    </row>
    <row r="1989" spans="1:8">
      <c r="A1989" s="107">
        <v>2</v>
      </c>
      <c r="B1989" s="107">
        <v>28</v>
      </c>
      <c r="C1989" s="107">
        <v>11</v>
      </c>
      <c r="D1989" s="107">
        <v>2</v>
      </c>
      <c r="E1989" s="107" t="s">
        <v>224</v>
      </c>
      <c r="F1989" s="107" t="s">
        <v>225</v>
      </c>
      <c r="G1989" s="161">
        <v>45357</v>
      </c>
      <c r="H1989" s="107">
        <f t="shared" ref="H1989:H2052" si="37">DATEDIF($H$2,G1989,"d")</f>
        <v>8</v>
      </c>
    </row>
    <row r="1990" spans="1:8">
      <c r="A1990" s="107">
        <v>2</v>
      </c>
      <c r="B1990" s="107">
        <v>28</v>
      </c>
      <c r="C1990" s="107">
        <v>11</v>
      </c>
      <c r="D1990" s="107">
        <v>3</v>
      </c>
      <c r="E1990" s="107" t="s">
        <v>224</v>
      </c>
      <c r="F1990" s="107" t="s">
        <v>225</v>
      </c>
      <c r="G1990" s="107"/>
      <c r="H1990" s="107"/>
    </row>
    <row r="1991" spans="1:8">
      <c r="A1991" s="107">
        <v>2</v>
      </c>
      <c r="B1991" s="107">
        <v>28</v>
      </c>
      <c r="C1991" s="107">
        <v>11</v>
      </c>
      <c r="D1991" s="107">
        <v>4</v>
      </c>
      <c r="E1991" s="107" t="s">
        <v>224</v>
      </c>
      <c r="F1991" s="107" t="s">
        <v>225</v>
      </c>
      <c r="G1991" s="161">
        <v>45354</v>
      </c>
      <c r="H1991" s="107">
        <f t="shared" si="37"/>
        <v>5</v>
      </c>
    </row>
    <row r="1992" spans="1:8">
      <c r="A1992" s="107">
        <v>2</v>
      </c>
      <c r="B1992" s="107">
        <v>28</v>
      </c>
      <c r="C1992" s="107">
        <v>12</v>
      </c>
      <c r="D1992" s="107">
        <v>1</v>
      </c>
      <c r="E1992" s="107" t="s">
        <v>696</v>
      </c>
      <c r="F1992" s="107" t="s">
        <v>697</v>
      </c>
      <c r="G1992" s="161">
        <v>45355</v>
      </c>
      <c r="H1992" s="107">
        <f t="shared" si="37"/>
        <v>6</v>
      </c>
    </row>
    <row r="1993" spans="1:8">
      <c r="A1993" s="107">
        <v>2</v>
      </c>
      <c r="B1993" s="107">
        <v>28</v>
      </c>
      <c r="C1993" s="107">
        <v>12</v>
      </c>
      <c r="D1993" s="107">
        <v>2</v>
      </c>
      <c r="E1993" s="107" t="s">
        <v>696</v>
      </c>
      <c r="F1993" s="107" t="s">
        <v>697</v>
      </c>
      <c r="G1993" s="161">
        <v>45355</v>
      </c>
      <c r="H1993" s="107">
        <f t="shared" si="37"/>
        <v>6</v>
      </c>
    </row>
    <row r="1994" spans="1:8">
      <c r="A1994" s="107">
        <v>2</v>
      </c>
      <c r="B1994" s="107">
        <v>28</v>
      </c>
      <c r="C1994" s="107">
        <v>12</v>
      </c>
      <c r="D1994" s="107">
        <v>3</v>
      </c>
      <c r="E1994" s="107" t="s">
        <v>696</v>
      </c>
      <c r="F1994" s="107" t="s">
        <v>697</v>
      </c>
      <c r="G1994" s="161">
        <v>45355</v>
      </c>
      <c r="H1994" s="107">
        <f t="shared" si="37"/>
        <v>6</v>
      </c>
    </row>
    <row r="1995" spans="1:8">
      <c r="A1995" s="107">
        <v>2</v>
      </c>
      <c r="B1995" s="107">
        <v>28</v>
      </c>
      <c r="C1995" s="107">
        <v>12</v>
      </c>
      <c r="D1995" s="107">
        <v>4</v>
      </c>
      <c r="E1995" s="107" t="s">
        <v>696</v>
      </c>
      <c r="F1995" s="107" t="s">
        <v>697</v>
      </c>
      <c r="G1995" s="161">
        <v>45355</v>
      </c>
      <c r="H1995" s="107">
        <f t="shared" si="37"/>
        <v>6</v>
      </c>
    </row>
    <row r="1996" spans="1:8">
      <c r="A1996" s="107">
        <v>2</v>
      </c>
      <c r="B1996" s="107">
        <v>28</v>
      </c>
      <c r="C1996" s="107">
        <v>13</v>
      </c>
      <c r="D1996" s="107">
        <v>1</v>
      </c>
      <c r="E1996" s="107" t="s">
        <v>463</v>
      </c>
      <c r="F1996" s="107" t="s">
        <v>464</v>
      </c>
      <c r="G1996" s="161">
        <v>45355</v>
      </c>
      <c r="H1996" s="107">
        <f t="shared" si="37"/>
        <v>6</v>
      </c>
    </row>
    <row r="1997" spans="1:8">
      <c r="A1997" s="107">
        <v>2</v>
      </c>
      <c r="B1997" s="107">
        <v>28</v>
      </c>
      <c r="C1997" s="107">
        <v>13</v>
      </c>
      <c r="D1997" s="107">
        <v>2</v>
      </c>
      <c r="E1997" s="107" t="s">
        <v>463</v>
      </c>
      <c r="F1997" s="107" t="s">
        <v>464</v>
      </c>
      <c r="G1997" s="161">
        <v>45354</v>
      </c>
      <c r="H1997" s="107">
        <f t="shared" si="37"/>
        <v>5</v>
      </c>
    </row>
    <row r="1998" spans="1:8">
      <c r="A1998" s="107">
        <v>2</v>
      </c>
      <c r="B1998" s="107">
        <v>28</v>
      </c>
      <c r="C1998" s="107">
        <v>13</v>
      </c>
      <c r="D1998" s="107">
        <v>3</v>
      </c>
      <c r="E1998" s="107" t="s">
        <v>463</v>
      </c>
      <c r="F1998" s="107" t="s">
        <v>464</v>
      </c>
      <c r="G1998" s="161">
        <v>45354</v>
      </c>
      <c r="H1998" s="107">
        <f t="shared" si="37"/>
        <v>5</v>
      </c>
    </row>
    <row r="1999" spans="1:8">
      <c r="A1999" s="107">
        <v>2</v>
      </c>
      <c r="B1999" s="107">
        <v>28</v>
      </c>
      <c r="C1999" s="107">
        <v>13</v>
      </c>
      <c r="D1999" s="107">
        <v>4</v>
      </c>
      <c r="E1999" s="107" t="s">
        <v>463</v>
      </c>
      <c r="F1999" s="107" t="s">
        <v>464</v>
      </c>
      <c r="G1999" s="161">
        <v>45354</v>
      </c>
      <c r="H1999" s="107">
        <f t="shared" si="37"/>
        <v>5</v>
      </c>
    </row>
    <row r="2000" spans="1:8">
      <c r="A2000" s="107">
        <v>2</v>
      </c>
      <c r="B2000" s="107">
        <v>28</v>
      </c>
      <c r="C2000" s="107">
        <v>14</v>
      </c>
      <c r="D2000" s="107">
        <v>1</v>
      </c>
      <c r="E2000" s="107" t="s">
        <v>168</v>
      </c>
      <c r="F2000" s="107" t="s">
        <v>169</v>
      </c>
      <c r="G2000" s="161">
        <v>45355</v>
      </c>
      <c r="H2000" s="107">
        <f t="shared" si="37"/>
        <v>6</v>
      </c>
    </row>
    <row r="2001" spans="1:8">
      <c r="A2001" s="107">
        <v>2</v>
      </c>
      <c r="B2001" s="107">
        <v>28</v>
      </c>
      <c r="C2001" s="107">
        <v>14</v>
      </c>
      <c r="D2001" s="107">
        <v>2</v>
      </c>
      <c r="E2001" s="107" t="s">
        <v>168</v>
      </c>
      <c r="F2001" s="107" t="s">
        <v>169</v>
      </c>
      <c r="G2001" s="161">
        <v>45353</v>
      </c>
      <c r="H2001" s="107">
        <f t="shared" si="37"/>
        <v>4</v>
      </c>
    </row>
    <row r="2002" spans="1:8">
      <c r="A2002" s="107">
        <v>2</v>
      </c>
      <c r="B2002" s="107">
        <v>28</v>
      </c>
      <c r="C2002" s="107">
        <v>14</v>
      </c>
      <c r="D2002" s="107">
        <v>3</v>
      </c>
      <c r="E2002" s="107" t="s">
        <v>168</v>
      </c>
      <c r="F2002" s="107" t="s">
        <v>169</v>
      </c>
      <c r="G2002" s="161">
        <v>45355</v>
      </c>
      <c r="H2002" s="107">
        <f t="shared" si="37"/>
        <v>6</v>
      </c>
    </row>
    <row r="2003" spans="1:8">
      <c r="A2003" s="107">
        <v>2</v>
      </c>
      <c r="B2003" s="107">
        <v>28</v>
      </c>
      <c r="C2003" s="107">
        <v>14</v>
      </c>
      <c r="D2003" s="107">
        <v>4</v>
      </c>
      <c r="E2003" s="107" t="s">
        <v>168</v>
      </c>
      <c r="F2003" s="107" t="s">
        <v>169</v>
      </c>
      <c r="G2003" s="107"/>
      <c r="H2003" s="107"/>
    </row>
    <row r="2004" spans="1:8">
      <c r="A2004" s="107">
        <v>2</v>
      </c>
      <c r="B2004" s="107">
        <v>28</v>
      </c>
      <c r="C2004" s="107">
        <v>15</v>
      </c>
      <c r="D2004" s="107">
        <v>1</v>
      </c>
      <c r="E2004" s="107" t="s">
        <v>558</v>
      </c>
      <c r="F2004" s="107" t="s">
        <v>559</v>
      </c>
      <c r="G2004" s="107"/>
      <c r="H2004" s="107"/>
    </row>
    <row r="2005" spans="1:8">
      <c r="A2005" s="107">
        <v>2</v>
      </c>
      <c r="B2005" s="107">
        <v>28</v>
      </c>
      <c r="C2005" s="107">
        <v>15</v>
      </c>
      <c r="D2005" s="107">
        <v>2</v>
      </c>
      <c r="E2005" s="107" t="s">
        <v>558</v>
      </c>
      <c r="F2005" s="107" t="s">
        <v>559</v>
      </c>
      <c r="G2005" s="161">
        <v>45355</v>
      </c>
      <c r="H2005" s="107">
        <f t="shared" si="37"/>
        <v>6</v>
      </c>
    </row>
    <row r="2006" spans="1:8">
      <c r="A2006" s="107">
        <v>2</v>
      </c>
      <c r="B2006" s="107">
        <v>28</v>
      </c>
      <c r="C2006" s="107">
        <v>15</v>
      </c>
      <c r="D2006" s="107">
        <v>3</v>
      </c>
      <c r="E2006" s="107" t="s">
        <v>558</v>
      </c>
      <c r="F2006" s="107" t="s">
        <v>559</v>
      </c>
      <c r="G2006" s="161">
        <v>45354</v>
      </c>
      <c r="H2006" s="107">
        <f t="shared" si="37"/>
        <v>5</v>
      </c>
    </row>
    <row r="2007" spans="1:8">
      <c r="A2007" s="107">
        <v>2</v>
      </c>
      <c r="B2007" s="107">
        <v>28</v>
      </c>
      <c r="C2007" s="107">
        <v>15</v>
      </c>
      <c r="D2007" s="107">
        <v>4</v>
      </c>
      <c r="E2007" s="107" t="s">
        <v>558</v>
      </c>
      <c r="F2007" s="107" t="s">
        <v>559</v>
      </c>
      <c r="G2007" s="107"/>
      <c r="H2007" s="107"/>
    </row>
    <row r="2008" spans="1:8">
      <c r="A2008" s="107">
        <v>2</v>
      </c>
      <c r="B2008" s="107">
        <v>28</v>
      </c>
      <c r="C2008" s="107">
        <v>16</v>
      </c>
      <c r="D2008" s="107">
        <v>1</v>
      </c>
      <c r="E2008" s="107" t="s">
        <v>520</v>
      </c>
      <c r="F2008" s="107" t="s">
        <v>503</v>
      </c>
      <c r="G2008" s="161">
        <v>45354</v>
      </c>
      <c r="H2008" s="107">
        <f t="shared" si="37"/>
        <v>5</v>
      </c>
    </row>
    <row r="2009" spans="1:8">
      <c r="A2009" s="107">
        <v>2</v>
      </c>
      <c r="B2009" s="107">
        <v>28</v>
      </c>
      <c r="C2009" s="107">
        <v>16</v>
      </c>
      <c r="D2009" s="107">
        <v>2</v>
      </c>
      <c r="E2009" s="107" t="s">
        <v>520</v>
      </c>
      <c r="F2009" s="107" t="s">
        <v>503</v>
      </c>
      <c r="G2009" s="161">
        <v>45354</v>
      </c>
      <c r="H2009" s="107">
        <f t="shared" si="37"/>
        <v>5</v>
      </c>
    </row>
    <row r="2010" spans="1:8">
      <c r="A2010" s="107">
        <v>2</v>
      </c>
      <c r="B2010" s="107">
        <v>28</v>
      </c>
      <c r="C2010" s="107">
        <v>16</v>
      </c>
      <c r="D2010" s="107">
        <v>3</v>
      </c>
      <c r="E2010" s="107" t="s">
        <v>520</v>
      </c>
      <c r="F2010" s="107" t="s">
        <v>503</v>
      </c>
      <c r="G2010" s="161">
        <v>45354</v>
      </c>
      <c r="H2010" s="107">
        <f t="shared" si="37"/>
        <v>5</v>
      </c>
    </row>
    <row r="2011" spans="1:8">
      <c r="A2011" s="107">
        <v>2</v>
      </c>
      <c r="B2011" s="107">
        <v>28</v>
      </c>
      <c r="C2011" s="107">
        <v>16</v>
      </c>
      <c r="D2011" s="107">
        <v>4</v>
      </c>
      <c r="E2011" s="107" t="s">
        <v>520</v>
      </c>
      <c r="F2011" s="107" t="s">
        <v>503</v>
      </c>
      <c r="G2011" s="161">
        <v>45354</v>
      </c>
      <c r="H2011" s="107">
        <f t="shared" si="37"/>
        <v>5</v>
      </c>
    </row>
    <row r="2012" spans="1:8">
      <c r="A2012" s="107">
        <v>2</v>
      </c>
      <c r="B2012" s="107">
        <v>28</v>
      </c>
      <c r="C2012" s="107">
        <v>17</v>
      </c>
      <c r="D2012" s="107">
        <v>1</v>
      </c>
      <c r="E2012" s="107" t="s">
        <v>435</v>
      </c>
      <c r="F2012" s="107" t="s">
        <v>436</v>
      </c>
      <c r="G2012" s="161">
        <v>45355</v>
      </c>
      <c r="H2012" s="107">
        <f t="shared" si="37"/>
        <v>6</v>
      </c>
    </row>
    <row r="2013" spans="1:8">
      <c r="A2013" s="107">
        <v>2</v>
      </c>
      <c r="B2013" s="107">
        <v>28</v>
      </c>
      <c r="C2013" s="107">
        <v>17</v>
      </c>
      <c r="D2013" s="107">
        <v>2</v>
      </c>
      <c r="E2013" s="107" t="s">
        <v>435</v>
      </c>
      <c r="F2013" s="107" t="s">
        <v>436</v>
      </c>
      <c r="G2013" s="107"/>
      <c r="H2013" s="107"/>
    </row>
    <row r="2014" spans="1:8">
      <c r="A2014" s="107">
        <v>2</v>
      </c>
      <c r="B2014" s="107">
        <v>28</v>
      </c>
      <c r="C2014" s="107">
        <v>17</v>
      </c>
      <c r="D2014" s="107">
        <v>3</v>
      </c>
      <c r="E2014" s="107" t="s">
        <v>435</v>
      </c>
      <c r="F2014" s="107" t="s">
        <v>436</v>
      </c>
      <c r="G2014" s="161">
        <v>45355</v>
      </c>
      <c r="H2014" s="107">
        <f t="shared" si="37"/>
        <v>6</v>
      </c>
    </row>
    <row r="2015" spans="1:8">
      <c r="A2015" s="107">
        <v>2</v>
      </c>
      <c r="B2015" s="107">
        <v>28</v>
      </c>
      <c r="C2015" s="107">
        <v>17</v>
      </c>
      <c r="D2015" s="107">
        <v>4</v>
      </c>
      <c r="E2015" s="107" t="s">
        <v>435</v>
      </c>
      <c r="F2015" s="107" t="s">
        <v>436</v>
      </c>
      <c r="G2015" s="161">
        <v>45355</v>
      </c>
      <c r="H2015" s="107">
        <f t="shared" si="37"/>
        <v>6</v>
      </c>
    </row>
    <row r="2016" spans="1:8">
      <c r="A2016" s="107">
        <v>2</v>
      </c>
      <c r="B2016" s="107">
        <v>28</v>
      </c>
      <c r="C2016" s="107">
        <v>18</v>
      </c>
      <c r="D2016" s="107">
        <v>1</v>
      </c>
      <c r="E2016" s="107" t="s">
        <v>383</v>
      </c>
      <c r="F2016" s="107" t="s">
        <v>384</v>
      </c>
      <c r="G2016" s="161">
        <v>45353</v>
      </c>
      <c r="H2016" s="107">
        <f t="shared" si="37"/>
        <v>4</v>
      </c>
    </row>
    <row r="2017" spans="1:8">
      <c r="A2017" s="107">
        <v>2</v>
      </c>
      <c r="B2017" s="107">
        <v>28</v>
      </c>
      <c r="C2017" s="107">
        <v>18</v>
      </c>
      <c r="D2017" s="107">
        <v>2</v>
      </c>
      <c r="E2017" s="107" t="s">
        <v>383</v>
      </c>
      <c r="F2017" s="107" t="s">
        <v>384</v>
      </c>
      <c r="G2017" s="161">
        <v>45354</v>
      </c>
      <c r="H2017" s="107">
        <f t="shared" si="37"/>
        <v>5</v>
      </c>
    </row>
    <row r="2018" spans="1:8">
      <c r="A2018" s="107">
        <v>2</v>
      </c>
      <c r="B2018" s="107">
        <v>28</v>
      </c>
      <c r="C2018" s="107">
        <v>18</v>
      </c>
      <c r="D2018" s="107">
        <v>3</v>
      </c>
      <c r="E2018" s="107" t="s">
        <v>383</v>
      </c>
      <c r="F2018" s="107" t="s">
        <v>384</v>
      </c>
      <c r="G2018" s="161">
        <v>45353</v>
      </c>
      <c r="H2018" s="107">
        <f t="shared" si="37"/>
        <v>4</v>
      </c>
    </row>
    <row r="2019" spans="1:8">
      <c r="A2019" s="107">
        <v>2</v>
      </c>
      <c r="B2019" s="107">
        <v>28</v>
      </c>
      <c r="C2019" s="107">
        <v>18</v>
      </c>
      <c r="D2019" s="107">
        <v>4</v>
      </c>
      <c r="E2019" s="107" t="s">
        <v>383</v>
      </c>
      <c r="F2019" s="107" t="s">
        <v>384</v>
      </c>
      <c r="G2019" s="161">
        <v>45353</v>
      </c>
      <c r="H2019" s="107">
        <f t="shared" si="37"/>
        <v>4</v>
      </c>
    </row>
    <row r="2020" spans="1:8">
      <c r="A2020" s="107">
        <v>2</v>
      </c>
      <c r="B2020" s="107">
        <v>29</v>
      </c>
      <c r="C2020" s="107">
        <v>1</v>
      </c>
      <c r="D2020" s="107">
        <v>1</v>
      </c>
      <c r="E2020" s="107" t="s">
        <v>467</v>
      </c>
      <c r="F2020" s="107" t="s">
        <v>468</v>
      </c>
      <c r="G2020" s="161">
        <v>45353</v>
      </c>
      <c r="H2020" s="107">
        <f t="shared" si="37"/>
        <v>4</v>
      </c>
    </row>
    <row r="2021" spans="1:8">
      <c r="A2021" s="107">
        <v>2</v>
      </c>
      <c r="B2021" s="107">
        <v>29</v>
      </c>
      <c r="C2021" s="107">
        <v>1</v>
      </c>
      <c r="D2021" s="107">
        <v>2</v>
      </c>
      <c r="E2021" s="107" t="s">
        <v>467</v>
      </c>
      <c r="F2021" s="107" t="s">
        <v>468</v>
      </c>
      <c r="G2021" s="161">
        <v>45354</v>
      </c>
      <c r="H2021" s="107">
        <f t="shared" si="37"/>
        <v>5</v>
      </c>
    </row>
    <row r="2022" spans="1:8">
      <c r="A2022" s="107">
        <v>2</v>
      </c>
      <c r="B2022" s="107">
        <v>29</v>
      </c>
      <c r="C2022" s="107">
        <v>1</v>
      </c>
      <c r="D2022" s="107">
        <v>3</v>
      </c>
      <c r="E2022" s="107" t="s">
        <v>467</v>
      </c>
      <c r="F2022" s="107" t="s">
        <v>468</v>
      </c>
      <c r="G2022" s="161">
        <v>45353</v>
      </c>
      <c r="H2022" s="107">
        <f t="shared" si="37"/>
        <v>4</v>
      </c>
    </row>
    <row r="2023" spans="1:8">
      <c r="A2023" s="107">
        <v>2</v>
      </c>
      <c r="B2023" s="107">
        <v>29</v>
      </c>
      <c r="C2023" s="107">
        <v>1</v>
      </c>
      <c r="D2023" s="107">
        <v>4</v>
      </c>
      <c r="E2023" s="107" t="s">
        <v>467</v>
      </c>
      <c r="F2023" s="107" t="s">
        <v>468</v>
      </c>
      <c r="G2023" s="161">
        <v>45355</v>
      </c>
      <c r="H2023" s="107">
        <f t="shared" si="37"/>
        <v>6</v>
      </c>
    </row>
    <row r="2024" spans="1:8">
      <c r="A2024" s="107">
        <v>2</v>
      </c>
      <c r="B2024" s="107">
        <v>29</v>
      </c>
      <c r="C2024" s="107">
        <v>2</v>
      </c>
      <c r="D2024" s="107">
        <v>1</v>
      </c>
      <c r="E2024" s="107" t="s">
        <v>690</v>
      </c>
      <c r="F2024" s="107" t="s">
        <v>691</v>
      </c>
      <c r="G2024" s="161">
        <v>45353</v>
      </c>
      <c r="H2024" s="107">
        <f t="shared" si="37"/>
        <v>4</v>
      </c>
    </row>
    <row r="2025" spans="1:8">
      <c r="A2025" s="107">
        <v>2</v>
      </c>
      <c r="B2025" s="107">
        <v>29</v>
      </c>
      <c r="C2025" s="107">
        <v>2</v>
      </c>
      <c r="D2025" s="107">
        <v>2</v>
      </c>
      <c r="E2025" s="107" t="s">
        <v>690</v>
      </c>
      <c r="F2025" s="107" t="s">
        <v>691</v>
      </c>
      <c r="G2025" s="161">
        <v>45353</v>
      </c>
      <c r="H2025" s="107">
        <f t="shared" si="37"/>
        <v>4</v>
      </c>
    </row>
    <row r="2026" spans="1:8">
      <c r="A2026" s="107">
        <v>2</v>
      </c>
      <c r="B2026" s="107">
        <v>29</v>
      </c>
      <c r="C2026" s="107">
        <v>2</v>
      </c>
      <c r="D2026" s="107">
        <v>3</v>
      </c>
      <c r="E2026" s="107" t="s">
        <v>690</v>
      </c>
      <c r="F2026" s="107" t="s">
        <v>691</v>
      </c>
      <c r="G2026" s="161">
        <v>45353</v>
      </c>
      <c r="H2026" s="107">
        <f t="shared" si="37"/>
        <v>4</v>
      </c>
    </row>
    <row r="2027" spans="1:8">
      <c r="A2027" s="107">
        <v>2</v>
      </c>
      <c r="B2027" s="107">
        <v>29</v>
      </c>
      <c r="C2027" s="107">
        <v>2</v>
      </c>
      <c r="D2027" s="107">
        <v>4</v>
      </c>
      <c r="E2027" s="107" t="s">
        <v>690</v>
      </c>
      <c r="F2027" s="107" t="s">
        <v>691</v>
      </c>
      <c r="G2027" s="161">
        <v>45353</v>
      </c>
      <c r="H2027" s="107">
        <f t="shared" si="37"/>
        <v>4</v>
      </c>
    </row>
    <row r="2028" spans="1:8">
      <c r="A2028" s="107">
        <v>2</v>
      </c>
      <c r="B2028" s="107">
        <v>29</v>
      </c>
      <c r="C2028" s="107">
        <v>3</v>
      </c>
      <c r="D2028" s="107">
        <v>1</v>
      </c>
      <c r="E2028" s="107" t="s">
        <v>628</v>
      </c>
      <c r="F2028" s="107" t="s">
        <v>629</v>
      </c>
      <c r="G2028" s="161">
        <v>45354</v>
      </c>
      <c r="H2028" s="107">
        <f t="shared" si="37"/>
        <v>5</v>
      </c>
    </row>
    <row r="2029" spans="1:8">
      <c r="A2029" s="107">
        <v>2</v>
      </c>
      <c r="B2029" s="107">
        <v>29</v>
      </c>
      <c r="C2029" s="107">
        <v>3</v>
      </c>
      <c r="D2029" s="107">
        <v>2</v>
      </c>
      <c r="E2029" s="107" t="s">
        <v>628</v>
      </c>
      <c r="F2029" s="107" t="s">
        <v>629</v>
      </c>
      <c r="G2029" s="161">
        <v>45353</v>
      </c>
      <c r="H2029" s="107">
        <f t="shared" si="37"/>
        <v>4</v>
      </c>
    </row>
    <row r="2030" spans="1:8">
      <c r="A2030" s="107">
        <v>2</v>
      </c>
      <c r="B2030" s="107">
        <v>29</v>
      </c>
      <c r="C2030" s="107">
        <v>3</v>
      </c>
      <c r="D2030" s="107">
        <v>3</v>
      </c>
      <c r="E2030" s="107" t="s">
        <v>628</v>
      </c>
      <c r="F2030" s="107" t="s">
        <v>629</v>
      </c>
      <c r="G2030" s="161">
        <v>45353</v>
      </c>
      <c r="H2030" s="107">
        <f t="shared" si="37"/>
        <v>4</v>
      </c>
    </row>
    <row r="2031" spans="1:8">
      <c r="A2031" s="107">
        <v>2</v>
      </c>
      <c r="B2031" s="107">
        <v>29</v>
      </c>
      <c r="C2031" s="107">
        <v>3</v>
      </c>
      <c r="D2031" s="107">
        <v>4</v>
      </c>
      <c r="E2031" s="107" t="s">
        <v>628</v>
      </c>
      <c r="F2031" s="107" t="s">
        <v>629</v>
      </c>
      <c r="G2031" s="161">
        <v>45353</v>
      </c>
      <c r="H2031" s="107">
        <f t="shared" si="37"/>
        <v>4</v>
      </c>
    </row>
    <row r="2032" spans="1:8">
      <c r="A2032" s="107">
        <v>2</v>
      </c>
      <c r="B2032" s="107">
        <v>29</v>
      </c>
      <c r="C2032" s="107">
        <v>4</v>
      </c>
      <c r="D2032" s="107">
        <v>1</v>
      </c>
      <c r="E2032" s="107" t="s">
        <v>361</v>
      </c>
      <c r="F2032" s="107" t="s">
        <v>362</v>
      </c>
      <c r="G2032" s="161">
        <v>45353</v>
      </c>
      <c r="H2032" s="107">
        <f t="shared" si="37"/>
        <v>4</v>
      </c>
    </row>
    <row r="2033" spans="1:8">
      <c r="A2033" s="107">
        <v>2</v>
      </c>
      <c r="B2033" s="107">
        <v>29</v>
      </c>
      <c r="C2033" s="107">
        <v>4</v>
      </c>
      <c r="D2033" s="107">
        <v>2</v>
      </c>
      <c r="E2033" s="107" t="s">
        <v>361</v>
      </c>
      <c r="F2033" s="107" t="s">
        <v>362</v>
      </c>
      <c r="G2033" s="161">
        <v>45353</v>
      </c>
      <c r="H2033" s="107">
        <f t="shared" si="37"/>
        <v>4</v>
      </c>
    </row>
    <row r="2034" spans="1:8">
      <c r="A2034" s="107">
        <v>2</v>
      </c>
      <c r="B2034" s="107">
        <v>29</v>
      </c>
      <c r="C2034" s="107">
        <v>4</v>
      </c>
      <c r="D2034" s="107">
        <v>3</v>
      </c>
      <c r="E2034" s="107" t="s">
        <v>361</v>
      </c>
      <c r="F2034" s="107" t="s">
        <v>362</v>
      </c>
      <c r="G2034" s="161">
        <v>45353</v>
      </c>
      <c r="H2034" s="107">
        <f t="shared" si="37"/>
        <v>4</v>
      </c>
    </row>
    <row r="2035" spans="1:8">
      <c r="A2035" s="107">
        <v>2</v>
      </c>
      <c r="B2035" s="107">
        <v>29</v>
      </c>
      <c r="C2035" s="107">
        <v>4</v>
      </c>
      <c r="D2035" s="107">
        <v>4</v>
      </c>
      <c r="E2035" s="107" t="s">
        <v>361</v>
      </c>
      <c r="F2035" s="107" t="s">
        <v>362</v>
      </c>
      <c r="G2035" s="161">
        <v>45353</v>
      </c>
      <c r="H2035" s="107">
        <f t="shared" si="37"/>
        <v>4</v>
      </c>
    </row>
    <row r="2036" spans="1:8">
      <c r="A2036" s="107">
        <v>2</v>
      </c>
      <c r="B2036" s="107">
        <v>29</v>
      </c>
      <c r="C2036" s="107">
        <v>5</v>
      </c>
      <c r="D2036" s="107">
        <v>1</v>
      </c>
      <c r="E2036" s="107" t="s">
        <v>389</v>
      </c>
      <c r="F2036" s="107" t="s">
        <v>390</v>
      </c>
      <c r="G2036" s="161">
        <v>45355</v>
      </c>
      <c r="H2036" s="107">
        <f t="shared" si="37"/>
        <v>6</v>
      </c>
    </row>
    <row r="2037" spans="1:8">
      <c r="A2037" s="107">
        <v>2</v>
      </c>
      <c r="B2037" s="107">
        <v>29</v>
      </c>
      <c r="C2037" s="107">
        <v>5</v>
      </c>
      <c r="D2037" s="107">
        <v>2</v>
      </c>
      <c r="E2037" s="107" t="s">
        <v>389</v>
      </c>
      <c r="F2037" s="107" t="s">
        <v>390</v>
      </c>
      <c r="G2037" s="161">
        <v>45354</v>
      </c>
      <c r="H2037" s="107">
        <f t="shared" si="37"/>
        <v>5</v>
      </c>
    </row>
    <row r="2038" spans="1:8">
      <c r="A2038" s="107">
        <v>2</v>
      </c>
      <c r="B2038" s="107">
        <v>29</v>
      </c>
      <c r="C2038" s="107">
        <v>5</v>
      </c>
      <c r="D2038" s="107">
        <v>3</v>
      </c>
      <c r="E2038" s="107" t="s">
        <v>389</v>
      </c>
      <c r="F2038" s="107" t="s">
        <v>390</v>
      </c>
      <c r="G2038" s="161">
        <v>45354</v>
      </c>
      <c r="H2038" s="107">
        <f t="shared" si="37"/>
        <v>5</v>
      </c>
    </row>
    <row r="2039" spans="1:8">
      <c r="A2039" s="107">
        <v>2</v>
      </c>
      <c r="B2039" s="107">
        <v>29</v>
      </c>
      <c r="C2039" s="107">
        <v>5</v>
      </c>
      <c r="D2039" s="107">
        <v>4</v>
      </c>
      <c r="E2039" s="107" t="s">
        <v>389</v>
      </c>
      <c r="F2039" s="107" t="s">
        <v>390</v>
      </c>
      <c r="G2039" s="161">
        <v>45353</v>
      </c>
      <c r="H2039" s="107">
        <f t="shared" si="37"/>
        <v>4</v>
      </c>
    </row>
    <row r="2040" spans="1:8">
      <c r="A2040" s="107">
        <v>2</v>
      </c>
      <c r="B2040" s="107">
        <v>29</v>
      </c>
      <c r="C2040" s="107">
        <v>6</v>
      </c>
      <c r="D2040" s="107">
        <v>1</v>
      </c>
      <c r="E2040" s="107" t="s">
        <v>208</v>
      </c>
      <c r="F2040" s="107" t="s">
        <v>209</v>
      </c>
      <c r="G2040" s="107"/>
      <c r="H2040" s="107"/>
    </row>
    <row r="2041" spans="1:8">
      <c r="A2041" s="107">
        <v>2</v>
      </c>
      <c r="B2041" s="107">
        <v>29</v>
      </c>
      <c r="C2041" s="107">
        <v>6</v>
      </c>
      <c r="D2041" s="107">
        <v>2</v>
      </c>
      <c r="E2041" s="107" t="s">
        <v>208</v>
      </c>
      <c r="F2041" s="107" t="s">
        <v>209</v>
      </c>
      <c r="G2041" s="107"/>
      <c r="H2041" s="107"/>
    </row>
    <row r="2042" spans="1:8">
      <c r="A2042" s="107">
        <v>2</v>
      </c>
      <c r="B2042" s="107">
        <v>29</v>
      </c>
      <c r="C2042" s="107">
        <v>6</v>
      </c>
      <c r="D2042" s="107">
        <v>3</v>
      </c>
      <c r="E2042" s="107" t="s">
        <v>208</v>
      </c>
      <c r="F2042" s="107" t="s">
        <v>209</v>
      </c>
      <c r="G2042" s="107"/>
      <c r="H2042" s="107"/>
    </row>
    <row r="2043" spans="1:8">
      <c r="A2043" s="107">
        <v>2</v>
      </c>
      <c r="B2043" s="107">
        <v>29</v>
      </c>
      <c r="C2043" s="107">
        <v>6</v>
      </c>
      <c r="D2043" s="107">
        <v>4</v>
      </c>
      <c r="E2043" s="107" t="s">
        <v>208</v>
      </c>
      <c r="F2043" s="107" t="s">
        <v>209</v>
      </c>
      <c r="G2043" s="161">
        <v>45354</v>
      </c>
      <c r="H2043" s="107">
        <f t="shared" si="37"/>
        <v>5</v>
      </c>
    </row>
    <row r="2044" spans="1:8">
      <c r="A2044" s="107">
        <v>2</v>
      </c>
      <c r="B2044" s="107">
        <v>29</v>
      </c>
      <c r="C2044" s="107">
        <v>7</v>
      </c>
      <c r="D2044" s="107">
        <v>1</v>
      </c>
      <c r="E2044" s="107" t="s">
        <v>315</v>
      </c>
      <c r="F2044" s="107" t="s">
        <v>316</v>
      </c>
      <c r="G2044" s="161">
        <v>45353</v>
      </c>
      <c r="H2044" s="107">
        <f t="shared" si="37"/>
        <v>4</v>
      </c>
    </row>
    <row r="2045" spans="1:8">
      <c r="A2045" s="107">
        <v>2</v>
      </c>
      <c r="B2045" s="107">
        <v>29</v>
      </c>
      <c r="C2045" s="107">
        <v>7</v>
      </c>
      <c r="D2045" s="107">
        <v>2</v>
      </c>
      <c r="E2045" s="107" t="s">
        <v>315</v>
      </c>
      <c r="F2045" s="107" t="s">
        <v>316</v>
      </c>
      <c r="G2045" s="161">
        <v>45353</v>
      </c>
      <c r="H2045" s="107">
        <f t="shared" si="37"/>
        <v>4</v>
      </c>
    </row>
    <row r="2046" spans="1:8">
      <c r="A2046" s="107">
        <v>2</v>
      </c>
      <c r="B2046" s="107">
        <v>29</v>
      </c>
      <c r="C2046" s="107">
        <v>7</v>
      </c>
      <c r="D2046" s="107">
        <v>3</v>
      </c>
      <c r="E2046" s="107" t="s">
        <v>315</v>
      </c>
      <c r="F2046" s="107" t="s">
        <v>316</v>
      </c>
      <c r="G2046" s="161">
        <v>45354</v>
      </c>
      <c r="H2046" s="107">
        <f t="shared" si="37"/>
        <v>5</v>
      </c>
    </row>
    <row r="2047" spans="1:8">
      <c r="A2047" s="107">
        <v>2</v>
      </c>
      <c r="B2047" s="107">
        <v>29</v>
      </c>
      <c r="C2047" s="107">
        <v>7</v>
      </c>
      <c r="D2047" s="107">
        <v>4</v>
      </c>
      <c r="E2047" s="107" t="s">
        <v>315</v>
      </c>
      <c r="F2047" s="107" t="s">
        <v>316</v>
      </c>
      <c r="G2047" s="161">
        <v>45353</v>
      </c>
      <c r="H2047" s="107">
        <f t="shared" si="37"/>
        <v>4</v>
      </c>
    </row>
    <row r="2048" spans="1:8">
      <c r="A2048" s="107">
        <v>2</v>
      </c>
      <c r="B2048" s="107">
        <v>29</v>
      </c>
      <c r="C2048" s="107">
        <v>8</v>
      </c>
      <c r="D2048" s="107">
        <v>1</v>
      </c>
      <c r="E2048" s="107" t="s">
        <v>166</v>
      </c>
      <c r="F2048" s="107" t="s">
        <v>167</v>
      </c>
      <c r="G2048" s="161">
        <v>45356</v>
      </c>
      <c r="H2048" s="107">
        <f t="shared" si="37"/>
        <v>7</v>
      </c>
    </row>
    <row r="2049" spans="1:8">
      <c r="A2049" s="107">
        <v>2</v>
      </c>
      <c r="B2049" s="107">
        <v>29</v>
      </c>
      <c r="C2049" s="107">
        <v>8</v>
      </c>
      <c r="D2049" s="107">
        <v>2</v>
      </c>
      <c r="E2049" s="107" t="s">
        <v>166</v>
      </c>
      <c r="F2049" s="107" t="s">
        <v>167</v>
      </c>
      <c r="G2049" s="107"/>
      <c r="H2049" s="107"/>
    </row>
    <row r="2050" spans="1:8">
      <c r="A2050" s="107">
        <v>2</v>
      </c>
      <c r="B2050" s="107">
        <v>29</v>
      </c>
      <c r="C2050" s="107">
        <v>8</v>
      </c>
      <c r="D2050" s="107">
        <v>3</v>
      </c>
      <c r="E2050" s="107" t="s">
        <v>166</v>
      </c>
      <c r="F2050" s="107" t="s">
        <v>167</v>
      </c>
      <c r="G2050" s="161">
        <v>45356</v>
      </c>
      <c r="H2050" s="107">
        <f t="shared" si="37"/>
        <v>7</v>
      </c>
    </row>
    <row r="2051" spans="1:8">
      <c r="A2051" s="107">
        <v>2</v>
      </c>
      <c r="B2051" s="107">
        <v>29</v>
      </c>
      <c r="C2051" s="107">
        <v>8</v>
      </c>
      <c r="D2051" s="107">
        <v>4</v>
      </c>
      <c r="E2051" s="107" t="s">
        <v>166</v>
      </c>
      <c r="F2051" s="107" t="s">
        <v>167</v>
      </c>
      <c r="G2051" s="107"/>
      <c r="H2051" s="107"/>
    </row>
    <row r="2052" spans="1:8">
      <c r="A2052" s="107">
        <v>2</v>
      </c>
      <c r="B2052" s="107">
        <v>29</v>
      </c>
      <c r="C2052" s="107">
        <v>9</v>
      </c>
      <c r="D2052" s="107">
        <v>1</v>
      </c>
      <c r="E2052" s="107" t="s">
        <v>513</v>
      </c>
      <c r="F2052" s="107" t="s">
        <v>505</v>
      </c>
      <c r="G2052" s="161">
        <v>45354</v>
      </c>
      <c r="H2052" s="107">
        <f t="shared" si="37"/>
        <v>5</v>
      </c>
    </row>
    <row r="2053" spans="1:8">
      <c r="A2053" s="107">
        <v>2</v>
      </c>
      <c r="B2053" s="107">
        <v>29</v>
      </c>
      <c r="C2053" s="107">
        <v>9</v>
      </c>
      <c r="D2053" s="107">
        <v>2</v>
      </c>
      <c r="E2053" s="107" t="s">
        <v>513</v>
      </c>
      <c r="F2053" s="107" t="s">
        <v>505</v>
      </c>
      <c r="G2053" s="161">
        <v>45353</v>
      </c>
      <c r="H2053" s="107">
        <f t="shared" ref="H2053:H2116" si="38">DATEDIF($H$2,G2053,"d")</f>
        <v>4</v>
      </c>
    </row>
    <row r="2054" spans="1:8">
      <c r="A2054" s="107">
        <v>2</v>
      </c>
      <c r="B2054" s="107">
        <v>29</v>
      </c>
      <c r="C2054" s="107">
        <v>9</v>
      </c>
      <c r="D2054" s="107">
        <v>3</v>
      </c>
      <c r="E2054" s="107" t="s">
        <v>513</v>
      </c>
      <c r="F2054" s="107" t="s">
        <v>505</v>
      </c>
      <c r="G2054" s="161">
        <v>45354</v>
      </c>
      <c r="H2054" s="107">
        <f t="shared" si="38"/>
        <v>5</v>
      </c>
    </row>
    <row r="2055" spans="1:8">
      <c r="A2055" s="107">
        <v>2</v>
      </c>
      <c r="B2055" s="107">
        <v>29</v>
      </c>
      <c r="C2055" s="107">
        <v>9</v>
      </c>
      <c r="D2055" s="107">
        <v>4</v>
      </c>
      <c r="E2055" s="107" t="s">
        <v>513</v>
      </c>
      <c r="F2055" s="107" t="s">
        <v>505</v>
      </c>
      <c r="G2055" s="161">
        <v>45353</v>
      </c>
      <c r="H2055" s="107">
        <f t="shared" si="38"/>
        <v>4</v>
      </c>
    </row>
    <row r="2056" spans="1:8">
      <c r="A2056" s="107">
        <v>2</v>
      </c>
      <c r="B2056" s="107">
        <v>29</v>
      </c>
      <c r="C2056" s="107">
        <v>10</v>
      </c>
      <c r="D2056" s="107">
        <v>1</v>
      </c>
      <c r="E2056" s="107" t="s">
        <v>602</v>
      </c>
      <c r="F2056" s="107" t="s">
        <v>603</v>
      </c>
      <c r="G2056" s="161">
        <v>45354</v>
      </c>
      <c r="H2056" s="107">
        <f t="shared" si="38"/>
        <v>5</v>
      </c>
    </row>
    <row r="2057" spans="1:8">
      <c r="A2057" s="107">
        <v>2</v>
      </c>
      <c r="B2057" s="107">
        <v>29</v>
      </c>
      <c r="C2057" s="107">
        <v>10</v>
      </c>
      <c r="D2057" s="107">
        <v>2</v>
      </c>
      <c r="E2057" s="107" t="s">
        <v>602</v>
      </c>
      <c r="F2057" s="107" t="s">
        <v>603</v>
      </c>
      <c r="G2057" s="161">
        <v>45353</v>
      </c>
      <c r="H2057" s="107">
        <f t="shared" si="38"/>
        <v>4</v>
      </c>
    </row>
    <row r="2058" spans="1:8">
      <c r="A2058" s="107">
        <v>2</v>
      </c>
      <c r="B2058" s="107">
        <v>29</v>
      </c>
      <c r="C2058" s="107">
        <v>10</v>
      </c>
      <c r="D2058" s="107">
        <v>3</v>
      </c>
      <c r="E2058" s="107" t="s">
        <v>602</v>
      </c>
      <c r="F2058" s="107" t="s">
        <v>603</v>
      </c>
      <c r="G2058" s="161">
        <v>45353</v>
      </c>
      <c r="H2058" s="107">
        <f t="shared" si="38"/>
        <v>4</v>
      </c>
    </row>
    <row r="2059" spans="1:8">
      <c r="A2059" s="107">
        <v>2</v>
      </c>
      <c r="B2059" s="107">
        <v>29</v>
      </c>
      <c r="C2059" s="107">
        <v>10</v>
      </c>
      <c r="D2059" s="107">
        <v>4</v>
      </c>
      <c r="E2059" s="107" t="s">
        <v>602</v>
      </c>
      <c r="F2059" s="107" t="s">
        <v>603</v>
      </c>
      <c r="G2059" s="161">
        <v>45353</v>
      </c>
      <c r="H2059" s="107">
        <f t="shared" si="38"/>
        <v>4</v>
      </c>
    </row>
    <row r="2060" spans="1:8">
      <c r="A2060" s="107">
        <v>2</v>
      </c>
      <c r="B2060" s="107">
        <v>29</v>
      </c>
      <c r="C2060" s="107">
        <v>11</v>
      </c>
      <c r="D2060" s="107">
        <v>1</v>
      </c>
      <c r="E2060" s="107" t="s">
        <v>522</v>
      </c>
      <c r="F2060" s="107" t="s">
        <v>503</v>
      </c>
      <c r="G2060" s="161">
        <v>45353</v>
      </c>
      <c r="H2060" s="107">
        <f t="shared" si="38"/>
        <v>4</v>
      </c>
    </row>
    <row r="2061" spans="1:8">
      <c r="A2061" s="107">
        <v>2</v>
      </c>
      <c r="B2061" s="107">
        <v>29</v>
      </c>
      <c r="C2061" s="107">
        <v>11</v>
      </c>
      <c r="D2061" s="107">
        <v>2</v>
      </c>
      <c r="E2061" s="107" t="s">
        <v>522</v>
      </c>
      <c r="F2061" s="107" t="s">
        <v>503</v>
      </c>
      <c r="G2061" s="161">
        <v>45354</v>
      </c>
      <c r="H2061" s="107">
        <f t="shared" si="38"/>
        <v>5</v>
      </c>
    </row>
    <row r="2062" spans="1:8">
      <c r="A2062" s="107">
        <v>2</v>
      </c>
      <c r="B2062" s="107">
        <v>29</v>
      </c>
      <c r="C2062" s="107">
        <v>11</v>
      </c>
      <c r="D2062" s="107">
        <v>3</v>
      </c>
      <c r="E2062" s="107" t="s">
        <v>522</v>
      </c>
      <c r="F2062" s="107" t="s">
        <v>503</v>
      </c>
      <c r="G2062" s="161">
        <v>45353</v>
      </c>
      <c r="H2062" s="107">
        <f t="shared" si="38"/>
        <v>4</v>
      </c>
    </row>
    <row r="2063" spans="1:8">
      <c r="A2063" s="107">
        <v>2</v>
      </c>
      <c r="B2063" s="107">
        <v>29</v>
      </c>
      <c r="C2063" s="107">
        <v>11</v>
      </c>
      <c r="D2063" s="107">
        <v>4</v>
      </c>
      <c r="E2063" s="107" t="s">
        <v>522</v>
      </c>
      <c r="F2063" s="107" t="s">
        <v>503</v>
      </c>
      <c r="G2063" s="161">
        <v>45353</v>
      </c>
      <c r="H2063" s="107">
        <f t="shared" si="38"/>
        <v>4</v>
      </c>
    </row>
    <row r="2064" spans="1:8">
      <c r="A2064" s="107">
        <v>2</v>
      </c>
      <c r="B2064" s="107">
        <v>29</v>
      </c>
      <c r="C2064" s="107">
        <v>12</v>
      </c>
      <c r="D2064" s="107">
        <v>1</v>
      </c>
      <c r="E2064" s="107" t="s">
        <v>192</v>
      </c>
      <c r="F2064" s="107" t="s">
        <v>193</v>
      </c>
      <c r="G2064" s="161">
        <v>45355</v>
      </c>
      <c r="H2064" s="107">
        <f t="shared" si="38"/>
        <v>6</v>
      </c>
    </row>
    <row r="2065" spans="1:8">
      <c r="A2065" s="107">
        <v>2</v>
      </c>
      <c r="B2065" s="107">
        <v>29</v>
      </c>
      <c r="C2065" s="107">
        <v>12</v>
      </c>
      <c r="D2065" s="107">
        <v>2</v>
      </c>
      <c r="E2065" s="107" t="s">
        <v>192</v>
      </c>
      <c r="F2065" s="107" t="s">
        <v>193</v>
      </c>
      <c r="G2065" s="161">
        <v>45354</v>
      </c>
      <c r="H2065" s="107">
        <f t="shared" si="38"/>
        <v>5</v>
      </c>
    </row>
    <row r="2066" spans="1:8">
      <c r="A2066" s="107">
        <v>2</v>
      </c>
      <c r="B2066" s="107">
        <v>29</v>
      </c>
      <c r="C2066" s="107">
        <v>12</v>
      </c>
      <c r="D2066" s="107">
        <v>3</v>
      </c>
      <c r="E2066" s="107" t="s">
        <v>192</v>
      </c>
      <c r="F2066" s="107" t="s">
        <v>193</v>
      </c>
      <c r="G2066" s="161">
        <v>45353</v>
      </c>
      <c r="H2066" s="107">
        <f t="shared" si="38"/>
        <v>4</v>
      </c>
    </row>
    <row r="2067" spans="1:8">
      <c r="A2067" s="107">
        <v>2</v>
      </c>
      <c r="B2067" s="107">
        <v>29</v>
      </c>
      <c r="C2067" s="107">
        <v>12</v>
      </c>
      <c r="D2067" s="107">
        <v>4</v>
      </c>
      <c r="E2067" s="107" t="s">
        <v>192</v>
      </c>
      <c r="F2067" s="107" t="s">
        <v>193</v>
      </c>
      <c r="G2067" s="161">
        <v>45353</v>
      </c>
      <c r="H2067" s="107">
        <f t="shared" si="38"/>
        <v>4</v>
      </c>
    </row>
    <row r="2068" spans="1:8">
      <c r="A2068" s="107">
        <v>2</v>
      </c>
      <c r="B2068" s="107">
        <v>29</v>
      </c>
      <c r="C2068" s="107">
        <v>13</v>
      </c>
      <c r="D2068" s="107">
        <v>1</v>
      </c>
      <c r="E2068" s="107" t="s">
        <v>445</v>
      </c>
      <c r="F2068" s="107" t="s">
        <v>446</v>
      </c>
      <c r="G2068" s="161">
        <v>45353</v>
      </c>
      <c r="H2068" s="107">
        <f t="shared" si="38"/>
        <v>4</v>
      </c>
    </row>
    <row r="2069" spans="1:8">
      <c r="A2069" s="107">
        <v>2</v>
      </c>
      <c r="B2069" s="107">
        <v>29</v>
      </c>
      <c r="C2069" s="107">
        <v>13</v>
      </c>
      <c r="D2069" s="107">
        <v>2</v>
      </c>
      <c r="E2069" s="107" t="s">
        <v>445</v>
      </c>
      <c r="F2069" s="107" t="s">
        <v>446</v>
      </c>
      <c r="G2069" s="107"/>
      <c r="H2069" s="107"/>
    </row>
    <row r="2070" spans="1:8">
      <c r="A2070" s="107">
        <v>2</v>
      </c>
      <c r="B2070" s="107">
        <v>29</v>
      </c>
      <c r="C2070" s="107">
        <v>13</v>
      </c>
      <c r="D2070" s="107">
        <v>3</v>
      </c>
      <c r="E2070" s="107" t="s">
        <v>445</v>
      </c>
      <c r="F2070" s="107" t="s">
        <v>446</v>
      </c>
      <c r="G2070" s="161">
        <v>45353</v>
      </c>
      <c r="H2070" s="107">
        <f t="shared" si="38"/>
        <v>4</v>
      </c>
    </row>
    <row r="2071" spans="1:8">
      <c r="A2071" s="107">
        <v>2</v>
      </c>
      <c r="B2071" s="107">
        <v>29</v>
      </c>
      <c r="C2071" s="107">
        <v>13</v>
      </c>
      <c r="D2071" s="107">
        <v>4</v>
      </c>
      <c r="E2071" s="107" t="s">
        <v>445</v>
      </c>
      <c r="F2071" s="107" t="s">
        <v>446</v>
      </c>
      <c r="G2071" s="161">
        <v>45353</v>
      </c>
      <c r="H2071" s="107">
        <f t="shared" si="38"/>
        <v>4</v>
      </c>
    </row>
    <row r="2072" spans="1:8">
      <c r="A2072" s="107">
        <v>2</v>
      </c>
      <c r="B2072" s="107">
        <v>29</v>
      </c>
      <c r="C2072" s="107">
        <v>14</v>
      </c>
      <c r="D2072" s="107">
        <v>1</v>
      </c>
      <c r="E2072" s="107" t="s">
        <v>745</v>
      </c>
      <c r="F2072" s="107" t="s">
        <v>746</v>
      </c>
      <c r="G2072" s="161">
        <v>45353</v>
      </c>
      <c r="H2072" s="107">
        <f t="shared" si="38"/>
        <v>4</v>
      </c>
    </row>
    <row r="2073" spans="1:8">
      <c r="A2073" s="107">
        <v>2</v>
      </c>
      <c r="B2073" s="107">
        <v>29</v>
      </c>
      <c r="C2073" s="107">
        <v>14</v>
      </c>
      <c r="D2073" s="107">
        <v>2</v>
      </c>
      <c r="E2073" s="107" t="s">
        <v>745</v>
      </c>
      <c r="F2073" s="107" t="s">
        <v>746</v>
      </c>
      <c r="G2073" s="161">
        <v>45353</v>
      </c>
      <c r="H2073" s="107">
        <f t="shared" si="38"/>
        <v>4</v>
      </c>
    </row>
    <row r="2074" spans="1:8">
      <c r="A2074" s="107">
        <v>2</v>
      </c>
      <c r="B2074" s="107">
        <v>29</v>
      </c>
      <c r="C2074" s="107">
        <v>14</v>
      </c>
      <c r="D2074" s="107">
        <v>3</v>
      </c>
      <c r="E2074" s="107" t="s">
        <v>745</v>
      </c>
      <c r="F2074" s="107" t="s">
        <v>746</v>
      </c>
      <c r="G2074" s="161">
        <v>45353</v>
      </c>
      <c r="H2074" s="107">
        <f t="shared" si="38"/>
        <v>4</v>
      </c>
    </row>
    <row r="2075" spans="1:8">
      <c r="A2075" s="107">
        <v>2</v>
      </c>
      <c r="B2075" s="107">
        <v>29</v>
      </c>
      <c r="C2075" s="107">
        <v>14</v>
      </c>
      <c r="D2075" s="107">
        <v>4</v>
      </c>
      <c r="E2075" s="107" t="s">
        <v>745</v>
      </c>
      <c r="F2075" s="107" t="s">
        <v>746</v>
      </c>
      <c r="G2075" s="161">
        <v>45353</v>
      </c>
      <c r="H2075" s="107">
        <f t="shared" si="38"/>
        <v>4</v>
      </c>
    </row>
    <row r="2076" spans="1:8">
      <c r="A2076" s="107">
        <v>2</v>
      </c>
      <c r="B2076" s="107">
        <v>29</v>
      </c>
      <c r="C2076" s="107">
        <v>15</v>
      </c>
      <c r="D2076" s="107">
        <v>1</v>
      </c>
      <c r="E2076" s="107" t="s">
        <v>648</v>
      </c>
      <c r="F2076" s="107" t="s">
        <v>649</v>
      </c>
      <c r="G2076" s="161">
        <v>45353</v>
      </c>
      <c r="H2076" s="107">
        <f t="shared" si="38"/>
        <v>4</v>
      </c>
    </row>
    <row r="2077" spans="1:8">
      <c r="A2077" s="107">
        <v>2</v>
      </c>
      <c r="B2077" s="107">
        <v>29</v>
      </c>
      <c r="C2077" s="107">
        <v>15</v>
      </c>
      <c r="D2077" s="107">
        <v>2</v>
      </c>
      <c r="E2077" s="107" t="s">
        <v>648</v>
      </c>
      <c r="F2077" s="107" t="s">
        <v>649</v>
      </c>
      <c r="G2077" s="161">
        <v>45353</v>
      </c>
      <c r="H2077" s="107">
        <f t="shared" si="38"/>
        <v>4</v>
      </c>
    </row>
    <row r="2078" spans="1:8">
      <c r="A2078" s="107">
        <v>2</v>
      </c>
      <c r="B2078" s="107">
        <v>29</v>
      </c>
      <c r="C2078" s="107">
        <v>15</v>
      </c>
      <c r="D2078" s="107">
        <v>3</v>
      </c>
      <c r="E2078" s="107" t="s">
        <v>648</v>
      </c>
      <c r="F2078" s="107" t="s">
        <v>649</v>
      </c>
      <c r="G2078" s="161">
        <v>45353</v>
      </c>
      <c r="H2078" s="107">
        <f t="shared" si="38"/>
        <v>4</v>
      </c>
    </row>
    <row r="2079" spans="1:8">
      <c r="A2079" s="107">
        <v>2</v>
      </c>
      <c r="B2079" s="107">
        <v>29</v>
      </c>
      <c r="C2079" s="107">
        <v>15</v>
      </c>
      <c r="D2079" s="107">
        <v>4</v>
      </c>
      <c r="E2079" s="107" t="s">
        <v>648</v>
      </c>
      <c r="F2079" s="107" t="s">
        <v>649</v>
      </c>
      <c r="G2079" s="161">
        <v>45353</v>
      </c>
      <c r="H2079" s="107">
        <f t="shared" si="38"/>
        <v>4</v>
      </c>
    </row>
    <row r="2080" spans="1:8">
      <c r="A2080" s="107">
        <v>2</v>
      </c>
      <c r="B2080" s="107">
        <v>29</v>
      </c>
      <c r="C2080" s="107">
        <v>16</v>
      </c>
      <c r="D2080" s="107">
        <v>1</v>
      </c>
      <c r="E2080" s="107" t="s">
        <v>543</v>
      </c>
      <c r="F2080" s="107" t="s">
        <v>539</v>
      </c>
      <c r="G2080" s="161">
        <v>45354</v>
      </c>
      <c r="H2080" s="107">
        <f t="shared" si="38"/>
        <v>5</v>
      </c>
    </row>
    <row r="2081" spans="1:8">
      <c r="A2081" s="107">
        <v>2</v>
      </c>
      <c r="B2081" s="107">
        <v>29</v>
      </c>
      <c r="C2081" s="107">
        <v>16</v>
      </c>
      <c r="D2081" s="107">
        <v>2</v>
      </c>
      <c r="E2081" s="107" t="s">
        <v>543</v>
      </c>
      <c r="F2081" s="107" t="s">
        <v>539</v>
      </c>
      <c r="G2081" s="161">
        <v>45355</v>
      </c>
      <c r="H2081" s="107">
        <f t="shared" si="38"/>
        <v>6</v>
      </c>
    </row>
    <row r="2082" spans="1:8">
      <c r="A2082" s="107">
        <v>2</v>
      </c>
      <c r="B2082" s="107">
        <v>29</v>
      </c>
      <c r="C2082" s="107">
        <v>16</v>
      </c>
      <c r="D2082" s="107">
        <v>3</v>
      </c>
      <c r="E2082" s="107" t="s">
        <v>543</v>
      </c>
      <c r="F2082" s="107" t="s">
        <v>539</v>
      </c>
      <c r="G2082" s="161">
        <v>45353</v>
      </c>
      <c r="H2082" s="107">
        <f t="shared" si="38"/>
        <v>4</v>
      </c>
    </row>
    <row r="2083" spans="1:8">
      <c r="A2083" s="107">
        <v>2</v>
      </c>
      <c r="B2083" s="107">
        <v>29</v>
      </c>
      <c r="C2083" s="107">
        <v>16</v>
      </c>
      <c r="D2083" s="107">
        <v>4</v>
      </c>
      <c r="E2083" s="107" t="s">
        <v>543</v>
      </c>
      <c r="F2083" s="107" t="s">
        <v>539</v>
      </c>
      <c r="G2083" s="161">
        <v>45353</v>
      </c>
      <c r="H2083" s="107">
        <f t="shared" si="38"/>
        <v>4</v>
      </c>
    </row>
    <row r="2084" spans="1:8">
      <c r="A2084" s="107">
        <v>2</v>
      </c>
      <c r="B2084" s="107">
        <v>29</v>
      </c>
      <c r="C2084" s="107">
        <v>17</v>
      </c>
      <c r="D2084" s="107">
        <v>1</v>
      </c>
      <c r="E2084" s="107" t="s">
        <v>242</v>
      </c>
      <c r="F2084" s="107" t="s">
        <v>243</v>
      </c>
      <c r="G2084" s="161">
        <v>45353</v>
      </c>
      <c r="H2084" s="107">
        <f t="shared" si="38"/>
        <v>4</v>
      </c>
    </row>
    <row r="2085" spans="1:8">
      <c r="A2085" s="107">
        <v>2</v>
      </c>
      <c r="B2085" s="107">
        <v>29</v>
      </c>
      <c r="C2085" s="107">
        <v>17</v>
      </c>
      <c r="D2085" s="107">
        <v>2</v>
      </c>
      <c r="E2085" s="107" t="s">
        <v>242</v>
      </c>
      <c r="F2085" s="107" t="s">
        <v>243</v>
      </c>
      <c r="G2085" s="161">
        <v>45353</v>
      </c>
      <c r="H2085" s="107">
        <f t="shared" si="38"/>
        <v>4</v>
      </c>
    </row>
    <row r="2086" spans="1:8">
      <c r="A2086" s="107">
        <v>2</v>
      </c>
      <c r="B2086" s="107">
        <v>29</v>
      </c>
      <c r="C2086" s="107">
        <v>17</v>
      </c>
      <c r="D2086" s="107">
        <v>3</v>
      </c>
      <c r="E2086" s="107" t="s">
        <v>242</v>
      </c>
      <c r="F2086" s="107" t="s">
        <v>243</v>
      </c>
      <c r="G2086" s="161">
        <v>45353</v>
      </c>
      <c r="H2086" s="107">
        <f t="shared" si="38"/>
        <v>4</v>
      </c>
    </row>
    <row r="2087" spans="1:8">
      <c r="A2087" s="107">
        <v>2</v>
      </c>
      <c r="B2087" s="107">
        <v>29</v>
      </c>
      <c r="C2087" s="107">
        <v>17</v>
      </c>
      <c r="D2087" s="107">
        <v>4</v>
      </c>
      <c r="E2087" s="107" t="s">
        <v>242</v>
      </c>
      <c r="F2087" s="107" t="s">
        <v>243</v>
      </c>
      <c r="G2087" s="161">
        <v>45353</v>
      </c>
      <c r="H2087" s="107">
        <f t="shared" si="38"/>
        <v>4</v>
      </c>
    </row>
    <row r="2088" spans="1:8">
      <c r="A2088" s="107">
        <v>2</v>
      </c>
      <c r="B2088" s="107">
        <v>29</v>
      </c>
      <c r="C2088" s="107">
        <v>18</v>
      </c>
      <c r="D2088" s="107">
        <v>1</v>
      </c>
      <c r="E2088" s="107" t="s">
        <v>297</v>
      </c>
      <c r="F2088" s="107" t="s">
        <v>298</v>
      </c>
      <c r="G2088" s="161">
        <v>45354</v>
      </c>
      <c r="H2088" s="107">
        <f t="shared" si="38"/>
        <v>5</v>
      </c>
    </row>
    <row r="2089" spans="1:8">
      <c r="A2089" s="107">
        <v>2</v>
      </c>
      <c r="B2089" s="107">
        <v>29</v>
      </c>
      <c r="C2089" s="107">
        <v>18</v>
      </c>
      <c r="D2089" s="107">
        <v>2</v>
      </c>
      <c r="E2089" s="107" t="s">
        <v>297</v>
      </c>
      <c r="F2089" s="107" t="s">
        <v>298</v>
      </c>
      <c r="G2089" s="161">
        <v>45355</v>
      </c>
      <c r="H2089" s="107">
        <f t="shared" si="38"/>
        <v>6</v>
      </c>
    </row>
    <row r="2090" spans="1:8">
      <c r="A2090" s="107">
        <v>2</v>
      </c>
      <c r="B2090" s="107">
        <v>29</v>
      </c>
      <c r="C2090" s="107">
        <v>18</v>
      </c>
      <c r="D2090" s="107">
        <v>3</v>
      </c>
      <c r="E2090" s="107" t="s">
        <v>297</v>
      </c>
      <c r="F2090" s="107" t="s">
        <v>298</v>
      </c>
      <c r="G2090" s="161">
        <v>45353</v>
      </c>
      <c r="H2090" s="107">
        <f t="shared" si="38"/>
        <v>4</v>
      </c>
    </row>
    <row r="2091" spans="1:8">
      <c r="A2091" s="107">
        <v>2</v>
      </c>
      <c r="B2091" s="107">
        <v>29</v>
      </c>
      <c r="C2091" s="107">
        <v>18</v>
      </c>
      <c r="D2091" s="107">
        <v>4</v>
      </c>
      <c r="E2091" s="107" t="s">
        <v>297</v>
      </c>
      <c r="F2091" s="107" t="s">
        <v>298</v>
      </c>
      <c r="G2091" s="161">
        <v>45354</v>
      </c>
      <c r="H2091" s="107">
        <f t="shared" si="38"/>
        <v>5</v>
      </c>
    </row>
    <row r="2092" spans="1:8">
      <c r="A2092" s="107">
        <v>2</v>
      </c>
      <c r="B2092" s="107">
        <v>30</v>
      </c>
      <c r="C2092" s="107">
        <v>1</v>
      </c>
      <c r="D2092" s="107">
        <v>1</v>
      </c>
      <c r="E2092" s="107" t="s">
        <v>301</v>
      </c>
      <c r="F2092" s="107" t="s">
        <v>302</v>
      </c>
      <c r="G2092" s="161">
        <v>45355</v>
      </c>
      <c r="H2092" s="107">
        <f t="shared" si="38"/>
        <v>6</v>
      </c>
    </row>
    <row r="2093" spans="1:8">
      <c r="A2093" s="107">
        <v>2</v>
      </c>
      <c r="B2093" s="107">
        <v>30</v>
      </c>
      <c r="C2093" s="107">
        <v>1</v>
      </c>
      <c r="D2093" s="107">
        <v>2</v>
      </c>
      <c r="E2093" s="107" t="s">
        <v>301</v>
      </c>
      <c r="F2093" s="107" t="s">
        <v>302</v>
      </c>
      <c r="G2093" s="161">
        <v>45355</v>
      </c>
      <c r="H2093" s="107">
        <f t="shared" si="38"/>
        <v>6</v>
      </c>
    </row>
    <row r="2094" spans="1:8">
      <c r="A2094" s="107">
        <v>2</v>
      </c>
      <c r="B2094" s="107">
        <v>30</v>
      </c>
      <c r="C2094" s="107">
        <v>1</v>
      </c>
      <c r="D2094" s="107">
        <v>3</v>
      </c>
      <c r="E2094" s="107" t="s">
        <v>301</v>
      </c>
      <c r="F2094" s="107" t="s">
        <v>302</v>
      </c>
      <c r="G2094" s="161">
        <v>45355</v>
      </c>
      <c r="H2094" s="107">
        <f t="shared" si="38"/>
        <v>6</v>
      </c>
    </row>
    <row r="2095" spans="1:8">
      <c r="A2095" s="107">
        <v>2</v>
      </c>
      <c r="B2095" s="107">
        <v>30</v>
      </c>
      <c r="C2095" s="107">
        <v>1</v>
      </c>
      <c r="D2095" s="107">
        <v>4</v>
      </c>
      <c r="E2095" s="107" t="s">
        <v>301</v>
      </c>
      <c r="F2095" s="107" t="s">
        <v>302</v>
      </c>
      <c r="G2095" s="161">
        <v>45354</v>
      </c>
      <c r="H2095" s="107">
        <f t="shared" si="38"/>
        <v>5</v>
      </c>
    </row>
    <row r="2096" spans="1:8">
      <c r="A2096" s="107">
        <v>2</v>
      </c>
      <c r="B2096" s="107">
        <v>30</v>
      </c>
      <c r="C2096" s="107">
        <v>2</v>
      </c>
      <c r="D2096" s="107">
        <v>1</v>
      </c>
      <c r="E2096" s="107" t="s">
        <v>493</v>
      </c>
      <c r="F2096" s="107" t="s">
        <v>494</v>
      </c>
      <c r="G2096" s="161">
        <v>45354</v>
      </c>
      <c r="H2096" s="107">
        <f t="shared" si="38"/>
        <v>5</v>
      </c>
    </row>
    <row r="2097" spans="1:8">
      <c r="A2097" s="107">
        <v>2</v>
      </c>
      <c r="B2097" s="107">
        <v>30</v>
      </c>
      <c r="C2097" s="107">
        <v>2</v>
      </c>
      <c r="D2097" s="107">
        <v>2</v>
      </c>
      <c r="E2097" s="107" t="s">
        <v>493</v>
      </c>
      <c r="F2097" s="107" t="s">
        <v>494</v>
      </c>
      <c r="G2097" s="161">
        <v>45354</v>
      </c>
      <c r="H2097" s="107">
        <f t="shared" si="38"/>
        <v>5</v>
      </c>
    </row>
    <row r="2098" spans="1:8">
      <c r="A2098" s="107">
        <v>2</v>
      </c>
      <c r="B2098" s="107">
        <v>30</v>
      </c>
      <c r="C2098" s="107">
        <v>2</v>
      </c>
      <c r="D2098" s="107">
        <v>3</v>
      </c>
      <c r="E2098" s="107" t="s">
        <v>493</v>
      </c>
      <c r="F2098" s="107" t="s">
        <v>494</v>
      </c>
      <c r="G2098" s="161">
        <v>45354</v>
      </c>
      <c r="H2098" s="107">
        <f t="shared" si="38"/>
        <v>5</v>
      </c>
    </row>
    <row r="2099" spans="1:8">
      <c r="A2099" s="107">
        <v>2</v>
      </c>
      <c r="B2099" s="107">
        <v>30</v>
      </c>
      <c r="C2099" s="107">
        <v>2</v>
      </c>
      <c r="D2099" s="107">
        <v>4</v>
      </c>
      <c r="E2099" s="107" t="s">
        <v>493</v>
      </c>
      <c r="F2099" s="107" t="s">
        <v>494</v>
      </c>
      <c r="G2099" s="161">
        <v>45354</v>
      </c>
      <c r="H2099" s="107">
        <f t="shared" si="38"/>
        <v>5</v>
      </c>
    </row>
    <row r="2100" spans="1:8">
      <c r="A2100" s="107">
        <v>2</v>
      </c>
      <c r="B2100" s="107">
        <v>30</v>
      </c>
      <c r="C2100" s="107">
        <v>3</v>
      </c>
      <c r="D2100" s="107">
        <v>1</v>
      </c>
      <c r="E2100" s="107" t="s">
        <v>222</v>
      </c>
      <c r="F2100" s="107" t="s">
        <v>223</v>
      </c>
      <c r="G2100" s="161">
        <v>45361</v>
      </c>
      <c r="H2100" s="107">
        <f t="shared" si="38"/>
        <v>12</v>
      </c>
    </row>
    <row r="2101" spans="1:8">
      <c r="A2101" s="107">
        <v>2</v>
      </c>
      <c r="B2101" s="107">
        <v>30</v>
      </c>
      <c r="C2101" s="107">
        <v>3</v>
      </c>
      <c r="D2101" s="107">
        <v>2</v>
      </c>
      <c r="E2101" s="107" t="s">
        <v>222</v>
      </c>
      <c r="F2101" s="107" t="s">
        <v>223</v>
      </c>
      <c r="G2101" s="161">
        <v>45355</v>
      </c>
      <c r="H2101" s="107">
        <f t="shared" si="38"/>
        <v>6</v>
      </c>
    </row>
    <row r="2102" spans="1:8">
      <c r="A2102" s="107">
        <v>2</v>
      </c>
      <c r="B2102" s="107">
        <v>30</v>
      </c>
      <c r="C2102" s="107">
        <v>3</v>
      </c>
      <c r="D2102" s="107">
        <v>3</v>
      </c>
      <c r="E2102" s="107" t="s">
        <v>222</v>
      </c>
      <c r="F2102" s="107" t="s">
        <v>223</v>
      </c>
      <c r="G2102" s="161">
        <v>45356</v>
      </c>
      <c r="H2102" s="107">
        <f t="shared" si="38"/>
        <v>7</v>
      </c>
    </row>
    <row r="2103" spans="1:8">
      <c r="A2103" s="107">
        <v>2</v>
      </c>
      <c r="B2103" s="107">
        <v>30</v>
      </c>
      <c r="C2103" s="107">
        <v>3</v>
      </c>
      <c r="D2103" s="107">
        <v>4</v>
      </c>
      <c r="E2103" s="107" t="s">
        <v>222</v>
      </c>
      <c r="F2103" s="107" t="s">
        <v>223</v>
      </c>
      <c r="G2103" s="161">
        <v>45355</v>
      </c>
      <c r="H2103" s="107">
        <f t="shared" si="38"/>
        <v>6</v>
      </c>
    </row>
    <row r="2104" spans="1:8">
      <c r="A2104" s="107">
        <v>2</v>
      </c>
      <c r="B2104" s="107">
        <v>30</v>
      </c>
      <c r="C2104" s="107">
        <v>4</v>
      </c>
      <c r="D2104" s="107">
        <v>1</v>
      </c>
      <c r="E2104" s="107" t="s">
        <v>680</v>
      </c>
      <c r="F2104" s="107" t="s">
        <v>681</v>
      </c>
      <c r="G2104" s="161">
        <v>45354</v>
      </c>
      <c r="H2104" s="107">
        <f t="shared" si="38"/>
        <v>5</v>
      </c>
    </row>
    <row r="2105" spans="1:8">
      <c r="A2105" s="107">
        <v>2</v>
      </c>
      <c r="B2105" s="107">
        <v>30</v>
      </c>
      <c r="C2105" s="107">
        <v>4</v>
      </c>
      <c r="D2105" s="107">
        <v>2</v>
      </c>
      <c r="E2105" s="107" t="s">
        <v>680</v>
      </c>
      <c r="F2105" s="107" t="s">
        <v>681</v>
      </c>
      <c r="G2105" s="161">
        <v>45353</v>
      </c>
      <c r="H2105" s="107">
        <f t="shared" si="38"/>
        <v>4</v>
      </c>
    </row>
    <row r="2106" spans="1:8">
      <c r="A2106" s="107">
        <v>2</v>
      </c>
      <c r="B2106" s="107">
        <v>30</v>
      </c>
      <c r="C2106" s="107">
        <v>4</v>
      </c>
      <c r="D2106" s="107">
        <v>3</v>
      </c>
      <c r="E2106" s="107" t="s">
        <v>680</v>
      </c>
      <c r="F2106" s="107" t="s">
        <v>681</v>
      </c>
      <c r="G2106" s="161">
        <v>45354</v>
      </c>
      <c r="H2106" s="107">
        <f t="shared" si="38"/>
        <v>5</v>
      </c>
    </row>
    <row r="2107" spans="1:8">
      <c r="A2107" s="107">
        <v>2</v>
      </c>
      <c r="B2107" s="107">
        <v>30</v>
      </c>
      <c r="C2107" s="107">
        <v>4</v>
      </c>
      <c r="D2107" s="107">
        <v>4</v>
      </c>
      <c r="E2107" s="107" t="s">
        <v>680</v>
      </c>
      <c r="F2107" s="107" t="s">
        <v>681</v>
      </c>
      <c r="G2107" s="161">
        <v>45354</v>
      </c>
      <c r="H2107" s="107">
        <f t="shared" si="38"/>
        <v>5</v>
      </c>
    </row>
    <row r="2108" spans="1:8">
      <c r="A2108" s="107">
        <v>2</v>
      </c>
      <c r="B2108" s="107">
        <v>30</v>
      </c>
      <c r="C2108" s="107">
        <v>5</v>
      </c>
      <c r="D2108" s="107">
        <v>1</v>
      </c>
      <c r="E2108" s="107" t="s">
        <v>483</v>
      </c>
      <c r="F2108" s="107" t="s">
        <v>484</v>
      </c>
      <c r="G2108" s="161">
        <v>45355</v>
      </c>
      <c r="H2108" s="107">
        <f t="shared" si="38"/>
        <v>6</v>
      </c>
    </row>
    <row r="2109" spans="1:8">
      <c r="A2109" s="107">
        <v>2</v>
      </c>
      <c r="B2109" s="107">
        <v>30</v>
      </c>
      <c r="C2109" s="107">
        <v>5</v>
      </c>
      <c r="D2109" s="107">
        <v>2</v>
      </c>
      <c r="E2109" s="107" t="s">
        <v>483</v>
      </c>
      <c r="F2109" s="107" t="s">
        <v>484</v>
      </c>
      <c r="G2109" s="161">
        <v>45355</v>
      </c>
      <c r="H2109" s="107">
        <f t="shared" si="38"/>
        <v>6</v>
      </c>
    </row>
    <row r="2110" spans="1:8">
      <c r="A2110" s="107">
        <v>2</v>
      </c>
      <c r="B2110" s="107">
        <v>30</v>
      </c>
      <c r="C2110" s="107">
        <v>5</v>
      </c>
      <c r="D2110" s="107">
        <v>3</v>
      </c>
      <c r="E2110" s="107" t="s">
        <v>483</v>
      </c>
      <c r="F2110" s="107" t="s">
        <v>484</v>
      </c>
      <c r="G2110" s="161">
        <v>45354</v>
      </c>
      <c r="H2110" s="107">
        <f t="shared" si="38"/>
        <v>5</v>
      </c>
    </row>
    <row r="2111" spans="1:8">
      <c r="A2111" s="107">
        <v>2</v>
      </c>
      <c r="B2111" s="107">
        <v>30</v>
      </c>
      <c r="C2111" s="107">
        <v>5</v>
      </c>
      <c r="D2111" s="107">
        <v>4</v>
      </c>
      <c r="E2111" s="107" t="s">
        <v>483</v>
      </c>
      <c r="F2111" s="107" t="s">
        <v>484</v>
      </c>
      <c r="G2111" s="161">
        <v>45355</v>
      </c>
      <c r="H2111" s="107">
        <f t="shared" si="38"/>
        <v>6</v>
      </c>
    </row>
    <row r="2112" spans="1:8">
      <c r="A2112" s="107">
        <v>2</v>
      </c>
      <c r="B2112" s="107">
        <v>30</v>
      </c>
      <c r="C2112" s="107">
        <v>6</v>
      </c>
      <c r="D2112" s="107">
        <v>1</v>
      </c>
      <c r="E2112" s="107" t="s">
        <v>704</v>
      </c>
      <c r="F2112" s="107" t="s">
        <v>705</v>
      </c>
      <c r="G2112" s="161">
        <v>45354</v>
      </c>
      <c r="H2112" s="107">
        <f t="shared" si="38"/>
        <v>5</v>
      </c>
    </row>
    <row r="2113" spans="1:8">
      <c r="A2113" s="107">
        <v>2</v>
      </c>
      <c r="B2113" s="107">
        <v>30</v>
      </c>
      <c r="C2113" s="107">
        <v>6</v>
      </c>
      <c r="D2113" s="107">
        <v>2</v>
      </c>
      <c r="E2113" s="107" t="s">
        <v>704</v>
      </c>
      <c r="F2113" s="107" t="s">
        <v>705</v>
      </c>
      <c r="G2113" s="161">
        <v>45353</v>
      </c>
      <c r="H2113" s="107">
        <f t="shared" si="38"/>
        <v>4</v>
      </c>
    </row>
    <row r="2114" spans="1:8">
      <c r="A2114" s="107">
        <v>2</v>
      </c>
      <c r="B2114" s="107">
        <v>30</v>
      </c>
      <c r="C2114" s="107">
        <v>6</v>
      </c>
      <c r="D2114" s="107">
        <v>3</v>
      </c>
      <c r="E2114" s="107" t="s">
        <v>704</v>
      </c>
      <c r="F2114" s="107" t="s">
        <v>705</v>
      </c>
      <c r="G2114" s="161">
        <v>45354</v>
      </c>
      <c r="H2114" s="107">
        <f t="shared" si="38"/>
        <v>5</v>
      </c>
    </row>
    <row r="2115" spans="1:8">
      <c r="A2115" s="107">
        <v>2</v>
      </c>
      <c r="B2115" s="107">
        <v>30</v>
      </c>
      <c r="C2115" s="107">
        <v>6</v>
      </c>
      <c r="D2115" s="107">
        <v>4</v>
      </c>
      <c r="E2115" s="107" t="s">
        <v>704</v>
      </c>
      <c r="F2115" s="107" t="s">
        <v>705</v>
      </c>
      <c r="G2115" s="161">
        <v>45354</v>
      </c>
      <c r="H2115" s="107">
        <f t="shared" si="38"/>
        <v>5</v>
      </c>
    </row>
    <row r="2116" spans="1:8">
      <c r="A2116" s="107">
        <v>2</v>
      </c>
      <c r="B2116" s="107">
        <v>30</v>
      </c>
      <c r="C2116" s="107">
        <v>7</v>
      </c>
      <c r="D2116" s="107">
        <v>1</v>
      </c>
      <c r="E2116" s="107" t="s">
        <v>640</v>
      </c>
      <c r="F2116" s="107" t="s">
        <v>641</v>
      </c>
      <c r="G2116" s="161">
        <v>45354</v>
      </c>
      <c r="H2116" s="107">
        <f t="shared" si="38"/>
        <v>5</v>
      </c>
    </row>
    <row r="2117" spans="1:8">
      <c r="A2117" s="107">
        <v>2</v>
      </c>
      <c r="B2117" s="107">
        <v>30</v>
      </c>
      <c r="C2117" s="107">
        <v>7</v>
      </c>
      <c r="D2117" s="107">
        <v>2</v>
      </c>
      <c r="E2117" s="107" t="s">
        <v>640</v>
      </c>
      <c r="F2117" s="107" t="s">
        <v>641</v>
      </c>
      <c r="G2117" s="161">
        <v>45354</v>
      </c>
      <c r="H2117" s="107">
        <f t="shared" ref="H2117:H2180" si="39">DATEDIF($H$2,G2117,"d")</f>
        <v>5</v>
      </c>
    </row>
    <row r="2118" spans="1:8">
      <c r="A2118" s="107">
        <v>2</v>
      </c>
      <c r="B2118" s="107">
        <v>30</v>
      </c>
      <c r="C2118" s="107">
        <v>7</v>
      </c>
      <c r="D2118" s="107">
        <v>3</v>
      </c>
      <c r="E2118" s="107" t="s">
        <v>640</v>
      </c>
      <c r="F2118" s="107" t="s">
        <v>641</v>
      </c>
      <c r="G2118" s="161">
        <v>45354</v>
      </c>
      <c r="H2118" s="107">
        <f t="shared" si="39"/>
        <v>5</v>
      </c>
    </row>
    <row r="2119" spans="1:8">
      <c r="A2119" s="107">
        <v>2</v>
      </c>
      <c r="B2119" s="107">
        <v>30</v>
      </c>
      <c r="C2119" s="107">
        <v>7</v>
      </c>
      <c r="D2119" s="107">
        <v>4</v>
      </c>
      <c r="E2119" s="107" t="s">
        <v>640</v>
      </c>
      <c r="F2119" s="107" t="s">
        <v>641</v>
      </c>
      <c r="G2119" s="161">
        <v>45355</v>
      </c>
      <c r="H2119" s="107">
        <f t="shared" si="39"/>
        <v>6</v>
      </c>
    </row>
    <row r="2120" spans="1:8">
      <c r="A2120" s="107">
        <v>2</v>
      </c>
      <c r="B2120" s="107">
        <v>30</v>
      </c>
      <c r="C2120" s="107">
        <v>8</v>
      </c>
      <c r="D2120" s="107">
        <v>1</v>
      </c>
      <c r="E2120" s="107" t="s">
        <v>363</v>
      </c>
      <c r="F2120" s="107" t="s">
        <v>364</v>
      </c>
      <c r="G2120" s="161">
        <v>45355</v>
      </c>
      <c r="H2120" s="107">
        <f t="shared" si="39"/>
        <v>6</v>
      </c>
    </row>
    <row r="2121" spans="1:8">
      <c r="A2121" s="107">
        <v>2</v>
      </c>
      <c r="B2121" s="107">
        <v>30</v>
      </c>
      <c r="C2121" s="107">
        <v>8</v>
      </c>
      <c r="D2121" s="107">
        <v>2</v>
      </c>
      <c r="E2121" s="107" t="s">
        <v>363</v>
      </c>
      <c r="F2121" s="107" t="s">
        <v>364</v>
      </c>
      <c r="G2121" s="161">
        <v>45354</v>
      </c>
      <c r="H2121" s="107">
        <f t="shared" si="39"/>
        <v>5</v>
      </c>
    </row>
    <row r="2122" spans="1:8">
      <c r="A2122" s="107">
        <v>2</v>
      </c>
      <c r="B2122" s="107">
        <v>30</v>
      </c>
      <c r="C2122" s="107">
        <v>8</v>
      </c>
      <c r="D2122" s="107">
        <v>3</v>
      </c>
      <c r="E2122" s="107" t="s">
        <v>363</v>
      </c>
      <c r="F2122" s="107" t="s">
        <v>364</v>
      </c>
      <c r="G2122" s="161">
        <v>45353</v>
      </c>
      <c r="H2122" s="107">
        <f t="shared" si="39"/>
        <v>4</v>
      </c>
    </row>
    <row r="2123" spans="1:8">
      <c r="A2123" s="107">
        <v>2</v>
      </c>
      <c r="B2123" s="107">
        <v>30</v>
      </c>
      <c r="C2123" s="107">
        <v>8</v>
      </c>
      <c r="D2123" s="107">
        <v>4</v>
      </c>
      <c r="E2123" s="107" t="s">
        <v>363</v>
      </c>
      <c r="F2123" s="107" t="s">
        <v>364</v>
      </c>
      <c r="G2123" s="161">
        <v>45355</v>
      </c>
      <c r="H2123" s="107">
        <f t="shared" si="39"/>
        <v>6</v>
      </c>
    </row>
    <row r="2124" spans="1:8">
      <c r="A2124" s="107">
        <v>2</v>
      </c>
      <c r="B2124" s="107">
        <v>30</v>
      </c>
      <c r="C2124" s="107">
        <v>9</v>
      </c>
      <c r="D2124" s="107">
        <v>1</v>
      </c>
      <c r="E2124" s="107" t="s">
        <v>570</v>
      </c>
      <c r="F2124" s="107" t="s">
        <v>571</v>
      </c>
      <c r="G2124" s="107"/>
      <c r="H2124" s="107"/>
    </row>
    <row r="2125" spans="1:8">
      <c r="A2125" s="107">
        <v>2</v>
      </c>
      <c r="B2125" s="107">
        <v>30</v>
      </c>
      <c r="C2125" s="107">
        <v>9</v>
      </c>
      <c r="D2125" s="107">
        <v>2</v>
      </c>
      <c r="E2125" s="107" t="s">
        <v>570</v>
      </c>
      <c r="F2125" s="107" t="s">
        <v>571</v>
      </c>
      <c r="G2125" s="161">
        <v>45354</v>
      </c>
      <c r="H2125" s="107">
        <f t="shared" si="39"/>
        <v>5</v>
      </c>
    </row>
    <row r="2126" spans="1:8">
      <c r="A2126" s="107">
        <v>2</v>
      </c>
      <c r="B2126" s="107">
        <v>30</v>
      </c>
      <c r="C2126" s="107">
        <v>9</v>
      </c>
      <c r="D2126" s="107">
        <v>3</v>
      </c>
      <c r="E2126" s="107" t="s">
        <v>570</v>
      </c>
      <c r="F2126" s="107" t="s">
        <v>571</v>
      </c>
      <c r="G2126" s="161">
        <v>45354</v>
      </c>
      <c r="H2126" s="107">
        <f t="shared" si="39"/>
        <v>5</v>
      </c>
    </row>
    <row r="2127" spans="1:8">
      <c r="A2127" s="107">
        <v>2</v>
      </c>
      <c r="B2127" s="107">
        <v>30</v>
      </c>
      <c r="C2127" s="107">
        <v>9</v>
      </c>
      <c r="D2127" s="107">
        <v>4</v>
      </c>
      <c r="E2127" s="107" t="s">
        <v>570</v>
      </c>
      <c r="F2127" s="107" t="s">
        <v>571</v>
      </c>
      <c r="G2127" s="161">
        <v>45354</v>
      </c>
      <c r="H2127" s="107">
        <f t="shared" si="39"/>
        <v>5</v>
      </c>
    </row>
    <row r="2128" spans="1:8">
      <c r="A2128" s="107">
        <v>2</v>
      </c>
      <c r="B2128" s="107">
        <v>30</v>
      </c>
      <c r="C2128" s="107">
        <v>10</v>
      </c>
      <c r="D2128" s="107">
        <v>1</v>
      </c>
      <c r="E2128" s="107" t="s">
        <v>269</v>
      </c>
      <c r="F2128" s="107" t="s">
        <v>187</v>
      </c>
      <c r="G2128" s="161">
        <v>45354</v>
      </c>
      <c r="H2128" s="107">
        <f t="shared" si="39"/>
        <v>5</v>
      </c>
    </row>
    <row r="2129" spans="1:8">
      <c r="A2129" s="107">
        <v>2</v>
      </c>
      <c r="B2129" s="107">
        <v>30</v>
      </c>
      <c r="C2129" s="107">
        <v>10</v>
      </c>
      <c r="D2129" s="107">
        <v>2</v>
      </c>
      <c r="E2129" s="107" t="s">
        <v>269</v>
      </c>
      <c r="F2129" s="107" t="s">
        <v>187</v>
      </c>
      <c r="G2129" s="161">
        <v>45354</v>
      </c>
      <c r="H2129" s="107">
        <f t="shared" si="39"/>
        <v>5</v>
      </c>
    </row>
    <row r="2130" spans="1:8">
      <c r="A2130" s="107">
        <v>2</v>
      </c>
      <c r="B2130" s="107">
        <v>30</v>
      </c>
      <c r="C2130" s="107">
        <v>10</v>
      </c>
      <c r="D2130" s="107">
        <v>3</v>
      </c>
      <c r="E2130" s="107" t="s">
        <v>269</v>
      </c>
      <c r="F2130" s="107" t="s">
        <v>187</v>
      </c>
      <c r="G2130" s="161">
        <v>45354</v>
      </c>
      <c r="H2130" s="107">
        <f t="shared" si="39"/>
        <v>5</v>
      </c>
    </row>
    <row r="2131" spans="1:8">
      <c r="A2131" s="107">
        <v>2</v>
      </c>
      <c r="B2131" s="107">
        <v>30</v>
      </c>
      <c r="C2131" s="107">
        <v>10</v>
      </c>
      <c r="D2131" s="107">
        <v>4</v>
      </c>
      <c r="E2131" s="107" t="s">
        <v>269</v>
      </c>
      <c r="F2131" s="107" t="s">
        <v>187</v>
      </c>
      <c r="G2131" s="161">
        <v>45354</v>
      </c>
      <c r="H2131" s="107">
        <f t="shared" si="39"/>
        <v>5</v>
      </c>
    </row>
    <row r="2132" spans="1:8">
      <c r="A2132" s="107">
        <v>2</v>
      </c>
      <c r="B2132" s="107">
        <v>30</v>
      </c>
      <c r="C2132" s="107">
        <v>11</v>
      </c>
      <c r="D2132" s="107">
        <v>1</v>
      </c>
      <c r="E2132" s="107" t="s">
        <v>395</v>
      </c>
      <c r="F2132" s="107" t="s">
        <v>396</v>
      </c>
      <c r="G2132" s="161">
        <v>45354</v>
      </c>
      <c r="H2132" s="107">
        <f t="shared" si="39"/>
        <v>5</v>
      </c>
    </row>
    <row r="2133" spans="1:8">
      <c r="A2133" s="107">
        <v>2</v>
      </c>
      <c r="B2133" s="107">
        <v>30</v>
      </c>
      <c r="C2133" s="107">
        <v>11</v>
      </c>
      <c r="D2133" s="107">
        <v>2</v>
      </c>
      <c r="E2133" s="107" t="s">
        <v>395</v>
      </c>
      <c r="F2133" s="107" t="s">
        <v>396</v>
      </c>
      <c r="G2133" s="161">
        <v>45354</v>
      </c>
      <c r="H2133" s="107">
        <f t="shared" si="39"/>
        <v>5</v>
      </c>
    </row>
    <row r="2134" spans="1:8">
      <c r="A2134" s="107">
        <v>2</v>
      </c>
      <c r="B2134" s="107">
        <v>30</v>
      </c>
      <c r="C2134" s="107">
        <v>11</v>
      </c>
      <c r="D2134" s="107">
        <v>3</v>
      </c>
      <c r="E2134" s="107" t="s">
        <v>395</v>
      </c>
      <c r="F2134" s="107" t="s">
        <v>396</v>
      </c>
      <c r="G2134" s="161">
        <v>45354</v>
      </c>
      <c r="H2134" s="107">
        <f t="shared" si="39"/>
        <v>5</v>
      </c>
    </row>
    <row r="2135" spans="1:8">
      <c r="A2135" s="107">
        <v>2</v>
      </c>
      <c r="B2135" s="107">
        <v>30</v>
      </c>
      <c r="C2135" s="107">
        <v>11</v>
      </c>
      <c r="D2135" s="107">
        <v>4</v>
      </c>
      <c r="E2135" s="107" t="s">
        <v>395</v>
      </c>
      <c r="F2135" s="107" t="s">
        <v>396</v>
      </c>
      <c r="G2135" s="161">
        <v>45354</v>
      </c>
      <c r="H2135" s="107">
        <f t="shared" si="39"/>
        <v>5</v>
      </c>
    </row>
    <row r="2136" spans="1:8">
      <c r="A2136" s="107">
        <v>2</v>
      </c>
      <c r="B2136" s="107">
        <v>30</v>
      </c>
      <c r="C2136" s="107">
        <v>12</v>
      </c>
      <c r="D2136" s="107">
        <v>1</v>
      </c>
      <c r="E2136" s="107" t="s">
        <v>735</v>
      </c>
      <c r="F2136" s="107" t="s">
        <v>736</v>
      </c>
      <c r="G2136" s="161">
        <v>45354</v>
      </c>
      <c r="H2136" s="107">
        <f t="shared" si="39"/>
        <v>5</v>
      </c>
    </row>
    <row r="2137" spans="1:8">
      <c r="A2137" s="107">
        <v>2</v>
      </c>
      <c r="B2137" s="107">
        <v>30</v>
      </c>
      <c r="C2137" s="107">
        <v>12</v>
      </c>
      <c r="D2137" s="107">
        <v>2</v>
      </c>
      <c r="E2137" s="107" t="s">
        <v>735</v>
      </c>
      <c r="F2137" s="107" t="s">
        <v>736</v>
      </c>
      <c r="G2137" s="161">
        <v>45354</v>
      </c>
      <c r="H2137" s="107">
        <f t="shared" si="39"/>
        <v>5</v>
      </c>
    </row>
    <row r="2138" spans="1:8">
      <c r="A2138" s="107">
        <v>2</v>
      </c>
      <c r="B2138" s="107">
        <v>30</v>
      </c>
      <c r="C2138" s="107">
        <v>12</v>
      </c>
      <c r="D2138" s="107">
        <v>3</v>
      </c>
      <c r="E2138" s="107" t="s">
        <v>735</v>
      </c>
      <c r="F2138" s="107" t="s">
        <v>736</v>
      </c>
      <c r="G2138" s="161">
        <v>45354</v>
      </c>
      <c r="H2138" s="107">
        <f t="shared" si="39"/>
        <v>5</v>
      </c>
    </row>
    <row r="2139" spans="1:8">
      <c r="A2139" s="107">
        <v>2</v>
      </c>
      <c r="B2139" s="107">
        <v>30</v>
      </c>
      <c r="C2139" s="107">
        <v>12</v>
      </c>
      <c r="D2139" s="107">
        <v>4</v>
      </c>
      <c r="E2139" s="107" t="s">
        <v>735</v>
      </c>
      <c r="F2139" s="107" t="s">
        <v>736</v>
      </c>
      <c r="G2139" s="161">
        <v>45354</v>
      </c>
      <c r="H2139" s="107">
        <f t="shared" si="39"/>
        <v>5</v>
      </c>
    </row>
    <row r="2140" spans="1:8">
      <c r="A2140" s="107">
        <v>2</v>
      </c>
      <c r="B2140" s="107">
        <v>30</v>
      </c>
      <c r="C2140" s="107">
        <v>13</v>
      </c>
      <c r="D2140" s="107">
        <v>1</v>
      </c>
      <c r="E2140" s="107" t="s">
        <v>134</v>
      </c>
      <c r="F2140" s="107" t="s">
        <v>135</v>
      </c>
      <c r="G2140" s="161">
        <v>45354</v>
      </c>
      <c r="H2140" s="107">
        <f t="shared" si="39"/>
        <v>5</v>
      </c>
    </row>
    <row r="2141" spans="1:8">
      <c r="A2141" s="107">
        <v>2</v>
      </c>
      <c r="B2141" s="107">
        <v>30</v>
      </c>
      <c r="C2141" s="107">
        <v>13</v>
      </c>
      <c r="D2141" s="107">
        <v>2</v>
      </c>
      <c r="E2141" s="107" t="s">
        <v>134</v>
      </c>
      <c r="F2141" s="107" t="s">
        <v>135</v>
      </c>
      <c r="G2141" s="161">
        <v>45354</v>
      </c>
      <c r="H2141" s="107">
        <f t="shared" si="39"/>
        <v>5</v>
      </c>
    </row>
    <row r="2142" spans="1:8">
      <c r="A2142" s="107">
        <v>2</v>
      </c>
      <c r="B2142" s="107">
        <v>30</v>
      </c>
      <c r="C2142" s="107">
        <v>13</v>
      </c>
      <c r="D2142" s="107">
        <v>3</v>
      </c>
      <c r="E2142" s="107" t="s">
        <v>134</v>
      </c>
      <c r="F2142" s="107" t="s">
        <v>135</v>
      </c>
      <c r="G2142" s="161">
        <v>45355</v>
      </c>
      <c r="H2142" s="107">
        <f t="shared" si="39"/>
        <v>6</v>
      </c>
    </row>
    <row r="2143" spans="1:8">
      <c r="A2143" s="107">
        <v>2</v>
      </c>
      <c r="B2143" s="107">
        <v>30</v>
      </c>
      <c r="C2143" s="107">
        <v>13</v>
      </c>
      <c r="D2143" s="107">
        <v>4</v>
      </c>
      <c r="E2143" s="107" t="s">
        <v>134</v>
      </c>
      <c r="F2143" s="107" t="s">
        <v>135</v>
      </c>
      <c r="G2143" s="161">
        <v>45354</v>
      </c>
      <c r="H2143" s="107">
        <f t="shared" si="39"/>
        <v>5</v>
      </c>
    </row>
    <row r="2144" spans="1:8">
      <c r="A2144" s="107">
        <v>2</v>
      </c>
      <c r="B2144" s="107">
        <v>30</v>
      </c>
      <c r="C2144" s="107">
        <v>14</v>
      </c>
      <c r="D2144" s="107">
        <v>1</v>
      </c>
      <c r="E2144" s="107" t="s">
        <v>596</v>
      </c>
      <c r="F2144" s="107" t="s">
        <v>597</v>
      </c>
      <c r="G2144" s="161">
        <v>45354</v>
      </c>
      <c r="H2144" s="107">
        <f t="shared" si="39"/>
        <v>5</v>
      </c>
    </row>
    <row r="2145" spans="1:8">
      <c r="A2145" s="107">
        <v>2</v>
      </c>
      <c r="B2145" s="107">
        <v>30</v>
      </c>
      <c r="C2145" s="107">
        <v>14</v>
      </c>
      <c r="D2145" s="107">
        <v>2</v>
      </c>
      <c r="E2145" s="107" t="s">
        <v>596</v>
      </c>
      <c r="F2145" s="107" t="s">
        <v>597</v>
      </c>
      <c r="G2145" s="107"/>
      <c r="H2145" s="107"/>
    </row>
    <row r="2146" spans="1:8">
      <c r="A2146" s="107">
        <v>2</v>
      </c>
      <c r="B2146" s="107">
        <v>30</v>
      </c>
      <c r="C2146" s="107">
        <v>14</v>
      </c>
      <c r="D2146" s="107">
        <v>3</v>
      </c>
      <c r="E2146" s="107" t="s">
        <v>596</v>
      </c>
      <c r="F2146" s="107" t="s">
        <v>597</v>
      </c>
      <c r="G2146" s="161">
        <v>45353</v>
      </c>
      <c r="H2146" s="107">
        <f t="shared" si="39"/>
        <v>4</v>
      </c>
    </row>
    <row r="2147" spans="1:8">
      <c r="A2147" s="107">
        <v>2</v>
      </c>
      <c r="B2147" s="107">
        <v>30</v>
      </c>
      <c r="C2147" s="107">
        <v>14</v>
      </c>
      <c r="D2147" s="107">
        <v>4</v>
      </c>
      <c r="E2147" s="107" t="s">
        <v>596</v>
      </c>
      <c r="F2147" s="107" t="s">
        <v>597</v>
      </c>
      <c r="G2147" s="161">
        <v>45353</v>
      </c>
      <c r="H2147" s="107">
        <f t="shared" si="39"/>
        <v>4</v>
      </c>
    </row>
    <row r="2148" spans="1:8">
      <c r="A2148" s="107">
        <v>2</v>
      </c>
      <c r="B2148" s="107">
        <v>30</v>
      </c>
      <c r="C2148" s="107">
        <v>15</v>
      </c>
      <c r="D2148" s="107">
        <v>1</v>
      </c>
      <c r="E2148" s="107" t="s">
        <v>447</v>
      </c>
      <c r="F2148" s="107" t="s">
        <v>448</v>
      </c>
      <c r="G2148" s="161">
        <v>45354</v>
      </c>
      <c r="H2148" s="107">
        <f t="shared" si="39"/>
        <v>5</v>
      </c>
    </row>
    <row r="2149" spans="1:8">
      <c r="A2149" s="107">
        <v>2</v>
      </c>
      <c r="B2149" s="107">
        <v>30</v>
      </c>
      <c r="C2149" s="107">
        <v>15</v>
      </c>
      <c r="D2149" s="107">
        <v>2</v>
      </c>
      <c r="E2149" s="107" t="s">
        <v>447</v>
      </c>
      <c r="F2149" s="107" t="s">
        <v>448</v>
      </c>
      <c r="G2149" s="161">
        <v>45354</v>
      </c>
      <c r="H2149" s="107">
        <f t="shared" si="39"/>
        <v>5</v>
      </c>
    </row>
    <row r="2150" spans="1:8">
      <c r="A2150" s="107">
        <v>2</v>
      </c>
      <c r="B2150" s="107">
        <v>30</v>
      </c>
      <c r="C2150" s="107">
        <v>15</v>
      </c>
      <c r="D2150" s="107">
        <v>3</v>
      </c>
      <c r="E2150" s="107" t="s">
        <v>447</v>
      </c>
      <c r="F2150" s="107" t="s">
        <v>448</v>
      </c>
      <c r="G2150" s="161">
        <v>45354</v>
      </c>
      <c r="H2150" s="107">
        <f t="shared" si="39"/>
        <v>5</v>
      </c>
    </row>
    <row r="2151" spans="1:8">
      <c r="A2151" s="107">
        <v>2</v>
      </c>
      <c r="B2151" s="107">
        <v>30</v>
      </c>
      <c r="C2151" s="107">
        <v>15</v>
      </c>
      <c r="D2151" s="107">
        <v>4</v>
      </c>
      <c r="E2151" s="107" t="s">
        <v>447</v>
      </c>
      <c r="F2151" s="107" t="s">
        <v>448</v>
      </c>
      <c r="G2151" s="161">
        <v>45354</v>
      </c>
      <c r="H2151" s="107">
        <f t="shared" si="39"/>
        <v>5</v>
      </c>
    </row>
    <row r="2152" spans="1:8">
      <c r="A2152" s="107">
        <v>2</v>
      </c>
      <c r="B2152" s="107">
        <v>30</v>
      </c>
      <c r="C2152" s="107">
        <v>16</v>
      </c>
      <c r="D2152" s="107">
        <v>1</v>
      </c>
      <c r="E2152" s="107" t="s">
        <v>186</v>
      </c>
      <c r="F2152" s="107" t="s">
        <v>187</v>
      </c>
      <c r="G2152" s="161">
        <v>45353</v>
      </c>
      <c r="H2152" s="107">
        <f t="shared" si="39"/>
        <v>4</v>
      </c>
    </row>
    <row r="2153" spans="1:8">
      <c r="A2153" s="107">
        <v>2</v>
      </c>
      <c r="B2153" s="107">
        <v>30</v>
      </c>
      <c r="C2153" s="107">
        <v>16</v>
      </c>
      <c r="D2153" s="107">
        <v>2</v>
      </c>
      <c r="E2153" s="107" t="s">
        <v>186</v>
      </c>
      <c r="F2153" s="107" t="s">
        <v>187</v>
      </c>
      <c r="G2153" s="161">
        <v>45353</v>
      </c>
      <c r="H2153" s="107">
        <f t="shared" si="39"/>
        <v>4</v>
      </c>
    </row>
    <row r="2154" spans="1:8">
      <c r="A2154" s="107">
        <v>2</v>
      </c>
      <c r="B2154" s="107">
        <v>30</v>
      </c>
      <c r="C2154" s="107">
        <v>16</v>
      </c>
      <c r="D2154" s="107">
        <v>3</v>
      </c>
      <c r="E2154" s="107" t="s">
        <v>186</v>
      </c>
      <c r="F2154" s="107" t="s">
        <v>187</v>
      </c>
      <c r="G2154" s="161">
        <v>45354</v>
      </c>
      <c r="H2154" s="107">
        <f t="shared" si="39"/>
        <v>5</v>
      </c>
    </row>
    <row r="2155" spans="1:8">
      <c r="A2155" s="107">
        <v>2</v>
      </c>
      <c r="B2155" s="107">
        <v>30</v>
      </c>
      <c r="C2155" s="107">
        <v>16</v>
      </c>
      <c r="D2155" s="107">
        <v>4</v>
      </c>
      <c r="E2155" s="107" t="s">
        <v>186</v>
      </c>
      <c r="F2155" s="107" t="s">
        <v>187</v>
      </c>
      <c r="G2155" s="161">
        <v>45354</v>
      </c>
      <c r="H2155" s="107">
        <f t="shared" si="39"/>
        <v>5</v>
      </c>
    </row>
    <row r="2156" spans="1:8">
      <c r="A2156" s="107">
        <v>2</v>
      </c>
      <c r="B2156" s="107">
        <v>30</v>
      </c>
      <c r="C2156" s="107">
        <v>17</v>
      </c>
      <c r="D2156" s="107">
        <v>1</v>
      </c>
      <c r="E2156" s="107" t="s">
        <v>531</v>
      </c>
      <c r="F2156" s="107" t="s">
        <v>503</v>
      </c>
      <c r="G2156" s="161">
        <v>45354</v>
      </c>
      <c r="H2156" s="107">
        <f t="shared" si="39"/>
        <v>5</v>
      </c>
    </row>
    <row r="2157" spans="1:8">
      <c r="A2157" s="107">
        <v>2</v>
      </c>
      <c r="B2157" s="107">
        <v>30</v>
      </c>
      <c r="C2157" s="107">
        <v>17</v>
      </c>
      <c r="D2157" s="107">
        <v>2</v>
      </c>
      <c r="E2157" s="107" t="s">
        <v>531</v>
      </c>
      <c r="F2157" s="107" t="s">
        <v>503</v>
      </c>
      <c r="G2157" s="161">
        <v>45354</v>
      </c>
      <c r="H2157" s="107">
        <f t="shared" si="39"/>
        <v>5</v>
      </c>
    </row>
    <row r="2158" spans="1:8">
      <c r="A2158" s="107">
        <v>2</v>
      </c>
      <c r="B2158" s="107">
        <v>30</v>
      </c>
      <c r="C2158" s="107">
        <v>17</v>
      </c>
      <c r="D2158" s="107">
        <v>3</v>
      </c>
      <c r="E2158" s="107" t="s">
        <v>531</v>
      </c>
      <c r="F2158" s="107" t="s">
        <v>503</v>
      </c>
      <c r="G2158" s="161">
        <v>45354</v>
      </c>
      <c r="H2158" s="107">
        <f t="shared" si="39"/>
        <v>5</v>
      </c>
    </row>
    <row r="2159" spans="1:8">
      <c r="A2159" s="107">
        <v>2</v>
      </c>
      <c r="B2159" s="107">
        <v>30</v>
      </c>
      <c r="C2159" s="107">
        <v>17</v>
      </c>
      <c r="D2159" s="107">
        <v>4</v>
      </c>
      <c r="E2159" s="107" t="s">
        <v>531</v>
      </c>
      <c r="F2159" s="107" t="s">
        <v>503</v>
      </c>
      <c r="G2159" s="161">
        <v>45354</v>
      </c>
      <c r="H2159" s="107">
        <f t="shared" si="39"/>
        <v>5</v>
      </c>
    </row>
    <row r="2160" spans="1:8">
      <c r="A2160" s="107">
        <v>2</v>
      </c>
      <c r="B2160" s="107">
        <v>30</v>
      </c>
      <c r="C2160" s="107">
        <v>18</v>
      </c>
      <c r="D2160" s="107">
        <v>1</v>
      </c>
      <c r="E2160" s="107" t="s">
        <v>327</v>
      </c>
      <c r="F2160" s="107" t="s">
        <v>328</v>
      </c>
      <c r="G2160" s="161">
        <v>45355</v>
      </c>
      <c r="H2160" s="107">
        <f t="shared" si="39"/>
        <v>6</v>
      </c>
    </row>
    <row r="2161" spans="1:8">
      <c r="A2161" s="107">
        <v>2</v>
      </c>
      <c r="B2161" s="107">
        <v>30</v>
      </c>
      <c r="C2161" s="107">
        <v>18</v>
      </c>
      <c r="D2161" s="107">
        <v>2</v>
      </c>
      <c r="E2161" s="107" t="s">
        <v>327</v>
      </c>
      <c r="F2161" s="107" t="s">
        <v>328</v>
      </c>
      <c r="G2161" s="161">
        <v>45354</v>
      </c>
      <c r="H2161" s="107">
        <f t="shared" si="39"/>
        <v>5</v>
      </c>
    </row>
    <row r="2162" spans="1:8">
      <c r="A2162" s="107">
        <v>2</v>
      </c>
      <c r="B2162" s="107">
        <v>30</v>
      </c>
      <c r="C2162" s="107">
        <v>18</v>
      </c>
      <c r="D2162" s="107">
        <v>3</v>
      </c>
      <c r="E2162" s="107" t="s">
        <v>327</v>
      </c>
      <c r="F2162" s="107" t="s">
        <v>328</v>
      </c>
      <c r="G2162" s="161">
        <v>45354</v>
      </c>
      <c r="H2162" s="107">
        <f t="shared" si="39"/>
        <v>5</v>
      </c>
    </row>
    <row r="2163" spans="1:8">
      <c r="A2163" s="107">
        <v>2</v>
      </c>
      <c r="B2163" s="107">
        <v>30</v>
      </c>
      <c r="C2163" s="107">
        <v>18</v>
      </c>
      <c r="D2163" s="107">
        <v>4</v>
      </c>
      <c r="E2163" s="107" t="s">
        <v>327</v>
      </c>
      <c r="F2163" s="107" t="s">
        <v>328</v>
      </c>
      <c r="G2163" s="161">
        <v>45354</v>
      </c>
      <c r="H2163" s="107">
        <f t="shared" si="39"/>
        <v>5</v>
      </c>
    </row>
    <row r="2164" spans="1:8">
      <c r="A2164" s="107">
        <v>2</v>
      </c>
      <c r="B2164" s="107">
        <v>31</v>
      </c>
      <c r="C2164" s="107">
        <v>1</v>
      </c>
      <c r="D2164" s="107">
        <v>1</v>
      </c>
      <c r="E2164" s="107" t="s">
        <v>220</v>
      </c>
      <c r="F2164" s="107" t="s">
        <v>221</v>
      </c>
      <c r="G2164" s="161">
        <v>45354</v>
      </c>
      <c r="H2164" s="107">
        <f t="shared" si="39"/>
        <v>5</v>
      </c>
    </row>
    <row r="2165" spans="1:8">
      <c r="A2165" s="107">
        <v>2</v>
      </c>
      <c r="B2165" s="107">
        <v>31</v>
      </c>
      <c r="C2165" s="107">
        <v>1</v>
      </c>
      <c r="D2165" s="107">
        <v>2</v>
      </c>
      <c r="E2165" s="107" t="s">
        <v>220</v>
      </c>
      <c r="F2165" s="107" t="s">
        <v>221</v>
      </c>
      <c r="G2165" s="161">
        <v>45353</v>
      </c>
      <c r="H2165" s="107">
        <f t="shared" si="39"/>
        <v>4</v>
      </c>
    </row>
    <row r="2166" spans="1:8">
      <c r="A2166" s="107">
        <v>2</v>
      </c>
      <c r="B2166" s="107">
        <v>31</v>
      </c>
      <c r="C2166" s="107">
        <v>1</v>
      </c>
      <c r="D2166" s="107">
        <v>3</v>
      </c>
      <c r="E2166" s="107" t="s">
        <v>220</v>
      </c>
      <c r="F2166" s="107" t="s">
        <v>221</v>
      </c>
      <c r="G2166" s="161">
        <v>45353</v>
      </c>
      <c r="H2166" s="107">
        <f t="shared" si="39"/>
        <v>4</v>
      </c>
    </row>
    <row r="2167" spans="1:8">
      <c r="A2167" s="107">
        <v>2</v>
      </c>
      <c r="B2167" s="107">
        <v>31</v>
      </c>
      <c r="C2167" s="107">
        <v>1</v>
      </c>
      <c r="D2167" s="107">
        <v>4</v>
      </c>
      <c r="E2167" s="107" t="s">
        <v>220</v>
      </c>
      <c r="F2167" s="107" t="s">
        <v>221</v>
      </c>
      <c r="G2167" s="161">
        <v>45355</v>
      </c>
      <c r="H2167" s="107">
        <f t="shared" si="39"/>
        <v>6</v>
      </c>
    </row>
    <row r="2168" spans="1:8">
      <c r="A2168" s="107">
        <v>2</v>
      </c>
      <c r="B2168" s="107">
        <v>31</v>
      </c>
      <c r="C2168" s="107">
        <v>2</v>
      </c>
      <c r="D2168" s="107">
        <v>1</v>
      </c>
      <c r="E2168" s="107" t="s">
        <v>702</v>
      </c>
      <c r="F2168" s="107" t="s">
        <v>703</v>
      </c>
      <c r="G2168" s="161">
        <v>45354</v>
      </c>
      <c r="H2168" s="107">
        <f t="shared" si="39"/>
        <v>5</v>
      </c>
    </row>
    <row r="2169" spans="1:8">
      <c r="A2169" s="107">
        <v>2</v>
      </c>
      <c r="B2169" s="107">
        <v>31</v>
      </c>
      <c r="C2169" s="107">
        <v>2</v>
      </c>
      <c r="D2169" s="107">
        <v>2</v>
      </c>
      <c r="E2169" s="107" t="s">
        <v>702</v>
      </c>
      <c r="F2169" s="107" t="s">
        <v>703</v>
      </c>
      <c r="G2169" s="161">
        <v>45353</v>
      </c>
      <c r="H2169" s="107">
        <f t="shared" si="39"/>
        <v>4</v>
      </c>
    </row>
    <row r="2170" spans="1:8">
      <c r="A2170" s="107">
        <v>2</v>
      </c>
      <c r="B2170" s="107">
        <v>31</v>
      </c>
      <c r="C2170" s="107">
        <v>2</v>
      </c>
      <c r="D2170" s="107">
        <v>3</v>
      </c>
      <c r="E2170" s="107" t="s">
        <v>702</v>
      </c>
      <c r="F2170" s="107" t="s">
        <v>703</v>
      </c>
      <c r="G2170" s="161">
        <v>45353</v>
      </c>
      <c r="H2170" s="107">
        <f t="shared" si="39"/>
        <v>4</v>
      </c>
    </row>
    <row r="2171" spans="1:8">
      <c r="A2171" s="107">
        <v>2</v>
      </c>
      <c r="B2171" s="107">
        <v>31</v>
      </c>
      <c r="C2171" s="107">
        <v>2</v>
      </c>
      <c r="D2171" s="107">
        <v>4</v>
      </c>
      <c r="E2171" s="107" t="s">
        <v>702</v>
      </c>
      <c r="F2171" s="107" t="s">
        <v>703</v>
      </c>
      <c r="G2171" s="161">
        <v>45353</v>
      </c>
      <c r="H2171" s="107">
        <f t="shared" si="39"/>
        <v>4</v>
      </c>
    </row>
    <row r="2172" spans="1:8">
      <c r="A2172" s="107">
        <v>2</v>
      </c>
      <c r="B2172" s="107">
        <v>31</v>
      </c>
      <c r="C2172" s="107">
        <v>3</v>
      </c>
      <c r="D2172" s="107">
        <v>1</v>
      </c>
      <c r="E2172" s="107" t="s">
        <v>142</v>
      </c>
      <c r="F2172" s="107" t="s">
        <v>143</v>
      </c>
      <c r="G2172" s="161">
        <v>45354</v>
      </c>
      <c r="H2172" s="107">
        <f t="shared" si="39"/>
        <v>5</v>
      </c>
    </row>
    <row r="2173" spans="1:8">
      <c r="A2173" s="107">
        <v>2</v>
      </c>
      <c r="B2173" s="107">
        <v>31</v>
      </c>
      <c r="C2173" s="107">
        <v>3</v>
      </c>
      <c r="D2173" s="107">
        <v>2</v>
      </c>
      <c r="E2173" s="107" t="s">
        <v>142</v>
      </c>
      <c r="F2173" s="107" t="s">
        <v>143</v>
      </c>
      <c r="G2173" s="161">
        <v>45355</v>
      </c>
      <c r="H2173" s="107">
        <f t="shared" si="39"/>
        <v>6</v>
      </c>
    </row>
    <row r="2174" spans="1:8">
      <c r="A2174" s="107">
        <v>2</v>
      </c>
      <c r="B2174" s="107">
        <v>31</v>
      </c>
      <c r="C2174" s="107">
        <v>3</v>
      </c>
      <c r="D2174" s="107">
        <v>3</v>
      </c>
      <c r="E2174" s="107" t="s">
        <v>142</v>
      </c>
      <c r="F2174" s="107" t="s">
        <v>143</v>
      </c>
      <c r="G2174" s="161">
        <v>45355</v>
      </c>
      <c r="H2174" s="107">
        <f t="shared" si="39"/>
        <v>6</v>
      </c>
    </row>
    <row r="2175" spans="1:8">
      <c r="A2175" s="107">
        <v>2</v>
      </c>
      <c r="B2175" s="107">
        <v>31</v>
      </c>
      <c r="C2175" s="107">
        <v>3</v>
      </c>
      <c r="D2175" s="107">
        <v>4</v>
      </c>
      <c r="E2175" s="107" t="s">
        <v>142</v>
      </c>
      <c r="F2175" s="107" t="s">
        <v>143</v>
      </c>
      <c r="G2175" s="161">
        <v>45355</v>
      </c>
      <c r="H2175" s="107">
        <f t="shared" si="39"/>
        <v>6</v>
      </c>
    </row>
    <row r="2176" spans="1:8">
      <c r="A2176" s="107">
        <v>2</v>
      </c>
      <c r="B2176" s="107">
        <v>31</v>
      </c>
      <c r="C2176" s="107">
        <v>4</v>
      </c>
      <c r="D2176" s="107">
        <v>1</v>
      </c>
      <c r="E2176" s="107" t="s">
        <v>485</v>
      </c>
      <c r="F2176" s="107" t="s">
        <v>486</v>
      </c>
      <c r="G2176" s="161">
        <v>45353</v>
      </c>
      <c r="H2176" s="107">
        <f t="shared" si="39"/>
        <v>4</v>
      </c>
    </row>
    <row r="2177" spans="1:8">
      <c r="A2177" s="107">
        <v>2</v>
      </c>
      <c r="B2177" s="107">
        <v>31</v>
      </c>
      <c r="C2177" s="107">
        <v>4</v>
      </c>
      <c r="D2177" s="107">
        <v>2</v>
      </c>
      <c r="E2177" s="107" t="s">
        <v>485</v>
      </c>
      <c r="F2177" s="107" t="s">
        <v>486</v>
      </c>
      <c r="G2177" s="161">
        <v>45354</v>
      </c>
      <c r="H2177" s="107">
        <f t="shared" si="39"/>
        <v>5</v>
      </c>
    </row>
    <row r="2178" spans="1:8">
      <c r="A2178" s="107">
        <v>2</v>
      </c>
      <c r="B2178" s="107">
        <v>31</v>
      </c>
      <c r="C2178" s="107">
        <v>4</v>
      </c>
      <c r="D2178" s="107">
        <v>3</v>
      </c>
      <c r="E2178" s="107" t="s">
        <v>485</v>
      </c>
      <c r="F2178" s="107" t="s">
        <v>486</v>
      </c>
      <c r="G2178" s="161">
        <v>45354</v>
      </c>
      <c r="H2178" s="107">
        <f t="shared" si="39"/>
        <v>5</v>
      </c>
    </row>
    <row r="2179" spans="1:8">
      <c r="A2179" s="107">
        <v>2</v>
      </c>
      <c r="B2179" s="107">
        <v>31</v>
      </c>
      <c r="C2179" s="107">
        <v>4</v>
      </c>
      <c r="D2179" s="107">
        <v>4</v>
      </c>
      <c r="E2179" s="107" t="s">
        <v>485</v>
      </c>
      <c r="F2179" s="107" t="s">
        <v>486</v>
      </c>
      <c r="G2179" s="161">
        <v>45353</v>
      </c>
      <c r="H2179" s="107">
        <f t="shared" si="39"/>
        <v>4</v>
      </c>
    </row>
    <row r="2180" spans="1:8">
      <c r="A2180" s="107">
        <v>2</v>
      </c>
      <c r="B2180" s="107">
        <v>31</v>
      </c>
      <c r="C2180" s="107">
        <v>5</v>
      </c>
      <c r="D2180" s="107">
        <v>1</v>
      </c>
      <c r="E2180" s="107" t="s">
        <v>313</v>
      </c>
      <c r="F2180" s="107" t="s">
        <v>314</v>
      </c>
      <c r="G2180" s="161">
        <v>45356</v>
      </c>
      <c r="H2180" s="107">
        <f t="shared" si="39"/>
        <v>7</v>
      </c>
    </row>
    <row r="2181" spans="1:8">
      <c r="A2181" s="107">
        <v>2</v>
      </c>
      <c r="B2181" s="107">
        <v>31</v>
      </c>
      <c r="C2181" s="107">
        <v>5</v>
      </c>
      <c r="D2181" s="107">
        <v>2</v>
      </c>
      <c r="E2181" s="107" t="s">
        <v>313</v>
      </c>
      <c r="F2181" s="107" t="s">
        <v>314</v>
      </c>
      <c r="G2181" s="161">
        <v>45353</v>
      </c>
      <c r="H2181" s="107">
        <f t="shared" ref="H2181:H2244" si="40">DATEDIF($H$2,G2181,"d")</f>
        <v>4</v>
      </c>
    </row>
    <row r="2182" spans="1:8">
      <c r="A2182" s="107">
        <v>2</v>
      </c>
      <c r="B2182" s="107">
        <v>31</v>
      </c>
      <c r="C2182" s="107">
        <v>5</v>
      </c>
      <c r="D2182" s="107">
        <v>3</v>
      </c>
      <c r="E2182" s="107" t="s">
        <v>313</v>
      </c>
      <c r="F2182" s="107" t="s">
        <v>314</v>
      </c>
      <c r="G2182" s="161">
        <v>45353</v>
      </c>
      <c r="H2182" s="107">
        <f t="shared" si="40"/>
        <v>4</v>
      </c>
    </row>
    <row r="2183" spans="1:8">
      <c r="A2183" s="107">
        <v>2</v>
      </c>
      <c r="B2183" s="107">
        <v>31</v>
      </c>
      <c r="C2183" s="107">
        <v>5</v>
      </c>
      <c r="D2183" s="107">
        <v>4</v>
      </c>
      <c r="E2183" s="107" t="s">
        <v>313</v>
      </c>
      <c r="F2183" s="107" t="s">
        <v>314</v>
      </c>
      <c r="G2183" s="161">
        <v>45353</v>
      </c>
      <c r="H2183" s="107">
        <f t="shared" si="40"/>
        <v>4</v>
      </c>
    </row>
    <row r="2184" spans="1:8">
      <c r="A2184" s="107">
        <v>2</v>
      </c>
      <c r="B2184" s="107">
        <v>31</v>
      </c>
      <c r="C2184" s="107">
        <v>6</v>
      </c>
      <c r="D2184" s="107">
        <v>1</v>
      </c>
      <c r="E2184" s="107" t="s">
        <v>636</v>
      </c>
      <c r="F2184" s="107" t="s">
        <v>637</v>
      </c>
      <c r="G2184" s="161">
        <v>45353</v>
      </c>
      <c r="H2184" s="107">
        <f t="shared" si="40"/>
        <v>4</v>
      </c>
    </row>
    <row r="2185" spans="1:8">
      <c r="A2185" s="107">
        <v>2</v>
      </c>
      <c r="B2185" s="107">
        <v>31</v>
      </c>
      <c r="C2185" s="107">
        <v>6</v>
      </c>
      <c r="D2185" s="107">
        <v>2</v>
      </c>
      <c r="E2185" s="107" t="s">
        <v>636</v>
      </c>
      <c r="F2185" s="107" t="s">
        <v>637</v>
      </c>
      <c r="G2185" s="161">
        <v>45355</v>
      </c>
      <c r="H2185" s="107">
        <f t="shared" si="40"/>
        <v>6</v>
      </c>
    </row>
    <row r="2186" spans="1:8">
      <c r="A2186" s="107">
        <v>2</v>
      </c>
      <c r="B2186" s="107">
        <v>31</v>
      </c>
      <c r="C2186" s="107">
        <v>6</v>
      </c>
      <c r="D2186" s="107">
        <v>3</v>
      </c>
      <c r="E2186" s="107" t="s">
        <v>636</v>
      </c>
      <c r="F2186" s="107" t="s">
        <v>637</v>
      </c>
      <c r="G2186" s="161">
        <v>45353</v>
      </c>
      <c r="H2186" s="107">
        <f t="shared" si="40"/>
        <v>4</v>
      </c>
    </row>
    <row r="2187" spans="1:8">
      <c r="A2187" s="107">
        <v>2</v>
      </c>
      <c r="B2187" s="107">
        <v>31</v>
      </c>
      <c r="C2187" s="107">
        <v>6</v>
      </c>
      <c r="D2187" s="107">
        <v>4</v>
      </c>
      <c r="E2187" s="107" t="s">
        <v>636</v>
      </c>
      <c r="F2187" s="107" t="s">
        <v>637</v>
      </c>
      <c r="G2187" s="161">
        <v>45353</v>
      </c>
      <c r="H2187" s="107">
        <f t="shared" si="40"/>
        <v>4</v>
      </c>
    </row>
    <row r="2188" spans="1:8">
      <c r="A2188" s="107">
        <v>2</v>
      </c>
      <c r="B2188" s="107">
        <v>31</v>
      </c>
      <c r="C2188" s="107">
        <v>7</v>
      </c>
      <c r="D2188" s="107">
        <v>1</v>
      </c>
      <c r="E2188" s="107" t="s">
        <v>174</v>
      </c>
      <c r="F2188" s="107" t="s">
        <v>175</v>
      </c>
      <c r="G2188" s="161">
        <v>45354</v>
      </c>
      <c r="H2188" s="107">
        <f t="shared" si="40"/>
        <v>5</v>
      </c>
    </row>
    <row r="2189" spans="1:8">
      <c r="A2189" s="107">
        <v>2</v>
      </c>
      <c r="B2189" s="107">
        <v>31</v>
      </c>
      <c r="C2189" s="107">
        <v>7</v>
      </c>
      <c r="D2189" s="107">
        <v>2</v>
      </c>
      <c r="E2189" s="107" t="s">
        <v>174</v>
      </c>
      <c r="F2189" s="107" t="s">
        <v>175</v>
      </c>
      <c r="G2189" s="161">
        <v>45355</v>
      </c>
      <c r="H2189" s="107">
        <f t="shared" si="40"/>
        <v>6</v>
      </c>
    </row>
    <row r="2190" spans="1:8">
      <c r="A2190" s="107">
        <v>2</v>
      </c>
      <c r="B2190" s="107">
        <v>31</v>
      </c>
      <c r="C2190" s="107">
        <v>7</v>
      </c>
      <c r="D2190" s="107">
        <v>3</v>
      </c>
      <c r="E2190" s="107" t="s">
        <v>174</v>
      </c>
      <c r="F2190" s="107" t="s">
        <v>175</v>
      </c>
      <c r="G2190" s="161">
        <v>45353</v>
      </c>
      <c r="H2190" s="107">
        <f t="shared" si="40"/>
        <v>4</v>
      </c>
    </row>
    <row r="2191" spans="1:8">
      <c r="A2191" s="107">
        <v>2</v>
      </c>
      <c r="B2191" s="107">
        <v>31</v>
      </c>
      <c r="C2191" s="107">
        <v>7</v>
      </c>
      <c r="D2191" s="107">
        <v>4</v>
      </c>
      <c r="E2191" s="107" t="s">
        <v>174</v>
      </c>
      <c r="F2191" s="107" t="s">
        <v>175</v>
      </c>
      <c r="G2191" s="161">
        <v>45353</v>
      </c>
      <c r="H2191" s="107">
        <f t="shared" si="40"/>
        <v>4</v>
      </c>
    </row>
    <row r="2192" spans="1:8">
      <c r="A2192" s="107">
        <v>2</v>
      </c>
      <c r="B2192" s="107">
        <v>31</v>
      </c>
      <c r="C2192" s="107">
        <v>8</v>
      </c>
      <c r="D2192" s="107">
        <v>1</v>
      </c>
      <c r="E2192" s="107" t="s">
        <v>656</v>
      </c>
      <c r="F2192" s="107" t="s">
        <v>657</v>
      </c>
      <c r="G2192" s="161">
        <v>45353</v>
      </c>
      <c r="H2192" s="107">
        <f t="shared" si="40"/>
        <v>4</v>
      </c>
    </row>
    <row r="2193" spans="1:8">
      <c r="A2193" s="107">
        <v>2</v>
      </c>
      <c r="B2193" s="107">
        <v>31</v>
      </c>
      <c r="C2193" s="107">
        <v>8</v>
      </c>
      <c r="D2193" s="107">
        <v>2</v>
      </c>
      <c r="E2193" s="107" t="s">
        <v>656</v>
      </c>
      <c r="F2193" s="107" t="s">
        <v>657</v>
      </c>
      <c r="G2193" s="161">
        <v>45353</v>
      </c>
      <c r="H2193" s="107">
        <f t="shared" si="40"/>
        <v>4</v>
      </c>
    </row>
    <row r="2194" spans="1:8">
      <c r="A2194" s="107">
        <v>2</v>
      </c>
      <c r="B2194" s="107">
        <v>31</v>
      </c>
      <c r="C2194" s="107">
        <v>8</v>
      </c>
      <c r="D2194" s="107">
        <v>3</v>
      </c>
      <c r="E2194" s="107" t="s">
        <v>656</v>
      </c>
      <c r="F2194" s="107" t="s">
        <v>657</v>
      </c>
      <c r="G2194" s="161">
        <v>45353</v>
      </c>
      <c r="H2194" s="107">
        <f t="shared" si="40"/>
        <v>4</v>
      </c>
    </row>
    <row r="2195" spans="1:8">
      <c r="A2195" s="107">
        <v>2</v>
      </c>
      <c r="B2195" s="107">
        <v>31</v>
      </c>
      <c r="C2195" s="107">
        <v>8</v>
      </c>
      <c r="D2195" s="107">
        <v>4</v>
      </c>
      <c r="E2195" s="107" t="s">
        <v>656</v>
      </c>
      <c r="F2195" s="107" t="s">
        <v>657</v>
      </c>
      <c r="G2195" s="161">
        <v>45353</v>
      </c>
      <c r="H2195" s="107">
        <f t="shared" si="40"/>
        <v>4</v>
      </c>
    </row>
    <row r="2196" spans="1:8">
      <c r="A2196" s="107">
        <v>2</v>
      </c>
      <c r="B2196" s="107">
        <v>31</v>
      </c>
      <c r="C2196" s="107">
        <v>9</v>
      </c>
      <c r="D2196" s="107">
        <v>1</v>
      </c>
      <c r="E2196" s="107" t="s">
        <v>540</v>
      </c>
      <c r="F2196" s="107" t="s">
        <v>541</v>
      </c>
      <c r="G2196" s="161">
        <v>45353</v>
      </c>
      <c r="H2196" s="107">
        <f t="shared" si="40"/>
        <v>4</v>
      </c>
    </row>
    <row r="2197" spans="1:8">
      <c r="A2197" s="107">
        <v>2</v>
      </c>
      <c r="B2197" s="107">
        <v>31</v>
      </c>
      <c r="C2197" s="107">
        <v>9</v>
      </c>
      <c r="D2197" s="107">
        <v>2</v>
      </c>
      <c r="E2197" s="107" t="s">
        <v>540</v>
      </c>
      <c r="F2197" s="107" t="s">
        <v>541</v>
      </c>
      <c r="G2197" s="161">
        <v>45354</v>
      </c>
      <c r="H2197" s="107">
        <f t="shared" si="40"/>
        <v>5</v>
      </c>
    </row>
    <row r="2198" spans="1:8">
      <c r="A2198" s="107">
        <v>2</v>
      </c>
      <c r="B2198" s="107">
        <v>31</v>
      </c>
      <c r="C2198" s="107">
        <v>9</v>
      </c>
      <c r="D2198" s="107">
        <v>3</v>
      </c>
      <c r="E2198" s="107" t="s">
        <v>540</v>
      </c>
      <c r="F2198" s="107" t="s">
        <v>541</v>
      </c>
      <c r="G2198" s="161">
        <v>45353</v>
      </c>
      <c r="H2198" s="107">
        <f t="shared" si="40"/>
        <v>4</v>
      </c>
    </row>
    <row r="2199" spans="1:8">
      <c r="A2199" s="107">
        <v>2</v>
      </c>
      <c r="B2199" s="107">
        <v>31</v>
      </c>
      <c r="C2199" s="107">
        <v>9</v>
      </c>
      <c r="D2199" s="107">
        <v>4</v>
      </c>
      <c r="E2199" s="107" t="s">
        <v>540</v>
      </c>
      <c r="F2199" s="107" t="s">
        <v>541</v>
      </c>
      <c r="G2199" s="161">
        <v>45354</v>
      </c>
      <c r="H2199" s="107">
        <f t="shared" si="40"/>
        <v>5</v>
      </c>
    </row>
    <row r="2200" spans="1:8">
      <c r="A2200" s="107">
        <v>2</v>
      </c>
      <c r="B2200" s="107">
        <v>31</v>
      </c>
      <c r="C2200" s="107">
        <v>10</v>
      </c>
      <c r="D2200" s="107">
        <v>1</v>
      </c>
      <c r="E2200" s="107" t="s">
        <v>409</v>
      </c>
      <c r="F2200" s="107" t="s">
        <v>410</v>
      </c>
      <c r="G2200" s="161">
        <v>45353</v>
      </c>
      <c r="H2200" s="107">
        <f t="shared" si="40"/>
        <v>4</v>
      </c>
    </row>
    <row r="2201" spans="1:8">
      <c r="A2201" s="107">
        <v>2</v>
      </c>
      <c r="B2201" s="107">
        <v>31</v>
      </c>
      <c r="C2201" s="107">
        <v>10</v>
      </c>
      <c r="D2201" s="107">
        <v>2</v>
      </c>
      <c r="E2201" s="107" t="s">
        <v>409</v>
      </c>
      <c r="F2201" s="107" t="s">
        <v>410</v>
      </c>
      <c r="G2201" s="161">
        <v>45354</v>
      </c>
      <c r="H2201" s="107">
        <f t="shared" si="40"/>
        <v>5</v>
      </c>
    </row>
    <row r="2202" spans="1:8">
      <c r="A2202" s="107">
        <v>2</v>
      </c>
      <c r="B2202" s="107">
        <v>31</v>
      </c>
      <c r="C2202" s="107">
        <v>10</v>
      </c>
      <c r="D2202" s="107">
        <v>3</v>
      </c>
      <c r="E2202" s="107" t="s">
        <v>409</v>
      </c>
      <c r="F2202" s="107" t="s">
        <v>410</v>
      </c>
      <c r="G2202" s="161">
        <v>45353</v>
      </c>
      <c r="H2202" s="107">
        <f t="shared" si="40"/>
        <v>4</v>
      </c>
    </row>
    <row r="2203" spans="1:8">
      <c r="A2203" s="107">
        <v>2</v>
      </c>
      <c r="B2203" s="107">
        <v>31</v>
      </c>
      <c r="C2203" s="107">
        <v>10</v>
      </c>
      <c r="D2203" s="107">
        <v>4</v>
      </c>
      <c r="E2203" s="107" t="s">
        <v>409</v>
      </c>
      <c r="F2203" s="107" t="s">
        <v>410</v>
      </c>
      <c r="G2203" s="161">
        <v>45353</v>
      </c>
      <c r="H2203" s="107">
        <f t="shared" si="40"/>
        <v>4</v>
      </c>
    </row>
    <row r="2204" spans="1:8">
      <c r="A2204" s="107">
        <v>2</v>
      </c>
      <c r="B2204" s="107">
        <v>31</v>
      </c>
      <c r="C2204" s="107">
        <v>11</v>
      </c>
      <c r="D2204" s="107">
        <v>1</v>
      </c>
      <c r="E2204" s="107" t="s">
        <v>349</v>
      </c>
      <c r="F2204" s="107" t="s">
        <v>350</v>
      </c>
      <c r="G2204" s="161">
        <v>45354</v>
      </c>
      <c r="H2204" s="107">
        <f t="shared" si="40"/>
        <v>5</v>
      </c>
    </row>
    <row r="2205" spans="1:8">
      <c r="A2205" s="107">
        <v>2</v>
      </c>
      <c r="B2205" s="107">
        <v>31</v>
      </c>
      <c r="C2205" s="107">
        <v>11</v>
      </c>
      <c r="D2205" s="107">
        <v>2</v>
      </c>
      <c r="E2205" s="107" t="s">
        <v>349</v>
      </c>
      <c r="F2205" s="107" t="s">
        <v>350</v>
      </c>
      <c r="G2205" s="161">
        <v>45353</v>
      </c>
      <c r="H2205" s="107">
        <f t="shared" si="40"/>
        <v>4</v>
      </c>
    </row>
    <row r="2206" spans="1:8">
      <c r="A2206" s="107">
        <v>2</v>
      </c>
      <c r="B2206" s="107">
        <v>31</v>
      </c>
      <c r="C2206" s="107">
        <v>11</v>
      </c>
      <c r="D2206" s="107">
        <v>3</v>
      </c>
      <c r="E2206" s="107" t="s">
        <v>349</v>
      </c>
      <c r="F2206" s="107" t="s">
        <v>350</v>
      </c>
      <c r="G2206" s="161">
        <v>45353</v>
      </c>
      <c r="H2206" s="107">
        <f t="shared" si="40"/>
        <v>4</v>
      </c>
    </row>
    <row r="2207" spans="1:8">
      <c r="A2207" s="107">
        <v>2</v>
      </c>
      <c r="B2207" s="107">
        <v>31</v>
      </c>
      <c r="C2207" s="107">
        <v>11</v>
      </c>
      <c r="D2207" s="107">
        <v>4</v>
      </c>
      <c r="E2207" s="107" t="s">
        <v>349</v>
      </c>
      <c r="F2207" s="107" t="s">
        <v>350</v>
      </c>
      <c r="G2207" s="161">
        <v>45353</v>
      </c>
      <c r="H2207" s="107">
        <f t="shared" si="40"/>
        <v>4</v>
      </c>
    </row>
    <row r="2208" spans="1:8">
      <c r="A2208" s="107">
        <v>2</v>
      </c>
      <c r="B2208" s="107">
        <v>31</v>
      </c>
      <c r="C2208" s="107">
        <v>12</v>
      </c>
      <c r="D2208" s="107">
        <v>1</v>
      </c>
      <c r="E2208" s="107" t="s">
        <v>275</v>
      </c>
      <c r="F2208" s="107" t="s">
        <v>276</v>
      </c>
      <c r="G2208" s="161">
        <v>45353</v>
      </c>
      <c r="H2208" s="107">
        <f t="shared" si="40"/>
        <v>4</v>
      </c>
    </row>
    <row r="2209" spans="1:8">
      <c r="A2209" s="107">
        <v>2</v>
      </c>
      <c r="B2209" s="107">
        <v>31</v>
      </c>
      <c r="C2209" s="107">
        <v>12</v>
      </c>
      <c r="D2209" s="107">
        <v>2</v>
      </c>
      <c r="E2209" s="107" t="s">
        <v>275</v>
      </c>
      <c r="F2209" s="107" t="s">
        <v>276</v>
      </c>
      <c r="G2209" s="161">
        <v>45354</v>
      </c>
      <c r="H2209" s="107">
        <f t="shared" si="40"/>
        <v>5</v>
      </c>
    </row>
    <row r="2210" spans="1:8">
      <c r="A2210" s="107">
        <v>2</v>
      </c>
      <c r="B2210" s="107">
        <v>31</v>
      </c>
      <c r="C2210" s="107">
        <v>12</v>
      </c>
      <c r="D2210" s="107">
        <v>3</v>
      </c>
      <c r="E2210" s="107" t="s">
        <v>275</v>
      </c>
      <c r="F2210" s="107" t="s">
        <v>276</v>
      </c>
      <c r="G2210" s="161">
        <v>45354</v>
      </c>
      <c r="H2210" s="107">
        <f t="shared" si="40"/>
        <v>5</v>
      </c>
    </row>
    <row r="2211" spans="1:8">
      <c r="A2211" s="107">
        <v>2</v>
      </c>
      <c r="B2211" s="107">
        <v>31</v>
      </c>
      <c r="C2211" s="107">
        <v>12</v>
      </c>
      <c r="D2211" s="107">
        <v>4</v>
      </c>
      <c r="E2211" s="107" t="s">
        <v>275</v>
      </c>
      <c r="F2211" s="107" t="s">
        <v>276</v>
      </c>
      <c r="G2211" s="161">
        <v>45353</v>
      </c>
      <c r="H2211" s="107">
        <f t="shared" si="40"/>
        <v>4</v>
      </c>
    </row>
    <row r="2212" spans="1:8">
      <c r="A2212" s="107">
        <v>2</v>
      </c>
      <c r="B2212" s="107">
        <v>31</v>
      </c>
      <c r="C2212" s="107">
        <v>13</v>
      </c>
      <c r="D2212" s="107">
        <v>1</v>
      </c>
      <c r="E2212" s="107" t="s">
        <v>254</v>
      </c>
      <c r="F2212" s="107" t="s">
        <v>255</v>
      </c>
      <c r="G2212" s="107"/>
      <c r="H2212" s="107"/>
    </row>
    <row r="2213" spans="1:8">
      <c r="A2213" s="107">
        <v>2</v>
      </c>
      <c r="B2213" s="107">
        <v>31</v>
      </c>
      <c r="C2213" s="107">
        <v>13</v>
      </c>
      <c r="D2213" s="107">
        <v>2</v>
      </c>
      <c r="E2213" s="107" t="s">
        <v>254</v>
      </c>
      <c r="F2213" s="107" t="s">
        <v>255</v>
      </c>
      <c r="G2213" s="161">
        <v>45355</v>
      </c>
      <c r="H2213" s="107">
        <f t="shared" si="40"/>
        <v>6</v>
      </c>
    </row>
    <row r="2214" spans="1:8">
      <c r="A2214" s="107">
        <v>2</v>
      </c>
      <c r="B2214" s="107">
        <v>31</v>
      </c>
      <c r="C2214" s="107">
        <v>13</v>
      </c>
      <c r="D2214" s="107">
        <v>3</v>
      </c>
      <c r="E2214" s="107" t="s">
        <v>254</v>
      </c>
      <c r="F2214" s="107" t="s">
        <v>255</v>
      </c>
      <c r="G2214" s="161">
        <v>45354</v>
      </c>
      <c r="H2214" s="107">
        <f t="shared" si="40"/>
        <v>5</v>
      </c>
    </row>
    <row r="2215" spans="1:8">
      <c r="A2215" s="107">
        <v>2</v>
      </c>
      <c r="B2215" s="107">
        <v>31</v>
      </c>
      <c r="C2215" s="107">
        <v>13</v>
      </c>
      <c r="D2215" s="107">
        <v>4</v>
      </c>
      <c r="E2215" s="107" t="s">
        <v>254</v>
      </c>
      <c r="F2215" s="107" t="s">
        <v>255</v>
      </c>
      <c r="G2215" s="161">
        <v>45355</v>
      </c>
      <c r="H2215" s="107">
        <f t="shared" si="40"/>
        <v>6</v>
      </c>
    </row>
    <row r="2216" spans="1:8">
      <c r="A2216" s="107">
        <v>2</v>
      </c>
      <c r="B2216" s="107">
        <v>31</v>
      </c>
      <c r="C2216" s="107">
        <v>14</v>
      </c>
      <c r="D2216" s="107">
        <v>1</v>
      </c>
      <c r="E2216" s="107" t="s">
        <v>725</v>
      </c>
      <c r="F2216" s="107" t="s">
        <v>726</v>
      </c>
      <c r="G2216" s="161">
        <v>45353</v>
      </c>
      <c r="H2216" s="107">
        <f t="shared" si="40"/>
        <v>4</v>
      </c>
    </row>
    <row r="2217" spans="1:8">
      <c r="A2217" s="107">
        <v>2</v>
      </c>
      <c r="B2217" s="107">
        <v>31</v>
      </c>
      <c r="C2217" s="107">
        <v>14</v>
      </c>
      <c r="D2217" s="107">
        <v>2</v>
      </c>
      <c r="E2217" s="107" t="s">
        <v>725</v>
      </c>
      <c r="F2217" s="107" t="s">
        <v>726</v>
      </c>
      <c r="G2217" s="161">
        <v>45353</v>
      </c>
      <c r="H2217" s="107">
        <f t="shared" si="40"/>
        <v>4</v>
      </c>
    </row>
    <row r="2218" spans="1:8">
      <c r="A2218" s="107">
        <v>2</v>
      </c>
      <c r="B2218" s="107">
        <v>31</v>
      </c>
      <c r="C2218" s="107">
        <v>14</v>
      </c>
      <c r="D2218" s="107">
        <v>3</v>
      </c>
      <c r="E2218" s="107" t="s">
        <v>725</v>
      </c>
      <c r="F2218" s="107" t="s">
        <v>726</v>
      </c>
      <c r="G2218" s="161">
        <v>45354</v>
      </c>
      <c r="H2218" s="107">
        <f t="shared" si="40"/>
        <v>5</v>
      </c>
    </row>
    <row r="2219" spans="1:8">
      <c r="A2219" s="107">
        <v>2</v>
      </c>
      <c r="B2219" s="107">
        <v>31</v>
      </c>
      <c r="C2219" s="107">
        <v>14</v>
      </c>
      <c r="D2219" s="107">
        <v>4</v>
      </c>
      <c r="E2219" s="107" t="s">
        <v>725</v>
      </c>
      <c r="F2219" s="107" t="s">
        <v>726</v>
      </c>
      <c r="G2219" s="161">
        <v>45353</v>
      </c>
      <c r="H2219" s="107">
        <f t="shared" si="40"/>
        <v>4</v>
      </c>
    </row>
    <row r="2220" spans="1:8">
      <c r="A2220" s="107">
        <v>2</v>
      </c>
      <c r="B2220" s="107">
        <v>31</v>
      </c>
      <c r="C2220" s="107">
        <v>15</v>
      </c>
      <c r="D2220" s="107">
        <v>1</v>
      </c>
      <c r="E2220" s="107" t="s">
        <v>489</v>
      </c>
      <c r="F2220" s="107" t="s">
        <v>490</v>
      </c>
      <c r="G2220" s="161">
        <v>45354</v>
      </c>
      <c r="H2220" s="107">
        <f t="shared" si="40"/>
        <v>5</v>
      </c>
    </row>
    <row r="2221" spans="1:8">
      <c r="A2221" s="107">
        <v>2</v>
      </c>
      <c r="B2221" s="107">
        <v>31</v>
      </c>
      <c r="C2221" s="107">
        <v>15</v>
      </c>
      <c r="D2221" s="107">
        <v>2</v>
      </c>
      <c r="E2221" s="107" t="s">
        <v>489</v>
      </c>
      <c r="F2221" s="107" t="s">
        <v>490</v>
      </c>
      <c r="G2221" s="161">
        <v>45353</v>
      </c>
      <c r="H2221" s="107">
        <f t="shared" si="40"/>
        <v>4</v>
      </c>
    </row>
    <row r="2222" spans="1:8">
      <c r="A2222" s="107">
        <v>2</v>
      </c>
      <c r="B2222" s="107">
        <v>31</v>
      </c>
      <c r="C2222" s="107">
        <v>15</v>
      </c>
      <c r="D2222" s="107">
        <v>3</v>
      </c>
      <c r="E2222" s="107" t="s">
        <v>489</v>
      </c>
      <c r="F2222" s="107" t="s">
        <v>490</v>
      </c>
      <c r="G2222" s="161">
        <v>45354</v>
      </c>
      <c r="H2222" s="107">
        <f t="shared" si="40"/>
        <v>5</v>
      </c>
    </row>
    <row r="2223" spans="1:8">
      <c r="A2223" s="107">
        <v>2</v>
      </c>
      <c r="B2223" s="107">
        <v>31</v>
      </c>
      <c r="C2223" s="107">
        <v>15</v>
      </c>
      <c r="D2223" s="107">
        <v>4</v>
      </c>
      <c r="E2223" s="107" t="s">
        <v>489</v>
      </c>
      <c r="F2223" s="107" t="s">
        <v>490</v>
      </c>
      <c r="G2223" s="161">
        <v>45353</v>
      </c>
      <c r="H2223" s="107">
        <f t="shared" si="40"/>
        <v>4</v>
      </c>
    </row>
    <row r="2224" spans="1:8">
      <c r="A2224" s="107">
        <v>2</v>
      </c>
      <c r="B2224" s="107">
        <v>31</v>
      </c>
      <c r="C2224" s="107">
        <v>16</v>
      </c>
      <c r="D2224" s="107">
        <v>1</v>
      </c>
      <c r="E2224" s="107" t="s">
        <v>566</v>
      </c>
      <c r="F2224" s="107" t="s">
        <v>567</v>
      </c>
      <c r="G2224" s="161">
        <v>45354</v>
      </c>
      <c r="H2224" s="107">
        <f t="shared" si="40"/>
        <v>5</v>
      </c>
    </row>
    <row r="2225" spans="1:8">
      <c r="A2225" s="107">
        <v>2</v>
      </c>
      <c r="B2225" s="107">
        <v>31</v>
      </c>
      <c r="C2225" s="107">
        <v>16</v>
      </c>
      <c r="D2225" s="107">
        <v>2</v>
      </c>
      <c r="E2225" s="107" t="s">
        <v>566</v>
      </c>
      <c r="F2225" s="107" t="s">
        <v>567</v>
      </c>
      <c r="G2225" s="161">
        <v>45354</v>
      </c>
      <c r="H2225" s="107">
        <f t="shared" si="40"/>
        <v>5</v>
      </c>
    </row>
    <row r="2226" spans="1:8">
      <c r="A2226" s="107">
        <v>2</v>
      </c>
      <c r="B2226" s="107">
        <v>31</v>
      </c>
      <c r="C2226" s="107">
        <v>16</v>
      </c>
      <c r="D2226" s="107">
        <v>3</v>
      </c>
      <c r="E2226" s="107" t="s">
        <v>566</v>
      </c>
      <c r="F2226" s="107" t="s">
        <v>567</v>
      </c>
      <c r="G2226" s="161">
        <v>45354</v>
      </c>
      <c r="H2226" s="107">
        <f t="shared" si="40"/>
        <v>5</v>
      </c>
    </row>
    <row r="2227" spans="1:8">
      <c r="A2227" s="107">
        <v>2</v>
      </c>
      <c r="B2227" s="107">
        <v>31</v>
      </c>
      <c r="C2227" s="107">
        <v>16</v>
      </c>
      <c r="D2227" s="107">
        <v>4</v>
      </c>
      <c r="E2227" s="107" t="s">
        <v>566</v>
      </c>
      <c r="F2227" s="107" t="s">
        <v>567</v>
      </c>
      <c r="G2227" s="161">
        <v>45354</v>
      </c>
      <c r="H2227" s="107">
        <f t="shared" si="40"/>
        <v>5</v>
      </c>
    </row>
    <row r="2228" spans="1:8">
      <c r="A2228" s="107">
        <v>2</v>
      </c>
      <c r="B2228" s="107">
        <v>31</v>
      </c>
      <c r="C2228" s="107">
        <v>17</v>
      </c>
      <c r="D2228" s="107">
        <v>1</v>
      </c>
      <c r="E2228" s="107" t="s">
        <v>588</v>
      </c>
      <c r="F2228" s="107" t="s">
        <v>589</v>
      </c>
      <c r="G2228" s="161">
        <v>45354</v>
      </c>
      <c r="H2228" s="107">
        <f t="shared" si="40"/>
        <v>5</v>
      </c>
    </row>
    <row r="2229" spans="1:8">
      <c r="A2229" s="107">
        <v>2</v>
      </c>
      <c r="B2229" s="107">
        <v>31</v>
      </c>
      <c r="C2229" s="107">
        <v>17</v>
      </c>
      <c r="D2229" s="107">
        <v>2</v>
      </c>
      <c r="E2229" s="107" t="s">
        <v>588</v>
      </c>
      <c r="F2229" s="107" t="s">
        <v>589</v>
      </c>
      <c r="G2229" s="161">
        <v>45353</v>
      </c>
      <c r="H2229" s="107">
        <f t="shared" si="40"/>
        <v>4</v>
      </c>
    </row>
    <row r="2230" spans="1:8">
      <c r="A2230" s="107">
        <v>2</v>
      </c>
      <c r="B2230" s="107">
        <v>31</v>
      </c>
      <c r="C2230" s="107">
        <v>17</v>
      </c>
      <c r="D2230" s="107">
        <v>3</v>
      </c>
      <c r="E2230" s="107" t="s">
        <v>588</v>
      </c>
      <c r="F2230" s="107" t="s">
        <v>589</v>
      </c>
      <c r="G2230" s="161">
        <v>45353</v>
      </c>
      <c r="H2230" s="107">
        <f t="shared" si="40"/>
        <v>4</v>
      </c>
    </row>
    <row r="2231" spans="1:8">
      <c r="A2231" s="107">
        <v>2</v>
      </c>
      <c r="B2231" s="107">
        <v>31</v>
      </c>
      <c r="C2231" s="107">
        <v>17</v>
      </c>
      <c r="D2231" s="107">
        <v>4</v>
      </c>
      <c r="E2231" s="107" t="s">
        <v>588</v>
      </c>
      <c r="F2231" s="107" t="s">
        <v>589</v>
      </c>
      <c r="G2231" s="161">
        <v>45353</v>
      </c>
      <c r="H2231" s="107">
        <f t="shared" si="40"/>
        <v>4</v>
      </c>
    </row>
    <row r="2232" spans="1:8">
      <c r="A2232" s="107">
        <v>2</v>
      </c>
      <c r="B2232" s="107">
        <v>31</v>
      </c>
      <c r="C2232" s="107">
        <v>18</v>
      </c>
      <c r="D2232" s="107">
        <v>1</v>
      </c>
      <c r="E2232" s="107" t="s">
        <v>451</v>
      </c>
      <c r="F2232" s="107" t="s">
        <v>452</v>
      </c>
      <c r="G2232" s="161">
        <v>45353</v>
      </c>
      <c r="H2232" s="107">
        <f t="shared" si="40"/>
        <v>4</v>
      </c>
    </row>
    <row r="2233" spans="1:8">
      <c r="A2233" s="107">
        <v>2</v>
      </c>
      <c r="B2233" s="107">
        <v>31</v>
      </c>
      <c r="C2233" s="107">
        <v>18</v>
      </c>
      <c r="D2233" s="107">
        <v>2</v>
      </c>
      <c r="E2233" s="107" t="s">
        <v>451</v>
      </c>
      <c r="F2233" s="107" t="s">
        <v>452</v>
      </c>
      <c r="G2233" s="161">
        <v>45353</v>
      </c>
      <c r="H2233" s="107">
        <f t="shared" si="40"/>
        <v>4</v>
      </c>
    </row>
    <row r="2234" spans="1:8">
      <c r="A2234" s="107">
        <v>2</v>
      </c>
      <c r="B2234" s="107">
        <v>31</v>
      </c>
      <c r="C2234" s="107">
        <v>18</v>
      </c>
      <c r="D2234" s="107">
        <v>3</v>
      </c>
      <c r="E2234" s="107" t="s">
        <v>451</v>
      </c>
      <c r="F2234" s="107" t="s">
        <v>452</v>
      </c>
      <c r="G2234" s="161">
        <v>45353</v>
      </c>
      <c r="H2234" s="107">
        <f t="shared" si="40"/>
        <v>4</v>
      </c>
    </row>
    <row r="2235" spans="1:8">
      <c r="A2235" s="107">
        <v>2</v>
      </c>
      <c r="B2235" s="107">
        <v>31</v>
      </c>
      <c r="C2235" s="107">
        <v>18</v>
      </c>
      <c r="D2235" s="107">
        <v>4</v>
      </c>
      <c r="E2235" s="107" t="s">
        <v>451</v>
      </c>
      <c r="F2235" s="107" t="s">
        <v>452</v>
      </c>
      <c r="G2235" s="161">
        <v>45354</v>
      </c>
      <c r="H2235" s="107">
        <f t="shared" si="40"/>
        <v>5</v>
      </c>
    </row>
    <row r="2236" spans="1:8">
      <c r="A2236" s="107">
        <v>2</v>
      </c>
      <c r="B2236" s="107">
        <v>32</v>
      </c>
      <c r="C2236" s="107">
        <v>1</v>
      </c>
      <c r="D2236" s="107">
        <v>1</v>
      </c>
      <c r="E2236" s="107" t="s">
        <v>604</v>
      </c>
      <c r="F2236" s="107" t="s">
        <v>605</v>
      </c>
      <c r="G2236" s="161">
        <v>45353</v>
      </c>
      <c r="H2236" s="107">
        <f t="shared" si="40"/>
        <v>4</v>
      </c>
    </row>
    <row r="2237" spans="1:8">
      <c r="A2237" s="107">
        <v>2</v>
      </c>
      <c r="B2237" s="107">
        <v>32</v>
      </c>
      <c r="C2237" s="107">
        <v>1</v>
      </c>
      <c r="D2237" s="107">
        <v>2</v>
      </c>
      <c r="E2237" s="107" t="s">
        <v>604</v>
      </c>
      <c r="F2237" s="107" t="s">
        <v>605</v>
      </c>
      <c r="G2237" s="161">
        <v>45353</v>
      </c>
      <c r="H2237" s="107">
        <f t="shared" si="40"/>
        <v>4</v>
      </c>
    </row>
    <row r="2238" spans="1:8">
      <c r="A2238" s="107">
        <v>2</v>
      </c>
      <c r="B2238" s="107">
        <v>32</v>
      </c>
      <c r="C2238" s="107">
        <v>1</v>
      </c>
      <c r="D2238" s="107">
        <v>3</v>
      </c>
      <c r="E2238" s="107" t="s">
        <v>604</v>
      </c>
      <c r="F2238" s="107" t="s">
        <v>605</v>
      </c>
      <c r="G2238" s="161">
        <v>45353</v>
      </c>
      <c r="H2238" s="107">
        <f t="shared" si="40"/>
        <v>4</v>
      </c>
    </row>
    <row r="2239" spans="1:8">
      <c r="A2239" s="107">
        <v>2</v>
      </c>
      <c r="B2239" s="107">
        <v>32</v>
      </c>
      <c r="C2239" s="107">
        <v>1</v>
      </c>
      <c r="D2239" s="107">
        <v>4</v>
      </c>
      <c r="E2239" s="107" t="s">
        <v>604</v>
      </c>
      <c r="F2239" s="107" t="s">
        <v>605</v>
      </c>
      <c r="G2239" s="161">
        <v>45353</v>
      </c>
      <c r="H2239" s="107">
        <f t="shared" si="40"/>
        <v>4</v>
      </c>
    </row>
    <row r="2240" spans="1:8">
      <c r="A2240" s="107">
        <v>2</v>
      </c>
      <c r="B2240" s="107">
        <v>32</v>
      </c>
      <c r="C2240" s="107">
        <v>2</v>
      </c>
      <c r="D2240" s="107">
        <v>1</v>
      </c>
      <c r="E2240" s="107" t="s">
        <v>526</v>
      </c>
      <c r="F2240" s="107" t="s">
        <v>527</v>
      </c>
      <c r="G2240" s="161">
        <v>45354</v>
      </c>
      <c r="H2240" s="107">
        <f t="shared" si="40"/>
        <v>5</v>
      </c>
    </row>
    <row r="2241" spans="1:8">
      <c r="A2241" s="107">
        <v>2</v>
      </c>
      <c r="B2241" s="107">
        <v>32</v>
      </c>
      <c r="C2241" s="107">
        <v>2</v>
      </c>
      <c r="D2241" s="107">
        <v>2</v>
      </c>
      <c r="E2241" s="107" t="s">
        <v>526</v>
      </c>
      <c r="F2241" s="107" t="s">
        <v>527</v>
      </c>
      <c r="G2241" s="161">
        <v>45353</v>
      </c>
      <c r="H2241" s="107">
        <f t="shared" si="40"/>
        <v>4</v>
      </c>
    </row>
    <row r="2242" spans="1:8">
      <c r="A2242" s="107">
        <v>2</v>
      </c>
      <c r="B2242" s="107">
        <v>32</v>
      </c>
      <c r="C2242" s="107">
        <v>2</v>
      </c>
      <c r="D2242" s="107">
        <v>3</v>
      </c>
      <c r="E2242" s="107" t="s">
        <v>526</v>
      </c>
      <c r="F2242" s="107" t="s">
        <v>527</v>
      </c>
      <c r="G2242" s="161">
        <v>45354</v>
      </c>
      <c r="H2242" s="107">
        <f t="shared" si="40"/>
        <v>5</v>
      </c>
    </row>
    <row r="2243" spans="1:8">
      <c r="A2243" s="107">
        <v>2</v>
      </c>
      <c r="B2243" s="107">
        <v>32</v>
      </c>
      <c r="C2243" s="107">
        <v>2</v>
      </c>
      <c r="D2243" s="107">
        <v>4</v>
      </c>
      <c r="E2243" s="107" t="s">
        <v>526</v>
      </c>
      <c r="F2243" s="107" t="s">
        <v>527</v>
      </c>
      <c r="G2243" s="161">
        <v>45353</v>
      </c>
      <c r="H2243" s="107">
        <f t="shared" si="40"/>
        <v>4</v>
      </c>
    </row>
    <row r="2244" spans="1:8">
      <c r="A2244" s="107">
        <v>2</v>
      </c>
      <c r="B2244" s="107">
        <v>32</v>
      </c>
      <c r="C2244" s="107">
        <v>3</v>
      </c>
      <c r="D2244" s="107">
        <v>1</v>
      </c>
      <c r="E2244" s="107" t="s">
        <v>632</v>
      </c>
      <c r="F2244" s="107" t="s">
        <v>633</v>
      </c>
      <c r="G2244" s="161">
        <v>45355</v>
      </c>
      <c r="H2244" s="107">
        <f t="shared" si="40"/>
        <v>6</v>
      </c>
    </row>
    <row r="2245" spans="1:8">
      <c r="A2245" s="107">
        <v>2</v>
      </c>
      <c r="B2245" s="107">
        <v>32</v>
      </c>
      <c r="C2245" s="107">
        <v>3</v>
      </c>
      <c r="D2245" s="107">
        <v>2</v>
      </c>
      <c r="E2245" s="107" t="s">
        <v>632</v>
      </c>
      <c r="F2245" s="107" t="s">
        <v>633</v>
      </c>
      <c r="G2245" s="161">
        <v>45354</v>
      </c>
      <c r="H2245" s="107">
        <f t="shared" ref="H2245:H2308" si="41">DATEDIF($H$2,G2245,"d")</f>
        <v>5</v>
      </c>
    </row>
    <row r="2246" spans="1:8">
      <c r="A2246" s="107">
        <v>2</v>
      </c>
      <c r="B2246" s="107">
        <v>32</v>
      </c>
      <c r="C2246" s="107">
        <v>3</v>
      </c>
      <c r="D2246" s="107">
        <v>3</v>
      </c>
      <c r="E2246" s="107" t="s">
        <v>632</v>
      </c>
      <c r="F2246" s="107" t="s">
        <v>633</v>
      </c>
      <c r="G2246" s="161">
        <v>45354</v>
      </c>
      <c r="H2246" s="107">
        <f t="shared" si="41"/>
        <v>5</v>
      </c>
    </row>
    <row r="2247" spans="1:8">
      <c r="A2247" s="107">
        <v>2</v>
      </c>
      <c r="B2247" s="107">
        <v>32</v>
      </c>
      <c r="C2247" s="107">
        <v>3</v>
      </c>
      <c r="D2247" s="107">
        <v>4</v>
      </c>
      <c r="E2247" s="107" t="s">
        <v>632</v>
      </c>
      <c r="F2247" s="107" t="s">
        <v>633</v>
      </c>
      <c r="G2247" s="161">
        <v>45354</v>
      </c>
      <c r="H2247" s="107">
        <f t="shared" si="41"/>
        <v>5</v>
      </c>
    </row>
    <row r="2248" spans="1:8">
      <c r="A2248" s="107">
        <v>2</v>
      </c>
      <c r="B2248" s="107">
        <v>32</v>
      </c>
      <c r="C2248" s="107">
        <v>4</v>
      </c>
      <c r="D2248" s="107">
        <v>1</v>
      </c>
      <c r="E2248" s="107" t="s">
        <v>698</v>
      </c>
      <c r="F2248" s="107" t="s">
        <v>699</v>
      </c>
      <c r="G2248" s="161">
        <v>45353</v>
      </c>
      <c r="H2248" s="107">
        <f t="shared" si="41"/>
        <v>4</v>
      </c>
    </row>
    <row r="2249" spans="1:8">
      <c r="A2249" s="107">
        <v>2</v>
      </c>
      <c r="B2249" s="107">
        <v>32</v>
      </c>
      <c r="C2249" s="107">
        <v>4</v>
      </c>
      <c r="D2249" s="107">
        <v>2</v>
      </c>
      <c r="E2249" s="107" t="s">
        <v>698</v>
      </c>
      <c r="F2249" s="107" t="s">
        <v>699</v>
      </c>
      <c r="G2249" s="161">
        <v>45353</v>
      </c>
      <c r="H2249" s="107">
        <f t="shared" si="41"/>
        <v>4</v>
      </c>
    </row>
    <row r="2250" spans="1:8">
      <c r="A2250" s="107">
        <v>2</v>
      </c>
      <c r="B2250" s="107">
        <v>32</v>
      </c>
      <c r="C2250" s="107">
        <v>4</v>
      </c>
      <c r="D2250" s="107">
        <v>3</v>
      </c>
      <c r="E2250" s="107" t="s">
        <v>698</v>
      </c>
      <c r="F2250" s="107" t="s">
        <v>699</v>
      </c>
      <c r="G2250" s="161">
        <v>45353</v>
      </c>
      <c r="H2250" s="107">
        <f t="shared" si="41"/>
        <v>4</v>
      </c>
    </row>
    <row r="2251" spans="1:8">
      <c r="A2251" s="107">
        <v>2</v>
      </c>
      <c r="B2251" s="107">
        <v>32</v>
      </c>
      <c r="C2251" s="107">
        <v>4</v>
      </c>
      <c r="D2251" s="107">
        <v>4</v>
      </c>
      <c r="E2251" s="107" t="s">
        <v>698</v>
      </c>
      <c r="F2251" s="107" t="s">
        <v>699</v>
      </c>
      <c r="G2251" s="161">
        <v>45353</v>
      </c>
      <c r="H2251" s="107">
        <f t="shared" si="41"/>
        <v>4</v>
      </c>
    </row>
    <row r="2252" spans="1:8">
      <c r="A2252" s="107">
        <v>2</v>
      </c>
      <c r="B2252" s="107">
        <v>32</v>
      </c>
      <c r="C2252" s="107">
        <v>5</v>
      </c>
      <c r="D2252" s="107">
        <v>1</v>
      </c>
      <c r="E2252" s="107" t="s">
        <v>423</v>
      </c>
      <c r="F2252" s="107" t="s">
        <v>424</v>
      </c>
      <c r="G2252" s="161">
        <v>45354</v>
      </c>
      <c r="H2252" s="107">
        <f t="shared" si="41"/>
        <v>5</v>
      </c>
    </row>
    <row r="2253" spans="1:8">
      <c r="A2253" s="107">
        <v>2</v>
      </c>
      <c r="B2253" s="107">
        <v>32</v>
      </c>
      <c r="C2253" s="107">
        <v>5</v>
      </c>
      <c r="D2253" s="107">
        <v>2</v>
      </c>
      <c r="E2253" s="107" t="s">
        <v>423</v>
      </c>
      <c r="F2253" s="107" t="s">
        <v>424</v>
      </c>
      <c r="G2253" s="161">
        <v>45353</v>
      </c>
      <c r="H2253" s="107">
        <f t="shared" si="41"/>
        <v>4</v>
      </c>
    </row>
    <row r="2254" spans="1:8">
      <c r="A2254" s="107">
        <v>2</v>
      </c>
      <c r="B2254" s="107">
        <v>32</v>
      </c>
      <c r="C2254" s="107">
        <v>5</v>
      </c>
      <c r="D2254" s="107">
        <v>3</v>
      </c>
      <c r="E2254" s="107" t="s">
        <v>423</v>
      </c>
      <c r="F2254" s="107" t="s">
        <v>424</v>
      </c>
      <c r="G2254" s="161">
        <v>45354</v>
      </c>
      <c r="H2254" s="107">
        <f t="shared" si="41"/>
        <v>5</v>
      </c>
    </row>
    <row r="2255" spans="1:8">
      <c r="A2255" s="107">
        <v>2</v>
      </c>
      <c r="B2255" s="107">
        <v>32</v>
      </c>
      <c r="C2255" s="107">
        <v>5</v>
      </c>
      <c r="D2255" s="107">
        <v>4</v>
      </c>
      <c r="E2255" s="107" t="s">
        <v>423</v>
      </c>
      <c r="F2255" s="107" t="s">
        <v>424</v>
      </c>
      <c r="G2255" s="161">
        <v>45353</v>
      </c>
      <c r="H2255" s="107">
        <f t="shared" si="41"/>
        <v>4</v>
      </c>
    </row>
    <row r="2256" spans="1:8">
      <c r="A2256" s="107">
        <v>2</v>
      </c>
      <c r="B2256" s="107">
        <v>32</v>
      </c>
      <c r="C2256" s="107">
        <v>6</v>
      </c>
      <c r="D2256" s="107">
        <v>1</v>
      </c>
      <c r="E2256" s="107" t="s">
        <v>357</v>
      </c>
      <c r="F2256" s="107" t="s">
        <v>358</v>
      </c>
      <c r="G2256" s="161">
        <v>45353</v>
      </c>
      <c r="H2256" s="107">
        <f t="shared" si="41"/>
        <v>4</v>
      </c>
    </row>
    <row r="2257" spans="1:8">
      <c r="A2257" s="107">
        <v>2</v>
      </c>
      <c r="B2257" s="107">
        <v>32</v>
      </c>
      <c r="C2257" s="107">
        <v>6</v>
      </c>
      <c r="D2257" s="107">
        <v>2</v>
      </c>
      <c r="E2257" s="107" t="s">
        <v>357</v>
      </c>
      <c r="F2257" s="107" t="s">
        <v>358</v>
      </c>
      <c r="G2257" s="161">
        <v>45354</v>
      </c>
      <c r="H2257" s="107">
        <f t="shared" si="41"/>
        <v>5</v>
      </c>
    </row>
    <row r="2258" spans="1:8">
      <c r="A2258" s="107">
        <v>2</v>
      </c>
      <c r="B2258" s="107">
        <v>32</v>
      </c>
      <c r="C2258" s="107">
        <v>6</v>
      </c>
      <c r="D2258" s="107">
        <v>3</v>
      </c>
      <c r="E2258" s="107" t="s">
        <v>357</v>
      </c>
      <c r="F2258" s="107" t="s">
        <v>358</v>
      </c>
      <c r="G2258" s="161">
        <v>45354</v>
      </c>
      <c r="H2258" s="107">
        <f t="shared" si="41"/>
        <v>5</v>
      </c>
    </row>
    <row r="2259" spans="1:8">
      <c r="A2259" s="107">
        <v>2</v>
      </c>
      <c r="B2259" s="107">
        <v>32</v>
      </c>
      <c r="C2259" s="107">
        <v>6</v>
      </c>
      <c r="D2259" s="107">
        <v>4</v>
      </c>
      <c r="E2259" s="107" t="s">
        <v>357</v>
      </c>
      <c r="F2259" s="107" t="s">
        <v>358</v>
      </c>
      <c r="G2259" s="161">
        <v>45354</v>
      </c>
      <c r="H2259" s="107">
        <f t="shared" si="41"/>
        <v>5</v>
      </c>
    </row>
    <row r="2260" spans="1:8">
      <c r="A2260" s="107">
        <v>2</v>
      </c>
      <c r="B2260" s="107">
        <v>32</v>
      </c>
      <c r="C2260" s="107">
        <v>7</v>
      </c>
      <c r="D2260" s="107">
        <v>1</v>
      </c>
      <c r="E2260" s="107" t="s">
        <v>497</v>
      </c>
      <c r="F2260" s="107" t="s">
        <v>496</v>
      </c>
      <c r="G2260" s="161">
        <v>45353</v>
      </c>
      <c r="H2260" s="107">
        <f t="shared" si="41"/>
        <v>4</v>
      </c>
    </row>
    <row r="2261" spans="1:8">
      <c r="A2261" s="107">
        <v>2</v>
      </c>
      <c r="B2261" s="107">
        <v>32</v>
      </c>
      <c r="C2261" s="107">
        <v>7</v>
      </c>
      <c r="D2261" s="107">
        <v>2</v>
      </c>
      <c r="E2261" s="107" t="s">
        <v>497</v>
      </c>
      <c r="F2261" s="107" t="s">
        <v>496</v>
      </c>
      <c r="G2261" s="161">
        <v>45353</v>
      </c>
      <c r="H2261" s="107">
        <f t="shared" si="41"/>
        <v>4</v>
      </c>
    </row>
    <row r="2262" spans="1:8">
      <c r="A2262" s="107">
        <v>2</v>
      </c>
      <c r="B2262" s="107">
        <v>32</v>
      </c>
      <c r="C2262" s="107">
        <v>7</v>
      </c>
      <c r="D2262" s="107">
        <v>3</v>
      </c>
      <c r="E2262" s="107" t="s">
        <v>497</v>
      </c>
      <c r="F2262" s="107" t="s">
        <v>496</v>
      </c>
      <c r="G2262" s="161">
        <v>45353</v>
      </c>
      <c r="H2262" s="107">
        <f t="shared" si="41"/>
        <v>4</v>
      </c>
    </row>
    <row r="2263" spans="1:8">
      <c r="A2263" s="107">
        <v>2</v>
      </c>
      <c r="B2263" s="107">
        <v>32</v>
      </c>
      <c r="C2263" s="107">
        <v>7</v>
      </c>
      <c r="D2263" s="107">
        <v>4</v>
      </c>
      <c r="E2263" s="107" t="s">
        <v>497</v>
      </c>
      <c r="F2263" s="107" t="s">
        <v>496</v>
      </c>
      <c r="G2263" s="161">
        <v>45354</v>
      </c>
      <c r="H2263" s="107">
        <f t="shared" si="41"/>
        <v>5</v>
      </c>
    </row>
    <row r="2264" spans="1:8">
      <c r="A2264" s="107">
        <v>2</v>
      </c>
      <c r="B2264" s="107">
        <v>32</v>
      </c>
      <c r="C2264" s="107">
        <v>8</v>
      </c>
      <c r="D2264" s="107">
        <v>1</v>
      </c>
      <c r="E2264" s="107" t="s">
        <v>198</v>
      </c>
      <c r="F2264" s="107" t="s">
        <v>199</v>
      </c>
      <c r="G2264" s="161">
        <v>45353</v>
      </c>
      <c r="H2264" s="107">
        <f t="shared" si="41"/>
        <v>4</v>
      </c>
    </row>
    <row r="2265" spans="1:8">
      <c r="A2265" s="107">
        <v>2</v>
      </c>
      <c r="B2265" s="107">
        <v>32</v>
      </c>
      <c r="C2265" s="107">
        <v>8</v>
      </c>
      <c r="D2265" s="107">
        <v>2</v>
      </c>
      <c r="E2265" s="107" t="s">
        <v>198</v>
      </c>
      <c r="F2265" s="107" t="s">
        <v>199</v>
      </c>
      <c r="G2265" s="161">
        <v>45355</v>
      </c>
      <c r="H2265" s="107">
        <f t="shared" si="41"/>
        <v>6</v>
      </c>
    </row>
    <row r="2266" spans="1:8">
      <c r="A2266" s="107">
        <v>2</v>
      </c>
      <c r="B2266" s="107">
        <v>32</v>
      </c>
      <c r="C2266" s="107">
        <v>8</v>
      </c>
      <c r="D2266" s="107">
        <v>3</v>
      </c>
      <c r="E2266" s="107" t="s">
        <v>198</v>
      </c>
      <c r="F2266" s="107" t="s">
        <v>199</v>
      </c>
      <c r="G2266" s="107"/>
      <c r="H2266" s="107"/>
    </row>
    <row r="2267" spans="1:8">
      <c r="A2267" s="107">
        <v>2</v>
      </c>
      <c r="B2267" s="107">
        <v>32</v>
      </c>
      <c r="C2267" s="107">
        <v>8</v>
      </c>
      <c r="D2267" s="107">
        <v>4</v>
      </c>
      <c r="E2267" s="107" t="s">
        <v>198</v>
      </c>
      <c r="F2267" s="107" t="s">
        <v>199</v>
      </c>
      <c r="G2267" s="161">
        <v>45353</v>
      </c>
      <c r="H2267" s="107">
        <f t="shared" si="41"/>
        <v>4</v>
      </c>
    </row>
    <row r="2268" spans="1:8">
      <c r="A2268" s="107">
        <v>2</v>
      </c>
      <c r="B2268" s="107">
        <v>32</v>
      </c>
      <c r="C2268" s="107">
        <v>9</v>
      </c>
      <c r="D2268" s="107">
        <v>1</v>
      </c>
      <c r="E2268" s="107" t="s">
        <v>271</v>
      </c>
      <c r="F2268" s="107" t="s">
        <v>272</v>
      </c>
      <c r="G2268" s="161">
        <v>45353</v>
      </c>
      <c r="H2268" s="107">
        <f t="shared" si="41"/>
        <v>4</v>
      </c>
    </row>
    <row r="2269" spans="1:8">
      <c r="A2269" s="107">
        <v>2</v>
      </c>
      <c r="B2269" s="107">
        <v>32</v>
      </c>
      <c r="C2269" s="107">
        <v>9</v>
      </c>
      <c r="D2269" s="107">
        <v>2</v>
      </c>
      <c r="E2269" s="107" t="s">
        <v>271</v>
      </c>
      <c r="F2269" s="107" t="s">
        <v>272</v>
      </c>
      <c r="G2269" s="161">
        <v>45354</v>
      </c>
      <c r="H2269" s="107">
        <f t="shared" si="41"/>
        <v>5</v>
      </c>
    </row>
    <row r="2270" spans="1:8">
      <c r="A2270" s="107">
        <v>2</v>
      </c>
      <c r="B2270" s="107">
        <v>32</v>
      </c>
      <c r="C2270" s="107">
        <v>9</v>
      </c>
      <c r="D2270" s="107">
        <v>3</v>
      </c>
      <c r="E2270" s="107" t="s">
        <v>271</v>
      </c>
      <c r="F2270" s="107" t="s">
        <v>272</v>
      </c>
      <c r="G2270" s="161">
        <v>45353</v>
      </c>
      <c r="H2270" s="107">
        <f t="shared" si="41"/>
        <v>4</v>
      </c>
    </row>
    <row r="2271" spans="1:8">
      <c r="A2271" s="107">
        <v>2</v>
      </c>
      <c r="B2271" s="107">
        <v>32</v>
      </c>
      <c r="C2271" s="107">
        <v>9</v>
      </c>
      <c r="D2271" s="107">
        <v>4</v>
      </c>
      <c r="E2271" s="107" t="s">
        <v>271</v>
      </c>
      <c r="F2271" s="107" t="s">
        <v>272</v>
      </c>
      <c r="G2271" s="161">
        <v>45353</v>
      </c>
      <c r="H2271" s="107">
        <f t="shared" si="41"/>
        <v>4</v>
      </c>
    </row>
    <row r="2272" spans="1:8">
      <c r="A2272" s="107">
        <v>2</v>
      </c>
      <c r="B2272" s="107">
        <v>32</v>
      </c>
      <c r="C2272" s="107">
        <v>10</v>
      </c>
      <c r="D2272" s="107">
        <v>1</v>
      </c>
      <c r="E2272" s="107" t="s">
        <v>676</v>
      </c>
      <c r="F2272" s="107" t="s">
        <v>677</v>
      </c>
      <c r="G2272" s="161">
        <v>45355</v>
      </c>
      <c r="H2272" s="107">
        <f t="shared" si="41"/>
        <v>6</v>
      </c>
    </row>
    <row r="2273" spans="1:8">
      <c r="A2273" s="107">
        <v>2</v>
      </c>
      <c r="B2273" s="107">
        <v>32</v>
      </c>
      <c r="C2273" s="107">
        <v>10</v>
      </c>
      <c r="D2273" s="107">
        <v>2</v>
      </c>
      <c r="E2273" s="107" t="s">
        <v>676</v>
      </c>
      <c r="F2273" s="107" t="s">
        <v>677</v>
      </c>
      <c r="G2273" s="161">
        <v>45354</v>
      </c>
      <c r="H2273" s="107">
        <f t="shared" si="41"/>
        <v>5</v>
      </c>
    </row>
    <row r="2274" spans="1:8">
      <c r="A2274" s="107">
        <v>2</v>
      </c>
      <c r="B2274" s="107">
        <v>32</v>
      </c>
      <c r="C2274" s="107">
        <v>10</v>
      </c>
      <c r="D2274" s="107">
        <v>3</v>
      </c>
      <c r="E2274" s="107" t="s">
        <v>676</v>
      </c>
      <c r="F2274" s="107" t="s">
        <v>677</v>
      </c>
      <c r="G2274" s="161">
        <v>45355</v>
      </c>
      <c r="H2274" s="107">
        <f t="shared" si="41"/>
        <v>6</v>
      </c>
    </row>
    <row r="2275" spans="1:8">
      <c r="A2275" s="107">
        <v>2</v>
      </c>
      <c r="B2275" s="107">
        <v>32</v>
      </c>
      <c r="C2275" s="107">
        <v>10</v>
      </c>
      <c r="D2275" s="107">
        <v>4</v>
      </c>
      <c r="E2275" s="107" t="s">
        <v>676</v>
      </c>
      <c r="F2275" s="107" t="s">
        <v>677</v>
      </c>
      <c r="G2275" s="161">
        <v>45354</v>
      </c>
      <c r="H2275" s="107">
        <f t="shared" si="41"/>
        <v>5</v>
      </c>
    </row>
    <row r="2276" spans="1:8">
      <c r="A2276" s="107">
        <v>2</v>
      </c>
      <c r="B2276" s="107">
        <v>32</v>
      </c>
      <c r="C2276" s="107">
        <v>11</v>
      </c>
      <c r="D2276" s="107">
        <v>1</v>
      </c>
      <c r="E2276" s="107" t="s">
        <v>152</v>
      </c>
      <c r="F2276" s="107" t="s">
        <v>153</v>
      </c>
      <c r="G2276" s="161">
        <v>45353</v>
      </c>
      <c r="H2276" s="107">
        <f t="shared" si="41"/>
        <v>4</v>
      </c>
    </row>
    <row r="2277" spans="1:8">
      <c r="A2277" s="107">
        <v>2</v>
      </c>
      <c r="B2277" s="107">
        <v>32</v>
      </c>
      <c r="C2277" s="107">
        <v>11</v>
      </c>
      <c r="D2277" s="107">
        <v>2</v>
      </c>
      <c r="E2277" s="107" t="s">
        <v>152</v>
      </c>
      <c r="F2277" s="107" t="s">
        <v>153</v>
      </c>
      <c r="G2277" s="161">
        <v>45353</v>
      </c>
      <c r="H2277" s="107">
        <f t="shared" si="41"/>
        <v>4</v>
      </c>
    </row>
    <row r="2278" spans="1:8">
      <c r="A2278" s="107">
        <v>2</v>
      </c>
      <c r="B2278" s="107">
        <v>32</v>
      </c>
      <c r="C2278" s="107">
        <v>11</v>
      </c>
      <c r="D2278" s="107">
        <v>3</v>
      </c>
      <c r="E2278" s="107" t="s">
        <v>152</v>
      </c>
      <c r="F2278" s="107" t="s">
        <v>153</v>
      </c>
      <c r="G2278" s="161">
        <v>45353</v>
      </c>
      <c r="H2278" s="107">
        <f t="shared" si="41"/>
        <v>4</v>
      </c>
    </row>
    <row r="2279" spans="1:8">
      <c r="A2279" s="107">
        <v>2</v>
      </c>
      <c r="B2279" s="107">
        <v>32</v>
      </c>
      <c r="C2279" s="107">
        <v>11</v>
      </c>
      <c r="D2279" s="107">
        <v>4</v>
      </c>
      <c r="E2279" s="107" t="s">
        <v>152</v>
      </c>
      <c r="F2279" s="107" t="s">
        <v>153</v>
      </c>
      <c r="G2279" s="161">
        <v>45353</v>
      </c>
      <c r="H2279" s="107">
        <f t="shared" si="41"/>
        <v>4</v>
      </c>
    </row>
    <row r="2280" spans="1:8">
      <c r="A2280" s="107">
        <v>2</v>
      </c>
      <c r="B2280" s="107">
        <v>32</v>
      </c>
      <c r="C2280" s="107">
        <v>12</v>
      </c>
      <c r="D2280" s="107">
        <v>1</v>
      </c>
      <c r="E2280" s="107" t="s">
        <v>323</v>
      </c>
      <c r="F2280" s="107" t="s">
        <v>324</v>
      </c>
      <c r="G2280" s="161">
        <v>45353</v>
      </c>
      <c r="H2280" s="107">
        <f t="shared" si="41"/>
        <v>4</v>
      </c>
    </row>
    <row r="2281" spans="1:8">
      <c r="A2281" s="107">
        <v>2</v>
      </c>
      <c r="B2281" s="107">
        <v>32</v>
      </c>
      <c r="C2281" s="107">
        <v>12</v>
      </c>
      <c r="D2281" s="107">
        <v>2</v>
      </c>
      <c r="E2281" s="107" t="s">
        <v>323</v>
      </c>
      <c r="F2281" s="107" t="s">
        <v>324</v>
      </c>
      <c r="G2281" s="161">
        <v>45353</v>
      </c>
      <c r="H2281" s="107">
        <f t="shared" si="41"/>
        <v>4</v>
      </c>
    </row>
    <row r="2282" spans="1:8">
      <c r="A2282" s="107">
        <v>2</v>
      </c>
      <c r="B2282" s="107">
        <v>32</v>
      </c>
      <c r="C2282" s="107">
        <v>12</v>
      </c>
      <c r="D2282" s="107">
        <v>3</v>
      </c>
      <c r="E2282" s="107" t="s">
        <v>323</v>
      </c>
      <c r="F2282" s="107" t="s">
        <v>324</v>
      </c>
      <c r="G2282" s="161">
        <v>45354</v>
      </c>
      <c r="H2282" s="107">
        <f t="shared" si="41"/>
        <v>5</v>
      </c>
    </row>
    <row r="2283" spans="1:8">
      <c r="A2283" s="107">
        <v>2</v>
      </c>
      <c r="B2283" s="107">
        <v>32</v>
      </c>
      <c r="C2283" s="107">
        <v>12</v>
      </c>
      <c r="D2283" s="107">
        <v>4</v>
      </c>
      <c r="E2283" s="107" t="s">
        <v>323</v>
      </c>
      <c r="F2283" s="107" t="s">
        <v>324</v>
      </c>
      <c r="G2283" s="161">
        <v>45354</v>
      </c>
      <c r="H2283" s="107">
        <f t="shared" si="41"/>
        <v>5</v>
      </c>
    </row>
    <row r="2284" spans="1:8">
      <c r="A2284" s="107">
        <v>2</v>
      </c>
      <c r="B2284" s="107">
        <v>32</v>
      </c>
      <c r="C2284" s="107">
        <v>13</v>
      </c>
      <c r="D2284" s="107">
        <v>1</v>
      </c>
      <c r="E2284" s="107" t="s">
        <v>465</v>
      </c>
      <c r="F2284" s="107" t="s">
        <v>466</v>
      </c>
      <c r="G2284" s="161">
        <v>45354</v>
      </c>
      <c r="H2284" s="107">
        <f t="shared" si="41"/>
        <v>5</v>
      </c>
    </row>
    <row r="2285" spans="1:8">
      <c r="A2285" s="107">
        <v>2</v>
      </c>
      <c r="B2285" s="107">
        <v>32</v>
      </c>
      <c r="C2285" s="107">
        <v>13</v>
      </c>
      <c r="D2285" s="107">
        <v>2</v>
      </c>
      <c r="E2285" s="107" t="s">
        <v>465</v>
      </c>
      <c r="F2285" s="107" t="s">
        <v>466</v>
      </c>
      <c r="G2285" s="161">
        <v>45353</v>
      </c>
      <c r="H2285" s="107">
        <f t="shared" si="41"/>
        <v>4</v>
      </c>
    </row>
    <row r="2286" spans="1:8">
      <c r="A2286" s="107">
        <v>2</v>
      </c>
      <c r="B2286" s="107">
        <v>32</v>
      </c>
      <c r="C2286" s="107">
        <v>13</v>
      </c>
      <c r="D2286" s="107">
        <v>3</v>
      </c>
      <c r="E2286" s="107" t="s">
        <v>465</v>
      </c>
      <c r="F2286" s="107" t="s">
        <v>466</v>
      </c>
      <c r="G2286" s="161">
        <v>45353</v>
      </c>
      <c r="H2286" s="107">
        <f t="shared" si="41"/>
        <v>4</v>
      </c>
    </row>
    <row r="2287" spans="1:8">
      <c r="A2287" s="107">
        <v>2</v>
      </c>
      <c r="B2287" s="107">
        <v>32</v>
      </c>
      <c r="C2287" s="107">
        <v>13</v>
      </c>
      <c r="D2287" s="107">
        <v>4</v>
      </c>
      <c r="E2287" s="107" t="s">
        <v>465</v>
      </c>
      <c r="F2287" s="107" t="s">
        <v>466</v>
      </c>
      <c r="G2287" s="161">
        <v>45353</v>
      </c>
      <c r="H2287" s="107">
        <f t="shared" si="41"/>
        <v>4</v>
      </c>
    </row>
    <row r="2288" spans="1:8">
      <c r="A2288" s="107">
        <v>2</v>
      </c>
      <c r="B2288" s="107">
        <v>32</v>
      </c>
      <c r="C2288" s="107">
        <v>14</v>
      </c>
      <c r="D2288" s="107">
        <v>1</v>
      </c>
      <c r="E2288" s="107" t="s">
        <v>741</v>
      </c>
      <c r="F2288" s="107" t="s">
        <v>742</v>
      </c>
      <c r="G2288" s="161">
        <v>45353</v>
      </c>
      <c r="H2288" s="107">
        <f t="shared" si="41"/>
        <v>4</v>
      </c>
    </row>
    <row r="2289" spans="1:8">
      <c r="A2289" s="107">
        <v>2</v>
      </c>
      <c r="B2289" s="107">
        <v>32</v>
      </c>
      <c r="C2289" s="107">
        <v>14</v>
      </c>
      <c r="D2289" s="107">
        <v>2</v>
      </c>
      <c r="E2289" s="107" t="s">
        <v>741</v>
      </c>
      <c r="F2289" s="107" t="s">
        <v>742</v>
      </c>
      <c r="G2289" s="161">
        <v>45353</v>
      </c>
      <c r="H2289" s="107">
        <f t="shared" si="41"/>
        <v>4</v>
      </c>
    </row>
    <row r="2290" spans="1:8">
      <c r="A2290" s="107">
        <v>2</v>
      </c>
      <c r="B2290" s="107">
        <v>32</v>
      </c>
      <c r="C2290" s="107">
        <v>14</v>
      </c>
      <c r="D2290" s="107">
        <v>3</v>
      </c>
      <c r="E2290" s="107" t="s">
        <v>741</v>
      </c>
      <c r="F2290" s="107" t="s">
        <v>742</v>
      </c>
      <c r="G2290" s="161">
        <v>45353</v>
      </c>
      <c r="H2290" s="107">
        <f t="shared" si="41"/>
        <v>4</v>
      </c>
    </row>
    <row r="2291" spans="1:8">
      <c r="A2291" s="107">
        <v>2</v>
      </c>
      <c r="B2291" s="107">
        <v>32</v>
      </c>
      <c r="C2291" s="107">
        <v>14</v>
      </c>
      <c r="D2291" s="107">
        <v>4</v>
      </c>
      <c r="E2291" s="107" t="s">
        <v>741</v>
      </c>
      <c r="F2291" s="107" t="s">
        <v>742</v>
      </c>
      <c r="G2291" s="161">
        <v>45354</v>
      </c>
      <c r="H2291" s="107">
        <f t="shared" si="41"/>
        <v>5</v>
      </c>
    </row>
    <row r="2292" spans="1:8">
      <c r="A2292" s="107">
        <v>2</v>
      </c>
      <c r="B2292" s="107">
        <v>32</v>
      </c>
      <c r="C2292" s="107">
        <v>15</v>
      </c>
      <c r="D2292" s="107">
        <v>1</v>
      </c>
      <c r="E2292" s="107" t="s">
        <v>228</v>
      </c>
      <c r="F2292" s="107" t="s">
        <v>229</v>
      </c>
      <c r="G2292" s="107"/>
      <c r="H2292" s="107"/>
    </row>
    <row r="2293" spans="1:8">
      <c r="A2293" s="107">
        <v>2</v>
      </c>
      <c r="B2293" s="107">
        <v>32</v>
      </c>
      <c r="C2293" s="107">
        <v>15</v>
      </c>
      <c r="D2293" s="107">
        <v>2</v>
      </c>
      <c r="E2293" s="107" t="s">
        <v>228</v>
      </c>
      <c r="F2293" s="107" t="s">
        <v>229</v>
      </c>
      <c r="G2293" s="161">
        <v>45355</v>
      </c>
      <c r="H2293" s="107">
        <f t="shared" si="41"/>
        <v>6</v>
      </c>
    </row>
    <row r="2294" spans="1:8">
      <c r="A2294" s="107">
        <v>2</v>
      </c>
      <c r="B2294" s="107">
        <v>32</v>
      </c>
      <c r="C2294" s="107">
        <v>15</v>
      </c>
      <c r="D2294" s="107">
        <v>3</v>
      </c>
      <c r="E2294" s="107" t="s">
        <v>228</v>
      </c>
      <c r="F2294" s="107" t="s">
        <v>229</v>
      </c>
      <c r="G2294" s="161">
        <v>45354</v>
      </c>
      <c r="H2294" s="107">
        <f t="shared" si="41"/>
        <v>5</v>
      </c>
    </row>
    <row r="2295" spans="1:8">
      <c r="A2295" s="107">
        <v>2</v>
      </c>
      <c r="B2295" s="107">
        <v>32</v>
      </c>
      <c r="C2295" s="107">
        <v>15</v>
      </c>
      <c r="D2295" s="107">
        <v>4</v>
      </c>
      <c r="E2295" s="107" t="s">
        <v>228</v>
      </c>
      <c r="F2295" s="107" t="s">
        <v>229</v>
      </c>
      <c r="G2295" s="161">
        <v>45353</v>
      </c>
      <c r="H2295" s="107">
        <f t="shared" si="41"/>
        <v>4</v>
      </c>
    </row>
    <row r="2296" spans="1:8">
      <c r="A2296" s="107">
        <v>2</v>
      </c>
      <c r="B2296" s="107">
        <v>32</v>
      </c>
      <c r="C2296" s="107">
        <v>16</v>
      </c>
      <c r="D2296" s="107">
        <v>1</v>
      </c>
      <c r="E2296" s="107" t="s">
        <v>568</v>
      </c>
      <c r="F2296" s="107" t="s">
        <v>569</v>
      </c>
      <c r="G2296" s="161">
        <v>45354</v>
      </c>
      <c r="H2296" s="107">
        <f t="shared" si="41"/>
        <v>5</v>
      </c>
    </row>
    <row r="2297" spans="1:8">
      <c r="A2297" s="107">
        <v>2</v>
      </c>
      <c r="B2297" s="107">
        <v>32</v>
      </c>
      <c r="C2297" s="107">
        <v>16</v>
      </c>
      <c r="D2297" s="107">
        <v>2</v>
      </c>
      <c r="E2297" s="107" t="s">
        <v>568</v>
      </c>
      <c r="F2297" s="107" t="s">
        <v>569</v>
      </c>
      <c r="G2297" s="161">
        <v>45354</v>
      </c>
      <c r="H2297" s="107">
        <f t="shared" si="41"/>
        <v>5</v>
      </c>
    </row>
    <row r="2298" spans="1:8">
      <c r="A2298" s="107">
        <v>2</v>
      </c>
      <c r="B2298" s="107">
        <v>32</v>
      </c>
      <c r="C2298" s="107">
        <v>16</v>
      </c>
      <c r="D2298" s="107">
        <v>3</v>
      </c>
      <c r="E2298" s="107" t="s">
        <v>568</v>
      </c>
      <c r="F2298" s="107" t="s">
        <v>569</v>
      </c>
      <c r="G2298" s="161">
        <v>45353</v>
      </c>
      <c r="H2298" s="107">
        <f t="shared" si="41"/>
        <v>4</v>
      </c>
    </row>
    <row r="2299" spans="1:8">
      <c r="A2299" s="107">
        <v>2</v>
      </c>
      <c r="B2299" s="107">
        <v>32</v>
      </c>
      <c r="C2299" s="107">
        <v>16</v>
      </c>
      <c r="D2299" s="107">
        <v>4</v>
      </c>
      <c r="E2299" s="107" t="s">
        <v>568</v>
      </c>
      <c r="F2299" s="107" t="s">
        <v>569</v>
      </c>
      <c r="G2299" s="161">
        <v>45354</v>
      </c>
      <c r="H2299" s="107">
        <f t="shared" si="41"/>
        <v>5</v>
      </c>
    </row>
    <row r="2300" spans="1:8">
      <c r="A2300" s="107">
        <v>2</v>
      </c>
      <c r="B2300" s="107">
        <v>32</v>
      </c>
      <c r="C2300" s="107">
        <v>17</v>
      </c>
      <c r="D2300" s="107">
        <v>1</v>
      </c>
      <c r="E2300" s="107" t="s">
        <v>415</v>
      </c>
      <c r="F2300" s="107" t="s">
        <v>416</v>
      </c>
      <c r="G2300" s="161">
        <v>45353</v>
      </c>
      <c r="H2300" s="107">
        <f t="shared" si="41"/>
        <v>4</v>
      </c>
    </row>
    <row r="2301" spans="1:8">
      <c r="A2301" s="107">
        <v>2</v>
      </c>
      <c r="B2301" s="107">
        <v>32</v>
      </c>
      <c r="C2301" s="107">
        <v>17</v>
      </c>
      <c r="D2301" s="107">
        <v>2</v>
      </c>
      <c r="E2301" s="107" t="s">
        <v>415</v>
      </c>
      <c r="F2301" s="107" t="s">
        <v>416</v>
      </c>
      <c r="G2301" s="161">
        <v>45353</v>
      </c>
      <c r="H2301" s="107">
        <f t="shared" si="41"/>
        <v>4</v>
      </c>
    </row>
    <row r="2302" spans="1:8">
      <c r="A2302" s="107">
        <v>2</v>
      </c>
      <c r="B2302" s="107">
        <v>32</v>
      </c>
      <c r="C2302" s="107">
        <v>17</v>
      </c>
      <c r="D2302" s="107">
        <v>3</v>
      </c>
      <c r="E2302" s="107" t="s">
        <v>415</v>
      </c>
      <c r="F2302" s="107" t="s">
        <v>416</v>
      </c>
      <c r="G2302" s="161">
        <v>45353</v>
      </c>
      <c r="H2302" s="107">
        <f t="shared" si="41"/>
        <v>4</v>
      </c>
    </row>
    <row r="2303" spans="1:8">
      <c r="A2303" s="107">
        <v>2</v>
      </c>
      <c r="B2303" s="107">
        <v>32</v>
      </c>
      <c r="C2303" s="107">
        <v>17</v>
      </c>
      <c r="D2303" s="107">
        <v>4</v>
      </c>
      <c r="E2303" s="107" t="s">
        <v>415</v>
      </c>
      <c r="F2303" s="107" t="s">
        <v>416</v>
      </c>
      <c r="G2303" s="161">
        <v>45353</v>
      </c>
      <c r="H2303" s="107">
        <f t="shared" si="41"/>
        <v>4</v>
      </c>
    </row>
    <row r="2304" spans="1:8">
      <c r="A2304" s="107">
        <v>2</v>
      </c>
      <c r="B2304" s="107">
        <v>32</v>
      </c>
      <c r="C2304" s="107">
        <v>18</v>
      </c>
      <c r="D2304" s="107">
        <v>1</v>
      </c>
      <c r="E2304" s="107" t="s">
        <v>273</v>
      </c>
      <c r="F2304" s="107" t="s">
        <v>274</v>
      </c>
      <c r="G2304" s="161">
        <v>45353</v>
      </c>
      <c r="H2304" s="107">
        <f t="shared" si="41"/>
        <v>4</v>
      </c>
    </row>
    <row r="2305" spans="1:8">
      <c r="A2305" s="107">
        <v>2</v>
      </c>
      <c r="B2305" s="107">
        <v>32</v>
      </c>
      <c r="C2305" s="107">
        <v>18</v>
      </c>
      <c r="D2305" s="107">
        <v>2</v>
      </c>
      <c r="E2305" s="107" t="s">
        <v>273</v>
      </c>
      <c r="F2305" s="107" t="s">
        <v>274</v>
      </c>
      <c r="G2305" s="161">
        <v>45353</v>
      </c>
      <c r="H2305" s="107">
        <f t="shared" si="41"/>
        <v>4</v>
      </c>
    </row>
    <row r="2306" spans="1:8">
      <c r="A2306" s="107">
        <v>2</v>
      </c>
      <c r="B2306" s="107">
        <v>32</v>
      </c>
      <c r="C2306" s="107">
        <v>18</v>
      </c>
      <c r="D2306" s="107">
        <v>3</v>
      </c>
      <c r="E2306" s="107" t="s">
        <v>273</v>
      </c>
      <c r="F2306" s="107" t="s">
        <v>274</v>
      </c>
      <c r="G2306" s="161">
        <v>45353</v>
      </c>
      <c r="H2306" s="107">
        <f t="shared" si="41"/>
        <v>4</v>
      </c>
    </row>
    <row r="2307" spans="1:8">
      <c r="A2307" s="107">
        <v>2</v>
      </c>
      <c r="B2307" s="107">
        <v>32</v>
      </c>
      <c r="C2307" s="107">
        <v>18</v>
      </c>
      <c r="D2307" s="107">
        <v>4</v>
      </c>
      <c r="E2307" s="107" t="s">
        <v>273</v>
      </c>
      <c r="F2307" s="107" t="s">
        <v>274</v>
      </c>
      <c r="G2307" s="161">
        <v>45353</v>
      </c>
      <c r="H2307" s="107">
        <f t="shared" si="41"/>
        <v>4</v>
      </c>
    </row>
    <row r="2308" spans="1:8">
      <c r="A2308" s="107">
        <v>2</v>
      </c>
      <c r="B2308" s="107">
        <v>33</v>
      </c>
      <c r="C2308" s="107">
        <v>1</v>
      </c>
      <c r="D2308" s="107">
        <v>1</v>
      </c>
      <c r="E2308" s="107" t="s">
        <v>331</v>
      </c>
      <c r="F2308" s="107" t="s">
        <v>332</v>
      </c>
      <c r="G2308" s="161">
        <v>45353</v>
      </c>
      <c r="H2308" s="107">
        <f t="shared" si="41"/>
        <v>4</v>
      </c>
    </row>
    <row r="2309" spans="1:8">
      <c r="A2309" s="107">
        <v>2</v>
      </c>
      <c r="B2309" s="107">
        <v>33</v>
      </c>
      <c r="C2309" s="107">
        <v>1</v>
      </c>
      <c r="D2309" s="107">
        <v>2</v>
      </c>
      <c r="E2309" s="107" t="s">
        <v>331</v>
      </c>
      <c r="F2309" s="107" t="s">
        <v>332</v>
      </c>
      <c r="G2309" s="161">
        <v>45353</v>
      </c>
      <c r="H2309" s="107">
        <f t="shared" ref="H2309:H2372" si="42">DATEDIF($H$2,G2309,"d")</f>
        <v>4</v>
      </c>
    </row>
    <row r="2310" spans="1:8">
      <c r="A2310" s="107">
        <v>2</v>
      </c>
      <c r="B2310" s="107">
        <v>33</v>
      </c>
      <c r="C2310" s="107">
        <v>1</v>
      </c>
      <c r="D2310" s="107">
        <v>3</v>
      </c>
      <c r="E2310" s="107" t="s">
        <v>331</v>
      </c>
      <c r="F2310" s="107" t="s">
        <v>332</v>
      </c>
      <c r="G2310" s="161">
        <v>45353</v>
      </c>
      <c r="H2310" s="107">
        <f t="shared" si="42"/>
        <v>4</v>
      </c>
    </row>
    <row r="2311" spans="1:8">
      <c r="A2311" s="107">
        <v>2</v>
      </c>
      <c r="B2311" s="107">
        <v>33</v>
      </c>
      <c r="C2311" s="107">
        <v>1</v>
      </c>
      <c r="D2311" s="107">
        <v>4</v>
      </c>
      <c r="E2311" s="107" t="s">
        <v>331</v>
      </c>
      <c r="F2311" s="107" t="s">
        <v>332</v>
      </c>
      <c r="G2311" s="161">
        <v>45353</v>
      </c>
      <c r="H2311" s="107">
        <f t="shared" si="42"/>
        <v>4</v>
      </c>
    </row>
    <row r="2312" spans="1:8">
      <c r="A2312" s="107">
        <v>2</v>
      </c>
      <c r="B2312" s="107">
        <v>33</v>
      </c>
      <c r="C2312" s="107">
        <v>2</v>
      </c>
      <c r="D2312" s="107">
        <v>1</v>
      </c>
      <c r="E2312" s="107" t="s">
        <v>682</v>
      </c>
      <c r="F2312" s="107" t="s">
        <v>683</v>
      </c>
      <c r="G2312" s="161">
        <v>45354</v>
      </c>
      <c r="H2312" s="107">
        <f t="shared" si="42"/>
        <v>5</v>
      </c>
    </row>
    <row r="2313" spans="1:8">
      <c r="A2313" s="107">
        <v>2</v>
      </c>
      <c r="B2313" s="107">
        <v>33</v>
      </c>
      <c r="C2313" s="107">
        <v>2</v>
      </c>
      <c r="D2313" s="107">
        <v>2</v>
      </c>
      <c r="E2313" s="107" t="s">
        <v>682</v>
      </c>
      <c r="F2313" s="107" t="s">
        <v>683</v>
      </c>
      <c r="G2313" s="161">
        <v>45353</v>
      </c>
      <c r="H2313" s="107">
        <f t="shared" si="42"/>
        <v>4</v>
      </c>
    </row>
    <row r="2314" spans="1:8">
      <c r="A2314" s="107">
        <v>2</v>
      </c>
      <c r="B2314" s="107">
        <v>33</v>
      </c>
      <c r="C2314" s="107">
        <v>2</v>
      </c>
      <c r="D2314" s="107">
        <v>3</v>
      </c>
      <c r="E2314" s="107" t="s">
        <v>682</v>
      </c>
      <c r="F2314" s="107" t="s">
        <v>683</v>
      </c>
      <c r="G2314" s="161">
        <v>45353</v>
      </c>
      <c r="H2314" s="107">
        <f t="shared" si="42"/>
        <v>4</v>
      </c>
    </row>
    <row r="2315" spans="1:8">
      <c r="A2315" s="107">
        <v>2</v>
      </c>
      <c r="B2315" s="107">
        <v>33</v>
      </c>
      <c r="C2315" s="107">
        <v>2</v>
      </c>
      <c r="D2315" s="107">
        <v>4</v>
      </c>
      <c r="E2315" s="107" t="s">
        <v>682</v>
      </c>
      <c r="F2315" s="107" t="s">
        <v>683</v>
      </c>
      <c r="G2315" s="161">
        <v>45354</v>
      </c>
      <c r="H2315" s="107">
        <f t="shared" si="42"/>
        <v>5</v>
      </c>
    </row>
    <row r="2316" spans="1:8">
      <c r="A2316" s="107">
        <v>2</v>
      </c>
      <c r="B2316" s="107">
        <v>33</v>
      </c>
      <c r="C2316" s="107">
        <v>3</v>
      </c>
      <c r="D2316" s="107">
        <v>1</v>
      </c>
      <c r="E2316" s="107" t="s">
        <v>487</v>
      </c>
      <c r="F2316" s="107" t="s">
        <v>488</v>
      </c>
      <c r="G2316" s="161">
        <v>45353</v>
      </c>
      <c r="H2316" s="107">
        <f t="shared" si="42"/>
        <v>4</v>
      </c>
    </row>
    <row r="2317" spans="1:8">
      <c r="A2317" s="107">
        <v>2</v>
      </c>
      <c r="B2317" s="107">
        <v>33</v>
      </c>
      <c r="C2317" s="107">
        <v>3</v>
      </c>
      <c r="D2317" s="107">
        <v>2</v>
      </c>
      <c r="E2317" s="107" t="s">
        <v>487</v>
      </c>
      <c r="F2317" s="107" t="s">
        <v>488</v>
      </c>
      <c r="G2317" s="161">
        <v>45353</v>
      </c>
      <c r="H2317" s="107">
        <f t="shared" si="42"/>
        <v>4</v>
      </c>
    </row>
    <row r="2318" spans="1:8">
      <c r="A2318" s="107">
        <v>2</v>
      </c>
      <c r="B2318" s="107">
        <v>33</v>
      </c>
      <c r="C2318" s="107">
        <v>3</v>
      </c>
      <c r="D2318" s="107">
        <v>3</v>
      </c>
      <c r="E2318" s="107" t="s">
        <v>487</v>
      </c>
      <c r="F2318" s="107" t="s">
        <v>488</v>
      </c>
      <c r="G2318" s="161">
        <v>45353</v>
      </c>
      <c r="H2318" s="107">
        <f t="shared" si="42"/>
        <v>4</v>
      </c>
    </row>
    <row r="2319" spans="1:8">
      <c r="A2319" s="107">
        <v>2</v>
      </c>
      <c r="B2319" s="107">
        <v>33</v>
      </c>
      <c r="C2319" s="107">
        <v>3</v>
      </c>
      <c r="D2319" s="107">
        <v>4</v>
      </c>
      <c r="E2319" s="107" t="s">
        <v>487</v>
      </c>
      <c r="F2319" s="107" t="s">
        <v>488</v>
      </c>
      <c r="G2319" s="161">
        <v>45354</v>
      </c>
      <c r="H2319" s="107">
        <f t="shared" si="42"/>
        <v>5</v>
      </c>
    </row>
    <row r="2320" spans="1:8">
      <c r="A2320" s="107">
        <v>2</v>
      </c>
      <c r="B2320" s="107">
        <v>33</v>
      </c>
      <c r="C2320" s="107">
        <v>4</v>
      </c>
      <c r="D2320" s="107">
        <v>1</v>
      </c>
      <c r="E2320" s="107" t="s">
        <v>592</v>
      </c>
      <c r="F2320" s="107" t="s">
        <v>593</v>
      </c>
      <c r="G2320" s="161">
        <v>45353</v>
      </c>
      <c r="H2320" s="107">
        <f t="shared" si="42"/>
        <v>4</v>
      </c>
    </row>
    <row r="2321" spans="1:8">
      <c r="A2321" s="107">
        <v>2</v>
      </c>
      <c r="B2321" s="107">
        <v>33</v>
      </c>
      <c r="C2321" s="107">
        <v>4</v>
      </c>
      <c r="D2321" s="107">
        <v>2</v>
      </c>
      <c r="E2321" s="107" t="s">
        <v>592</v>
      </c>
      <c r="F2321" s="107" t="s">
        <v>593</v>
      </c>
      <c r="G2321" s="161">
        <v>45353</v>
      </c>
      <c r="H2321" s="107">
        <f t="shared" si="42"/>
        <v>4</v>
      </c>
    </row>
    <row r="2322" spans="1:8">
      <c r="A2322" s="107">
        <v>2</v>
      </c>
      <c r="B2322" s="107">
        <v>33</v>
      </c>
      <c r="C2322" s="107">
        <v>4</v>
      </c>
      <c r="D2322" s="107">
        <v>3</v>
      </c>
      <c r="E2322" s="107" t="s">
        <v>592</v>
      </c>
      <c r="F2322" s="107" t="s">
        <v>593</v>
      </c>
      <c r="G2322" s="161">
        <v>45354</v>
      </c>
      <c r="H2322" s="107">
        <f t="shared" si="42"/>
        <v>5</v>
      </c>
    </row>
    <row r="2323" spans="1:8">
      <c r="A2323" s="107">
        <v>2</v>
      </c>
      <c r="B2323" s="107">
        <v>33</v>
      </c>
      <c r="C2323" s="107">
        <v>4</v>
      </c>
      <c r="D2323" s="107">
        <v>4</v>
      </c>
      <c r="E2323" s="107" t="s">
        <v>592</v>
      </c>
      <c r="F2323" s="107" t="s">
        <v>593</v>
      </c>
      <c r="G2323" s="161">
        <v>45353</v>
      </c>
      <c r="H2323" s="107">
        <f t="shared" si="42"/>
        <v>4</v>
      </c>
    </row>
    <row r="2324" spans="1:8">
      <c r="A2324" s="107">
        <v>2</v>
      </c>
      <c r="B2324" s="107">
        <v>33</v>
      </c>
      <c r="C2324" s="107">
        <v>5</v>
      </c>
      <c r="D2324" s="107">
        <v>1</v>
      </c>
      <c r="E2324" s="107" t="s">
        <v>564</v>
      </c>
      <c r="F2324" s="107" t="s">
        <v>565</v>
      </c>
      <c r="G2324" s="161">
        <v>45354</v>
      </c>
      <c r="H2324" s="107">
        <f t="shared" si="42"/>
        <v>5</v>
      </c>
    </row>
    <row r="2325" spans="1:8">
      <c r="A2325" s="107">
        <v>2</v>
      </c>
      <c r="B2325" s="107">
        <v>33</v>
      </c>
      <c r="C2325" s="107">
        <v>5</v>
      </c>
      <c r="D2325" s="107">
        <v>2</v>
      </c>
      <c r="E2325" s="107" t="s">
        <v>564</v>
      </c>
      <c r="F2325" s="107" t="s">
        <v>565</v>
      </c>
      <c r="G2325" s="161">
        <v>45354</v>
      </c>
      <c r="H2325" s="107">
        <f t="shared" si="42"/>
        <v>5</v>
      </c>
    </row>
    <row r="2326" spans="1:8">
      <c r="A2326" s="107">
        <v>2</v>
      </c>
      <c r="B2326" s="107">
        <v>33</v>
      </c>
      <c r="C2326" s="107">
        <v>5</v>
      </c>
      <c r="D2326" s="107">
        <v>3</v>
      </c>
      <c r="E2326" s="107" t="s">
        <v>564</v>
      </c>
      <c r="F2326" s="107" t="s">
        <v>565</v>
      </c>
      <c r="G2326" s="161">
        <v>45355</v>
      </c>
      <c r="H2326" s="107">
        <f t="shared" si="42"/>
        <v>6</v>
      </c>
    </row>
    <row r="2327" spans="1:8">
      <c r="A2327" s="107">
        <v>2</v>
      </c>
      <c r="B2327" s="107">
        <v>33</v>
      </c>
      <c r="C2327" s="107">
        <v>5</v>
      </c>
      <c r="D2327" s="107">
        <v>4</v>
      </c>
      <c r="E2327" s="107" t="s">
        <v>564</v>
      </c>
      <c r="F2327" s="107" t="s">
        <v>565</v>
      </c>
      <c r="G2327" s="107"/>
      <c r="H2327" s="107"/>
    </row>
    <row r="2328" spans="1:8">
      <c r="A2328" s="107">
        <v>2</v>
      </c>
      <c r="B2328" s="107">
        <v>33</v>
      </c>
      <c r="C2328" s="107">
        <v>6</v>
      </c>
      <c r="D2328" s="107">
        <v>1</v>
      </c>
      <c r="E2328" s="107" t="s">
        <v>498</v>
      </c>
      <c r="F2328" s="107" t="s">
        <v>499</v>
      </c>
      <c r="G2328" s="161">
        <v>45358</v>
      </c>
      <c r="H2328" s="107">
        <f t="shared" si="42"/>
        <v>9</v>
      </c>
    </row>
    <row r="2329" spans="1:8">
      <c r="A2329" s="107">
        <v>2</v>
      </c>
      <c r="B2329" s="107">
        <v>33</v>
      </c>
      <c r="C2329" s="107">
        <v>6</v>
      </c>
      <c r="D2329" s="107">
        <v>2</v>
      </c>
      <c r="E2329" s="107" t="s">
        <v>498</v>
      </c>
      <c r="F2329" s="107" t="s">
        <v>499</v>
      </c>
      <c r="G2329" s="161">
        <v>45357</v>
      </c>
      <c r="H2329" s="107">
        <f t="shared" si="42"/>
        <v>8</v>
      </c>
    </row>
    <row r="2330" spans="1:8">
      <c r="A2330" s="107">
        <v>2</v>
      </c>
      <c r="B2330" s="107">
        <v>33</v>
      </c>
      <c r="C2330" s="107">
        <v>6</v>
      </c>
      <c r="D2330" s="107">
        <v>3</v>
      </c>
      <c r="E2330" s="107" t="s">
        <v>498</v>
      </c>
      <c r="F2330" s="107" t="s">
        <v>499</v>
      </c>
      <c r="G2330" s="161">
        <v>45353</v>
      </c>
      <c r="H2330" s="107">
        <f t="shared" si="42"/>
        <v>4</v>
      </c>
    </row>
    <row r="2331" spans="1:8">
      <c r="A2331" s="107">
        <v>2</v>
      </c>
      <c r="B2331" s="107">
        <v>33</v>
      </c>
      <c r="C2331" s="107">
        <v>6</v>
      </c>
      <c r="D2331" s="107">
        <v>4</v>
      </c>
      <c r="E2331" s="107" t="s">
        <v>498</v>
      </c>
      <c r="F2331" s="107" t="s">
        <v>499</v>
      </c>
      <c r="G2331" s="161">
        <v>45353</v>
      </c>
      <c r="H2331" s="107">
        <f t="shared" si="42"/>
        <v>4</v>
      </c>
    </row>
    <row r="2332" spans="1:8">
      <c r="A2332" s="107">
        <v>2</v>
      </c>
      <c r="B2332" s="107">
        <v>33</v>
      </c>
      <c r="C2332" s="107">
        <v>7</v>
      </c>
      <c r="D2332" s="107">
        <v>1</v>
      </c>
      <c r="E2332" s="107" t="s">
        <v>293</v>
      </c>
      <c r="F2332" s="107" t="s">
        <v>294</v>
      </c>
      <c r="G2332" s="161">
        <v>45353</v>
      </c>
      <c r="H2332" s="107">
        <f t="shared" si="42"/>
        <v>4</v>
      </c>
    </row>
    <row r="2333" spans="1:8">
      <c r="A2333" s="107">
        <v>2</v>
      </c>
      <c r="B2333" s="107">
        <v>33</v>
      </c>
      <c r="C2333" s="107">
        <v>7</v>
      </c>
      <c r="D2333" s="107">
        <v>2</v>
      </c>
      <c r="E2333" s="107" t="s">
        <v>293</v>
      </c>
      <c r="F2333" s="107" t="s">
        <v>294</v>
      </c>
      <c r="G2333" s="161">
        <v>45353</v>
      </c>
      <c r="H2333" s="107">
        <f t="shared" si="42"/>
        <v>4</v>
      </c>
    </row>
    <row r="2334" spans="1:8">
      <c r="A2334" s="107">
        <v>2</v>
      </c>
      <c r="B2334" s="107">
        <v>33</v>
      </c>
      <c r="C2334" s="107">
        <v>7</v>
      </c>
      <c r="D2334" s="107">
        <v>3</v>
      </c>
      <c r="E2334" s="107" t="s">
        <v>293</v>
      </c>
      <c r="F2334" s="107" t="s">
        <v>294</v>
      </c>
      <c r="G2334" s="161">
        <v>45353</v>
      </c>
      <c r="H2334" s="107">
        <f t="shared" si="42"/>
        <v>4</v>
      </c>
    </row>
    <row r="2335" spans="1:8">
      <c r="A2335" s="107">
        <v>2</v>
      </c>
      <c r="B2335" s="107">
        <v>33</v>
      </c>
      <c r="C2335" s="107">
        <v>7</v>
      </c>
      <c r="D2335" s="107">
        <v>4</v>
      </c>
      <c r="E2335" s="107" t="s">
        <v>293</v>
      </c>
      <c r="F2335" s="107" t="s">
        <v>294</v>
      </c>
      <c r="G2335" s="161">
        <v>45353</v>
      </c>
      <c r="H2335" s="107">
        <f t="shared" si="42"/>
        <v>4</v>
      </c>
    </row>
    <row r="2336" spans="1:8">
      <c r="A2336" s="107">
        <v>2</v>
      </c>
      <c r="B2336" s="107">
        <v>33</v>
      </c>
      <c r="C2336" s="107">
        <v>8</v>
      </c>
      <c r="D2336" s="107">
        <v>1</v>
      </c>
      <c r="E2336" s="107" t="s">
        <v>433</v>
      </c>
      <c r="F2336" s="107" t="s">
        <v>434</v>
      </c>
      <c r="G2336" s="161">
        <v>45354</v>
      </c>
      <c r="H2336" s="107">
        <f t="shared" si="42"/>
        <v>5</v>
      </c>
    </row>
    <row r="2337" spans="1:8">
      <c r="A2337" s="107">
        <v>2</v>
      </c>
      <c r="B2337" s="107">
        <v>33</v>
      </c>
      <c r="C2337" s="107">
        <v>8</v>
      </c>
      <c r="D2337" s="107">
        <v>2</v>
      </c>
      <c r="E2337" s="107" t="s">
        <v>433</v>
      </c>
      <c r="F2337" s="107" t="s">
        <v>434</v>
      </c>
      <c r="G2337" s="161">
        <v>45353</v>
      </c>
      <c r="H2337" s="107">
        <f t="shared" si="42"/>
        <v>4</v>
      </c>
    </row>
    <row r="2338" spans="1:8">
      <c r="A2338" s="107">
        <v>2</v>
      </c>
      <c r="B2338" s="107">
        <v>33</v>
      </c>
      <c r="C2338" s="107">
        <v>8</v>
      </c>
      <c r="D2338" s="107">
        <v>3</v>
      </c>
      <c r="E2338" s="107" t="s">
        <v>433</v>
      </c>
      <c r="F2338" s="107" t="s">
        <v>434</v>
      </c>
      <c r="G2338" s="161">
        <v>45354</v>
      </c>
      <c r="H2338" s="107">
        <f t="shared" si="42"/>
        <v>5</v>
      </c>
    </row>
    <row r="2339" spans="1:8">
      <c r="A2339" s="107">
        <v>2</v>
      </c>
      <c r="B2339" s="107">
        <v>33</v>
      </c>
      <c r="C2339" s="107">
        <v>8</v>
      </c>
      <c r="D2339" s="107">
        <v>4</v>
      </c>
      <c r="E2339" s="107" t="s">
        <v>433</v>
      </c>
      <c r="F2339" s="107" t="s">
        <v>434</v>
      </c>
      <c r="G2339" s="161">
        <v>45353</v>
      </c>
      <c r="H2339" s="107">
        <f t="shared" si="42"/>
        <v>4</v>
      </c>
    </row>
    <row r="2340" spans="1:8">
      <c r="A2340" s="107">
        <v>2</v>
      </c>
      <c r="B2340" s="107">
        <v>33</v>
      </c>
      <c r="C2340" s="107">
        <v>9</v>
      </c>
      <c r="D2340" s="107">
        <v>1</v>
      </c>
      <c r="E2340" s="107" t="s">
        <v>753</v>
      </c>
      <c r="F2340" s="107" t="s">
        <v>754</v>
      </c>
      <c r="G2340" s="161">
        <v>45353</v>
      </c>
      <c r="H2340" s="107">
        <f t="shared" si="42"/>
        <v>4</v>
      </c>
    </row>
    <row r="2341" spans="1:8">
      <c r="A2341" s="107">
        <v>2</v>
      </c>
      <c r="B2341" s="107">
        <v>33</v>
      </c>
      <c r="C2341" s="107">
        <v>9</v>
      </c>
      <c r="D2341" s="107">
        <v>2</v>
      </c>
      <c r="E2341" s="107" t="s">
        <v>753</v>
      </c>
      <c r="F2341" s="107" t="s">
        <v>754</v>
      </c>
      <c r="G2341" s="161">
        <v>45354</v>
      </c>
      <c r="H2341" s="107">
        <f t="shared" si="42"/>
        <v>5</v>
      </c>
    </row>
    <row r="2342" spans="1:8">
      <c r="A2342" s="107">
        <v>2</v>
      </c>
      <c r="B2342" s="107">
        <v>33</v>
      </c>
      <c r="C2342" s="107">
        <v>9</v>
      </c>
      <c r="D2342" s="107">
        <v>3</v>
      </c>
      <c r="E2342" s="107" t="s">
        <v>753</v>
      </c>
      <c r="F2342" s="107" t="s">
        <v>754</v>
      </c>
      <c r="G2342" s="161">
        <v>45354</v>
      </c>
      <c r="H2342" s="107">
        <f t="shared" si="42"/>
        <v>5</v>
      </c>
    </row>
    <row r="2343" spans="1:8">
      <c r="A2343" s="107">
        <v>2</v>
      </c>
      <c r="B2343" s="107">
        <v>33</v>
      </c>
      <c r="C2343" s="107">
        <v>9</v>
      </c>
      <c r="D2343" s="107">
        <v>4</v>
      </c>
      <c r="E2343" s="107" t="s">
        <v>753</v>
      </c>
      <c r="F2343" s="107" t="s">
        <v>754</v>
      </c>
      <c r="G2343" s="161">
        <v>45353</v>
      </c>
      <c r="H2343" s="107">
        <f t="shared" si="42"/>
        <v>4</v>
      </c>
    </row>
    <row r="2344" spans="1:8">
      <c r="A2344" s="107">
        <v>2</v>
      </c>
      <c r="B2344" s="107">
        <v>33</v>
      </c>
      <c r="C2344" s="107">
        <v>10</v>
      </c>
      <c r="D2344" s="107">
        <v>1</v>
      </c>
      <c r="E2344" s="107" t="s">
        <v>686</v>
      </c>
      <c r="F2344" s="107" t="s">
        <v>687</v>
      </c>
      <c r="G2344" s="161">
        <v>45354</v>
      </c>
      <c r="H2344" s="107">
        <f t="shared" si="42"/>
        <v>5</v>
      </c>
    </row>
    <row r="2345" spans="1:8">
      <c r="A2345" s="107">
        <v>2</v>
      </c>
      <c r="B2345" s="107">
        <v>33</v>
      </c>
      <c r="C2345" s="107">
        <v>10</v>
      </c>
      <c r="D2345" s="107">
        <v>2</v>
      </c>
      <c r="E2345" s="107" t="s">
        <v>686</v>
      </c>
      <c r="F2345" s="107" t="s">
        <v>687</v>
      </c>
      <c r="G2345" s="161">
        <v>45354</v>
      </c>
      <c r="H2345" s="107">
        <f t="shared" si="42"/>
        <v>5</v>
      </c>
    </row>
    <row r="2346" spans="1:8">
      <c r="A2346" s="107">
        <v>2</v>
      </c>
      <c r="B2346" s="107">
        <v>33</v>
      </c>
      <c r="C2346" s="107">
        <v>10</v>
      </c>
      <c r="D2346" s="107">
        <v>3</v>
      </c>
      <c r="E2346" s="107" t="s">
        <v>686</v>
      </c>
      <c r="F2346" s="107" t="s">
        <v>687</v>
      </c>
      <c r="G2346" s="161">
        <v>45354</v>
      </c>
      <c r="H2346" s="107">
        <f t="shared" si="42"/>
        <v>5</v>
      </c>
    </row>
    <row r="2347" spans="1:8">
      <c r="A2347" s="107">
        <v>2</v>
      </c>
      <c r="B2347" s="107">
        <v>33</v>
      </c>
      <c r="C2347" s="107">
        <v>10</v>
      </c>
      <c r="D2347" s="107">
        <v>4</v>
      </c>
      <c r="E2347" s="107" t="s">
        <v>686</v>
      </c>
      <c r="F2347" s="107" t="s">
        <v>687</v>
      </c>
      <c r="G2347" s="161">
        <v>45353</v>
      </c>
      <c r="H2347" s="107">
        <f t="shared" si="42"/>
        <v>4</v>
      </c>
    </row>
    <row r="2348" spans="1:8">
      <c r="A2348" s="107">
        <v>2</v>
      </c>
      <c r="B2348" s="107">
        <v>33</v>
      </c>
      <c r="C2348" s="107">
        <v>11</v>
      </c>
      <c r="D2348" s="107">
        <v>1</v>
      </c>
      <c r="E2348" s="107" t="s">
        <v>413</v>
      </c>
      <c r="F2348" s="107" t="s">
        <v>414</v>
      </c>
      <c r="G2348" s="161">
        <v>45353</v>
      </c>
      <c r="H2348" s="107">
        <f t="shared" si="42"/>
        <v>4</v>
      </c>
    </row>
    <row r="2349" spans="1:8">
      <c r="A2349" s="107">
        <v>2</v>
      </c>
      <c r="B2349" s="107">
        <v>33</v>
      </c>
      <c r="C2349" s="107">
        <v>11</v>
      </c>
      <c r="D2349" s="107">
        <v>2</v>
      </c>
      <c r="E2349" s="107" t="s">
        <v>413</v>
      </c>
      <c r="F2349" s="107" t="s">
        <v>414</v>
      </c>
      <c r="G2349" s="161">
        <v>45354</v>
      </c>
      <c r="H2349" s="107">
        <f t="shared" si="42"/>
        <v>5</v>
      </c>
    </row>
    <row r="2350" spans="1:8">
      <c r="A2350" s="107">
        <v>2</v>
      </c>
      <c r="B2350" s="107">
        <v>33</v>
      </c>
      <c r="C2350" s="107">
        <v>11</v>
      </c>
      <c r="D2350" s="107">
        <v>3</v>
      </c>
      <c r="E2350" s="107" t="s">
        <v>413</v>
      </c>
      <c r="F2350" s="107" t="s">
        <v>414</v>
      </c>
      <c r="G2350" s="161">
        <v>45355</v>
      </c>
      <c r="H2350" s="107">
        <f t="shared" si="42"/>
        <v>6</v>
      </c>
    </row>
    <row r="2351" spans="1:8">
      <c r="A2351" s="107">
        <v>2</v>
      </c>
      <c r="B2351" s="107">
        <v>33</v>
      </c>
      <c r="C2351" s="107">
        <v>11</v>
      </c>
      <c r="D2351" s="107">
        <v>4</v>
      </c>
      <c r="E2351" s="107" t="s">
        <v>413</v>
      </c>
      <c r="F2351" s="107" t="s">
        <v>414</v>
      </c>
      <c r="G2351" s="161">
        <v>45354</v>
      </c>
      <c r="H2351" s="107">
        <f t="shared" si="42"/>
        <v>5</v>
      </c>
    </row>
    <row r="2352" spans="1:8">
      <c r="A2352" s="107">
        <v>2</v>
      </c>
      <c r="B2352" s="107">
        <v>33</v>
      </c>
      <c r="C2352" s="107">
        <v>12</v>
      </c>
      <c r="D2352" s="107">
        <v>1</v>
      </c>
      <c r="E2352" s="107" t="s">
        <v>246</v>
      </c>
      <c r="F2352" s="107" t="s">
        <v>247</v>
      </c>
      <c r="G2352" s="161">
        <v>45354</v>
      </c>
      <c r="H2352" s="107">
        <f t="shared" si="42"/>
        <v>5</v>
      </c>
    </row>
    <row r="2353" spans="1:8">
      <c r="A2353" s="107">
        <v>2</v>
      </c>
      <c r="B2353" s="107">
        <v>33</v>
      </c>
      <c r="C2353" s="107">
        <v>12</v>
      </c>
      <c r="D2353" s="107">
        <v>2</v>
      </c>
      <c r="E2353" s="107" t="s">
        <v>246</v>
      </c>
      <c r="F2353" s="107" t="s">
        <v>247</v>
      </c>
      <c r="G2353" s="161">
        <v>45354</v>
      </c>
      <c r="H2353" s="107">
        <f t="shared" si="42"/>
        <v>5</v>
      </c>
    </row>
    <row r="2354" spans="1:8">
      <c r="A2354" s="107">
        <v>2</v>
      </c>
      <c r="B2354" s="107">
        <v>33</v>
      </c>
      <c r="C2354" s="107">
        <v>12</v>
      </c>
      <c r="D2354" s="107">
        <v>3</v>
      </c>
      <c r="E2354" s="107" t="s">
        <v>246</v>
      </c>
      <c r="F2354" s="107" t="s">
        <v>247</v>
      </c>
      <c r="G2354" s="161">
        <v>45354</v>
      </c>
      <c r="H2354" s="107">
        <f t="shared" si="42"/>
        <v>5</v>
      </c>
    </row>
    <row r="2355" spans="1:8">
      <c r="A2355" s="107">
        <v>2</v>
      </c>
      <c r="B2355" s="107">
        <v>33</v>
      </c>
      <c r="C2355" s="107">
        <v>12</v>
      </c>
      <c r="D2355" s="107">
        <v>4</v>
      </c>
      <c r="E2355" s="107" t="s">
        <v>246</v>
      </c>
      <c r="F2355" s="107" t="s">
        <v>247</v>
      </c>
      <c r="G2355" s="161">
        <v>45354</v>
      </c>
      <c r="H2355" s="107">
        <f t="shared" si="42"/>
        <v>5</v>
      </c>
    </row>
    <row r="2356" spans="1:8">
      <c r="A2356" s="107">
        <v>2</v>
      </c>
      <c r="B2356" s="107">
        <v>33</v>
      </c>
      <c r="C2356" s="107">
        <v>13</v>
      </c>
      <c r="D2356" s="107">
        <v>1</v>
      </c>
      <c r="E2356" s="107" t="s">
        <v>176</v>
      </c>
      <c r="F2356" s="107" t="s">
        <v>177</v>
      </c>
      <c r="G2356" s="161">
        <v>45355</v>
      </c>
      <c r="H2356" s="107">
        <f t="shared" si="42"/>
        <v>6</v>
      </c>
    </row>
    <row r="2357" spans="1:8">
      <c r="A2357" s="107">
        <v>2</v>
      </c>
      <c r="B2357" s="107">
        <v>33</v>
      </c>
      <c r="C2357" s="107">
        <v>13</v>
      </c>
      <c r="D2357" s="107">
        <v>2</v>
      </c>
      <c r="E2357" s="107" t="s">
        <v>176</v>
      </c>
      <c r="F2357" s="107" t="s">
        <v>177</v>
      </c>
      <c r="G2357" s="161">
        <v>45354</v>
      </c>
      <c r="H2357" s="107">
        <f t="shared" si="42"/>
        <v>5</v>
      </c>
    </row>
    <row r="2358" spans="1:8">
      <c r="A2358" s="107">
        <v>2</v>
      </c>
      <c r="B2358" s="107">
        <v>33</v>
      </c>
      <c r="C2358" s="107">
        <v>13</v>
      </c>
      <c r="D2358" s="107">
        <v>3</v>
      </c>
      <c r="E2358" s="107" t="s">
        <v>176</v>
      </c>
      <c r="F2358" s="107" t="s">
        <v>177</v>
      </c>
      <c r="G2358" s="161">
        <v>45354</v>
      </c>
      <c r="H2358" s="107">
        <f t="shared" si="42"/>
        <v>5</v>
      </c>
    </row>
    <row r="2359" spans="1:8">
      <c r="A2359" s="107">
        <v>2</v>
      </c>
      <c r="B2359" s="107">
        <v>33</v>
      </c>
      <c r="C2359" s="107">
        <v>13</v>
      </c>
      <c r="D2359" s="107">
        <v>4</v>
      </c>
      <c r="E2359" s="107" t="s">
        <v>176</v>
      </c>
      <c r="F2359" s="107" t="s">
        <v>177</v>
      </c>
      <c r="G2359" s="107"/>
      <c r="H2359" s="107"/>
    </row>
    <row r="2360" spans="1:8">
      <c r="A2360" s="107">
        <v>2</v>
      </c>
      <c r="B2360" s="107">
        <v>33</v>
      </c>
      <c r="C2360" s="107">
        <v>14</v>
      </c>
      <c r="D2360" s="107">
        <v>1</v>
      </c>
      <c r="E2360" s="107" t="s">
        <v>238</v>
      </c>
      <c r="F2360" s="107" t="s">
        <v>239</v>
      </c>
      <c r="G2360" s="161">
        <v>45353</v>
      </c>
      <c r="H2360" s="107"/>
    </row>
    <row r="2361" spans="1:8">
      <c r="A2361" s="107">
        <v>2</v>
      </c>
      <c r="B2361" s="107">
        <v>33</v>
      </c>
      <c r="C2361" s="107">
        <v>14</v>
      </c>
      <c r="D2361" s="107">
        <v>2</v>
      </c>
      <c r="E2361" s="107" t="s">
        <v>238</v>
      </c>
      <c r="F2361" s="107" t="s">
        <v>239</v>
      </c>
      <c r="G2361" s="161">
        <v>45354</v>
      </c>
      <c r="H2361" s="107">
        <f t="shared" si="42"/>
        <v>5</v>
      </c>
    </row>
    <row r="2362" spans="1:8">
      <c r="A2362" s="107">
        <v>2</v>
      </c>
      <c r="B2362" s="107">
        <v>33</v>
      </c>
      <c r="C2362" s="107">
        <v>14</v>
      </c>
      <c r="D2362" s="107">
        <v>3</v>
      </c>
      <c r="E2362" s="107" t="s">
        <v>238</v>
      </c>
      <c r="F2362" s="107" t="s">
        <v>239</v>
      </c>
      <c r="G2362" s="161">
        <v>45354</v>
      </c>
      <c r="H2362" s="107">
        <f t="shared" si="42"/>
        <v>5</v>
      </c>
    </row>
    <row r="2363" spans="1:8">
      <c r="A2363" s="107">
        <v>2</v>
      </c>
      <c r="B2363" s="107">
        <v>33</v>
      </c>
      <c r="C2363" s="107">
        <v>14</v>
      </c>
      <c r="D2363" s="107">
        <v>4</v>
      </c>
      <c r="E2363" s="107" t="s">
        <v>238</v>
      </c>
      <c r="F2363" s="107" t="s">
        <v>239</v>
      </c>
      <c r="G2363" s="161">
        <v>45355</v>
      </c>
      <c r="H2363" s="107">
        <f t="shared" si="42"/>
        <v>6</v>
      </c>
    </row>
    <row r="2364" spans="1:8">
      <c r="A2364" s="107">
        <v>2</v>
      </c>
      <c r="B2364" s="107">
        <v>33</v>
      </c>
      <c r="C2364" s="107">
        <v>15</v>
      </c>
      <c r="D2364" s="107">
        <v>1</v>
      </c>
      <c r="E2364" s="107" t="s">
        <v>158</v>
      </c>
      <c r="F2364" s="107" t="s">
        <v>159</v>
      </c>
      <c r="G2364" s="161">
        <v>45356</v>
      </c>
      <c r="H2364" s="107">
        <f t="shared" si="42"/>
        <v>7</v>
      </c>
    </row>
    <row r="2365" spans="1:8">
      <c r="A2365" s="107">
        <v>2</v>
      </c>
      <c r="B2365" s="107">
        <v>33</v>
      </c>
      <c r="C2365" s="107">
        <v>15</v>
      </c>
      <c r="D2365" s="107">
        <v>2</v>
      </c>
      <c r="E2365" s="107" t="s">
        <v>158</v>
      </c>
      <c r="F2365" s="107" t="s">
        <v>159</v>
      </c>
      <c r="G2365" s="161">
        <v>45355</v>
      </c>
      <c r="H2365" s="107">
        <f t="shared" si="42"/>
        <v>6</v>
      </c>
    </row>
    <row r="2366" spans="1:8">
      <c r="A2366" s="107">
        <v>2</v>
      </c>
      <c r="B2366" s="107">
        <v>33</v>
      </c>
      <c r="C2366" s="107">
        <v>15</v>
      </c>
      <c r="D2366" s="107">
        <v>3</v>
      </c>
      <c r="E2366" s="107" t="s">
        <v>158</v>
      </c>
      <c r="F2366" s="107" t="s">
        <v>159</v>
      </c>
      <c r="G2366" s="161">
        <v>45356</v>
      </c>
      <c r="H2366" s="107">
        <f t="shared" si="42"/>
        <v>7</v>
      </c>
    </row>
    <row r="2367" spans="1:8">
      <c r="A2367" s="107">
        <v>2</v>
      </c>
      <c r="B2367" s="107">
        <v>33</v>
      </c>
      <c r="C2367" s="107">
        <v>15</v>
      </c>
      <c r="D2367" s="107">
        <v>4</v>
      </c>
      <c r="E2367" s="107" t="s">
        <v>158</v>
      </c>
      <c r="F2367" s="107" t="s">
        <v>159</v>
      </c>
      <c r="G2367" s="161">
        <v>45355</v>
      </c>
      <c r="H2367" s="107">
        <f t="shared" si="42"/>
        <v>6</v>
      </c>
    </row>
    <row r="2368" spans="1:8">
      <c r="A2368" s="107">
        <v>2</v>
      </c>
      <c r="B2368" s="107">
        <v>33</v>
      </c>
      <c r="C2368" s="107">
        <v>16</v>
      </c>
      <c r="D2368" s="107">
        <v>1</v>
      </c>
      <c r="E2368" s="107" t="s">
        <v>359</v>
      </c>
      <c r="F2368" s="107" t="s">
        <v>360</v>
      </c>
      <c r="G2368" s="161">
        <v>45355</v>
      </c>
      <c r="H2368" s="107">
        <f t="shared" si="42"/>
        <v>6</v>
      </c>
    </row>
    <row r="2369" spans="1:8">
      <c r="A2369" s="107">
        <v>2</v>
      </c>
      <c r="B2369" s="107">
        <v>33</v>
      </c>
      <c r="C2369" s="107">
        <v>16</v>
      </c>
      <c r="D2369" s="107">
        <v>2</v>
      </c>
      <c r="E2369" s="107" t="s">
        <v>359</v>
      </c>
      <c r="F2369" s="107" t="s">
        <v>360</v>
      </c>
      <c r="G2369" s="161">
        <v>45353</v>
      </c>
      <c r="H2369" s="107">
        <f t="shared" si="42"/>
        <v>4</v>
      </c>
    </row>
    <row r="2370" spans="1:8">
      <c r="A2370" s="107">
        <v>2</v>
      </c>
      <c r="B2370" s="107">
        <v>33</v>
      </c>
      <c r="C2370" s="107">
        <v>16</v>
      </c>
      <c r="D2370" s="107">
        <v>3</v>
      </c>
      <c r="E2370" s="107" t="s">
        <v>359</v>
      </c>
      <c r="F2370" s="107" t="s">
        <v>360</v>
      </c>
      <c r="G2370" s="161">
        <v>45353</v>
      </c>
      <c r="H2370" s="107">
        <f t="shared" si="42"/>
        <v>4</v>
      </c>
    </row>
    <row r="2371" spans="1:8">
      <c r="A2371" s="107">
        <v>2</v>
      </c>
      <c r="B2371" s="107">
        <v>33</v>
      </c>
      <c r="C2371" s="107">
        <v>16</v>
      </c>
      <c r="D2371" s="107">
        <v>4</v>
      </c>
      <c r="E2371" s="107" t="s">
        <v>359</v>
      </c>
      <c r="F2371" s="107" t="s">
        <v>360</v>
      </c>
      <c r="G2371" s="161">
        <v>45354</v>
      </c>
      <c r="H2371" s="107">
        <f t="shared" si="42"/>
        <v>5</v>
      </c>
    </row>
    <row r="2372" spans="1:8">
      <c r="A2372" s="107">
        <v>2</v>
      </c>
      <c r="B2372" s="107">
        <v>33</v>
      </c>
      <c r="C2372" s="107">
        <v>17</v>
      </c>
      <c r="D2372" s="107">
        <v>1</v>
      </c>
      <c r="E2372" s="107" t="s">
        <v>525</v>
      </c>
      <c r="F2372" s="107" t="s">
        <v>503</v>
      </c>
      <c r="G2372" s="161">
        <v>45353</v>
      </c>
      <c r="H2372" s="107">
        <f t="shared" si="42"/>
        <v>4</v>
      </c>
    </row>
    <row r="2373" spans="1:8">
      <c r="A2373" s="107">
        <v>2</v>
      </c>
      <c r="B2373" s="107">
        <v>33</v>
      </c>
      <c r="C2373" s="107">
        <v>17</v>
      </c>
      <c r="D2373" s="107">
        <v>2</v>
      </c>
      <c r="E2373" s="107" t="s">
        <v>525</v>
      </c>
      <c r="F2373" s="107" t="s">
        <v>503</v>
      </c>
      <c r="G2373" s="161">
        <v>45354</v>
      </c>
      <c r="H2373" s="107">
        <f t="shared" ref="H2373:H2436" si="43">DATEDIF($H$2,G2373,"d")</f>
        <v>5</v>
      </c>
    </row>
    <row r="2374" spans="1:8">
      <c r="A2374" s="107">
        <v>2</v>
      </c>
      <c r="B2374" s="107">
        <v>33</v>
      </c>
      <c r="C2374" s="107">
        <v>17</v>
      </c>
      <c r="D2374" s="107">
        <v>3</v>
      </c>
      <c r="E2374" s="107" t="s">
        <v>525</v>
      </c>
      <c r="F2374" s="107" t="s">
        <v>503</v>
      </c>
      <c r="G2374" s="161">
        <v>45353</v>
      </c>
      <c r="H2374" s="107">
        <f t="shared" si="43"/>
        <v>4</v>
      </c>
    </row>
    <row r="2375" spans="1:8">
      <c r="A2375" s="107">
        <v>2</v>
      </c>
      <c r="B2375" s="107">
        <v>33</v>
      </c>
      <c r="C2375" s="107">
        <v>17</v>
      </c>
      <c r="D2375" s="107">
        <v>4</v>
      </c>
      <c r="E2375" s="107" t="s">
        <v>525</v>
      </c>
      <c r="F2375" s="107" t="s">
        <v>503</v>
      </c>
      <c r="G2375" s="161">
        <v>45353</v>
      </c>
      <c r="H2375" s="107">
        <f t="shared" si="43"/>
        <v>4</v>
      </c>
    </row>
    <row r="2376" spans="1:8">
      <c r="A2376" s="107">
        <v>2</v>
      </c>
      <c r="B2376" s="107">
        <v>33</v>
      </c>
      <c r="C2376" s="107">
        <v>18</v>
      </c>
      <c r="D2376" s="107">
        <v>1</v>
      </c>
      <c r="E2376" s="107" t="s">
        <v>616</v>
      </c>
      <c r="F2376" s="107" t="s">
        <v>617</v>
      </c>
      <c r="G2376" s="107"/>
      <c r="H2376" s="107"/>
    </row>
    <row r="2377" spans="1:8">
      <c r="A2377" s="107">
        <v>2</v>
      </c>
      <c r="B2377" s="107">
        <v>33</v>
      </c>
      <c r="C2377" s="107">
        <v>18</v>
      </c>
      <c r="D2377" s="107">
        <v>2</v>
      </c>
      <c r="E2377" s="107" t="s">
        <v>616</v>
      </c>
      <c r="F2377" s="107" t="s">
        <v>617</v>
      </c>
      <c r="G2377" s="161">
        <v>45353</v>
      </c>
      <c r="H2377" s="107">
        <f t="shared" si="43"/>
        <v>4</v>
      </c>
    </row>
    <row r="2378" spans="1:8">
      <c r="A2378" s="107">
        <v>2</v>
      </c>
      <c r="B2378" s="107">
        <v>33</v>
      </c>
      <c r="C2378" s="107">
        <v>18</v>
      </c>
      <c r="D2378" s="107">
        <v>3</v>
      </c>
      <c r="E2378" s="107" t="s">
        <v>616</v>
      </c>
      <c r="F2378" s="107" t="s">
        <v>617</v>
      </c>
      <c r="G2378" s="161">
        <v>45353</v>
      </c>
      <c r="H2378" s="107">
        <f t="shared" si="43"/>
        <v>4</v>
      </c>
    </row>
    <row r="2379" spans="1:8">
      <c r="A2379" s="107">
        <v>2</v>
      </c>
      <c r="B2379" s="107">
        <v>33</v>
      </c>
      <c r="C2379" s="107">
        <v>18</v>
      </c>
      <c r="D2379" s="107">
        <v>4</v>
      </c>
      <c r="E2379" s="107" t="s">
        <v>616</v>
      </c>
      <c r="F2379" s="107" t="s">
        <v>617</v>
      </c>
      <c r="G2379" s="161">
        <v>45353</v>
      </c>
      <c r="H2379" s="107">
        <f t="shared" si="43"/>
        <v>4</v>
      </c>
    </row>
    <row r="2380" spans="1:8">
      <c r="A2380" s="107">
        <v>2</v>
      </c>
      <c r="B2380" s="107">
        <v>34</v>
      </c>
      <c r="C2380" s="107">
        <v>1</v>
      </c>
      <c r="D2380" s="107">
        <v>1</v>
      </c>
      <c r="E2380" s="107" t="s">
        <v>672</v>
      </c>
      <c r="F2380" s="107" t="s">
        <v>673</v>
      </c>
      <c r="G2380" s="161">
        <v>45353</v>
      </c>
      <c r="H2380" s="107">
        <f t="shared" si="43"/>
        <v>4</v>
      </c>
    </row>
    <row r="2381" spans="1:8">
      <c r="A2381" s="107">
        <v>2</v>
      </c>
      <c r="B2381" s="107">
        <v>34</v>
      </c>
      <c r="C2381" s="107">
        <v>1</v>
      </c>
      <c r="D2381" s="107">
        <v>2</v>
      </c>
      <c r="E2381" s="107" t="s">
        <v>672</v>
      </c>
      <c r="F2381" s="107" t="s">
        <v>673</v>
      </c>
      <c r="G2381" s="161">
        <v>45353</v>
      </c>
      <c r="H2381" s="107">
        <f t="shared" si="43"/>
        <v>4</v>
      </c>
    </row>
    <row r="2382" spans="1:8">
      <c r="A2382" s="107">
        <v>2</v>
      </c>
      <c r="B2382" s="107">
        <v>34</v>
      </c>
      <c r="C2382" s="107">
        <v>1</v>
      </c>
      <c r="D2382" s="107">
        <v>3</v>
      </c>
      <c r="E2382" s="107" t="s">
        <v>672</v>
      </c>
      <c r="F2382" s="107" t="s">
        <v>673</v>
      </c>
      <c r="G2382" s="161">
        <v>45353</v>
      </c>
      <c r="H2382" s="107">
        <f t="shared" si="43"/>
        <v>4</v>
      </c>
    </row>
    <row r="2383" spans="1:8">
      <c r="A2383" s="107">
        <v>2</v>
      </c>
      <c r="B2383" s="107">
        <v>34</v>
      </c>
      <c r="C2383" s="107">
        <v>1</v>
      </c>
      <c r="D2383" s="107">
        <v>4</v>
      </c>
      <c r="E2383" s="107" t="s">
        <v>672</v>
      </c>
      <c r="F2383" s="107" t="s">
        <v>673</v>
      </c>
      <c r="G2383" s="161">
        <v>45353</v>
      </c>
      <c r="H2383" s="107">
        <f t="shared" si="43"/>
        <v>4</v>
      </c>
    </row>
    <row r="2384" spans="1:8">
      <c r="A2384" s="107">
        <v>2</v>
      </c>
      <c r="B2384" s="107">
        <v>34</v>
      </c>
      <c r="C2384" s="107">
        <v>2</v>
      </c>
      <c r="D2384" s="107">
        <v>1</v>
      </c>
      <c r="E2384" s="107" t="s">
        <v>638</v>
      </c>
      <c r="F2384" s="107" t="s">
        <v>639</v>
      </c>
      <c r="G2384" s="161">
        <v>45353</v>
      </c>
      <c r="H2384" s="107">
        <f t="shared" si="43"/>
        <v>4</v>
      </c>
    </row>
    <row r="2385" spans="1:8">
      <c r="A2385" s="107">
        <v>2</v>
      </c>
      <c r="B2385" s="107">
        <v>34</v>
      </c>
      <c r="C2385" s="107">
        <v>2</v>
      </c>
      <c r="D2385" s="107">
        <v>2</v>
      </c>
      <c r="E2385" s="107" t="s">
        <v>638</v>
      </c>
      <c r="F2385" s="107" t="s">
        <v>639</v>
      </c>
      <c r="G2385" s="161">
        <v>45353</v>
      </c>
      <c r="H2385" s="107">
        <f t="shared" si="43"/>
        <v>4</v>
      </c>
    </row>
    <row r="2386" spans="1:8">
      <c r="A2386" s="107">
        <v>2</v>
      </c>
      <c r="B2386" s="107">
        <v>34</v>
      </c>
      <c r="C2386" s="107">
        <v>2</v>
      </c>
      <c r="D2386" s="107">
        <v>3</v>
      </c>
      <c r="E2386" s="107" t="s">
        <v>638</v>
      </c>
      <c r="F2386" s="107" t="s">
        <v>639</v>
      </c>
      <c r="G2386" s="161">
        <v>45354</v>
      </c>
      <c r="H2386" s="107">
        <f t="shared" si="43"/>
        <v>5</v>
      </c>
    </row>
    <row r="2387" spans="1:8">
      <c r="A2387" s="107">
        <v>2</v>
      </c>
      <c r="B2387" s="107">
        <v>34</v>
      </c>
      <c r="C2387" s="107">
        <v>2</v>
      </c>
      <c r="D2387" s="107">
        <v>4</v>
      </c>
      <c r="E2387" s="107" t="s">
        <v>638</v>
      </c>
      <c r="F2387" s="107" t="s">
        <v>639</v>
      </c>
      <c r="G2387" s="161">
        <v>45353</v>
      </c>
      <c r="H2387" s="107">
        <f t="shared" si="43"/>
        <v>4</v>
      </c>
    </row>
    <row r="2388" spans="1:8">
      <c r="A2388" s="107">
        <v>2</v>
      </c>
      <c r="B2388" s="107">
        <v>34</v>
      </c>
      <c r="C2388" s="107">
        <v>3</v>
      </c>
      <c r="D2388" s="107">
        <v>1</v>
      </c>
      <c r="E2388" s="107" t="s">
        <v>252</v>
      </c>
      <c r="F2388" s="107" t="s">
        <v>253</v>
      </c>
      <c r="G2388" s="161">
        <v>45353</v>
      </c>
      <c r="H2388" s="107">
        <f t="shared" si="43"/>
        <v>4</v>
      </c>
    </row>
    <row r="2389" spans="1:8">
      <c r="A2389" s="107">
        <v>2</v>
      </c>
      <c r="B2389" s="107">
        <v>34</v>
      </c>
      <c r="C2389" s="107">
        <v>3</v>
      </c>
      <c r="D2389" s="107">
        <v>2</v>
      </c>
      <c r="E2389" s="107" t="s">
        <v>252</v>
      </c>
      <c r="F2389" s="107" t="s">
        <v>253</v>
      </c>
      <c r="G2389" s="161">
        <v>45353</v>
      </c>
      <c r="H2389" s="107">
        <f t="shared" si="43"/>
        <v>4</v>
      </c>
    </row>
    <row r="2390" spans="1:8">
      <c r="A2390" s="107">
        <v>2</v>
      </c>
      <c r="B2390" s="107">
        <v>34</v>
      </c>
      <c r="C2390" s="107">
        <v>3</v>
      </c>
      <c r="D2390" s="107">
        <v>3</v>
      </c>
      <c r="E2390" s="107" t="s">
        <v>252</v>
      </c>
      <c r="F2390" s="107" t="s">
        <v>253</v>
      </c>
      <c r="G2390" s="161">
        <v>45353</v>
      </c>
      <c r="H2390" s="107">
        <f t="shared" si="43"/>
        <v>4</v>
      </c>
    </row>
    <row r="2391" spans="1:8">
      <c r="A2391" s="107">
        <v>2</v>
      </c>
      <c r="B2391" s="107">
        <v>34</v>
      </c>
      <c r="C2391" s="107">
        <v>3</v>
      </c>
      <c r="D2391" s="107">
        <v>4</v>
      </c>
      <c r="E2391" s="107" t="s">
        <v>252</v>
      </c>
      <c r="F2391" s="107" t="s">
        <v>253</v>
      </c>
      <c r="G2391" s="161">
        <v>45354</v>
      </c>
      <c r="H2391" s="107">
        <f t="shared" si="43"/>
        <v>5</v>
      </c>
    </row>
    <row r="2392" spans="1:8">
      <c r="A2392" s="107">
        <v>2</v>
      </c>
      <c r="B2392" s="107">
        <v>34</v>
      </c>
      <c r="C2392" s="107">
        <v>4</v>
      </c>
      <c r="D2392" s="107">
        <v>1</v>
      </c>
      <c r="E2392" s="107" t="s">
        <v>325</v>
      </c>
      <c r="F2392" s="107" t="s">
        <v>326</v>
      </c>
      <c r="G2392" s="161">
        <v>45354</v>
      </c>
      <c r="H2392" s="107">
        <f t="shared" si="43"/>
        <v>5</v>
      </c>
    </row>
    <row r="2393" spans="1:8">
      <c r="A2393" s="107">
        <v>2</v>
      </c>
      <c r="B2393" s="107">
        <v>34</v>
      </c>
      <c r="C2393" s="107">
        <v>4</v>
      </c>
      <c r="D2393" s="107">
        <v>2</v>
      </c>
      <c r="E2393" s="107" t="s">
        <v>325</v>
      </c>
      <c r="F2393" s="107" t="s">
        <v>326</v>
      </c>
      <c r="G2393" s="161">
        <v>45353</v>
      </c>
      <c r="H2393" s="107">
        <f t="shared" si="43"/>
        <v>4</v>
      </c>
    </row>
    <row r="2394" spans="1:8">
      <c r="A2394" s="107">
        <v>2</v>
      </c>
      <c r="B2394" s="107">
        <v>34</v>
      </c>
      <c r="C2394" s="107">
        <v>4</v>
      </c>
      <c r="D2394" s="107">
        <v>3</v>
      </c>
      <c r="E2394" s="107" t="s">
        <v>325</v>
      </c>
      <c r="F2394" s="107" t="s">
        <v>326</v>
      </c>
      <c r="G2394" s="161">
        <v>45353</v>
      </c>
      <c r="H2394" s="107">
        <f t="shared" si="43"/>
        <v>4</v>
      </c>
    </row>
    <row r="2395" spans="1:8">
      <c r="A2395" s="107">
        <v>2</v>
      </c>
      <c r="B2395" s="107">
        <v>34</v>
      </c>
      <c r="C2395" s="107">
        <v>4</v>
      </c>
      <c r="D2395" s="107">
        <v>4</v>
      </c>
      <c r="E2395" s="107" t="s">
        <v>325</v>
      </c>
      <c r="F2395" s="107" t="s">
        <v>326</v>
      </c>
      <c r="G2395" s="161">
        <v>45354</v>
      </c>
      <c r="H2395" s="107">
        <f t="shared" si="43"/>
        <v>5</v>
      </c>
    </row>
    <row r="2396" spans="1:8">
      <c r="A2396" s="107">
        <v>2</v>
      </c>
      <c r="B2396" s="107">
        <v>34</v>
      </c>
      <c r="C2396" s="107">
        <v>5</v>
      </c>
      <c r="D2396" s="107">
        <v>1</v>
      </c>
      <c r="E2396" s="107" t="s">
        <v>700</v>
      </c>
      <c r="F2396" s="107" t="s">
        <v>701</v>
      </c>
      <c r="G2396" s="161">
        <v>45353</v>
      </c>
      <c r="H2396" s="107">
        <f t="shared" si="43"/>
        <v>4</v>
      </c>
    </row>
    <row r="2397" spans="1:8">
      <c r="A2397" s="107">
        <v>2</v>
      </c>
      <c r="B2397" s="107">
        <v>34</v>
      </c>
      <c r="C2397" s="107">
        <v>5</v>
      </c>
      <c r="D2397" s="107">
        <v>2</v>
      </c>
      <c r="E2397" s="107" t="s">
        <v>700</v>
      </c>
      <c r="F2397" s="107" t="s">
        <v>701</v>
      </c>
      <c r="G2397" s="161">
        <v>45353</v>
      </c>
      <c r="H2397" s="107">
        <f t="shared" si="43"/>
        <v>4</v>
      </c>
    </row>
    <row r="2398" spans="1:8">
      <c r="A2398" s="107">
        <v>2</v>
      </c>
      <c r="B2398" s="107">
        <v>34</v>
      </c>
      <c r="C2398" s="107">
        <v>5</v>
      </c>
      <c r="D2398" s="107">
        <v>3</v>
      </c>
      <c r="E2398" s="107" t="s">
        <v>700</v>
      </c>
      <c r="F2398" s="107" t="s">
        <v>701</v>
      </c>
      <c r="G2398" s="161">
        <v>45353</v>
      </c>
      <c r="H2398" s="107">
        <f t="shared" si="43"/>
        <v>4</v>
      </c>
    </row>
    <row r="2399" spans="1:8">
      <c r="A2399" s="107">
        <v>2</v>
      </c>
      <c r="B2399" s="107">
        <v>34</v>
      </c>
      <c r="C2399" s="107">
        <v>5</v>
      </c>
      <c r="D2399" s="107">
        <v>4</v>
      </c>
      <c r="E2399" s="107" t="s">
        <v>700</v>
      </c>
      <c r="F2399" s="107" t="s">
        <v>701</v>
      </c>
      <c r="G2399" s="161">
        <v>45353</v>
      </c>
      <c r="H2399" s="107">
        <f t="shared" si="43"/>
        <v>4</v>
      </c>
    </row>
    <row r="2400" spans="1:8">
      <c r="A2400" s="107">
        <v>2</v>
      </c>
      <c r="B2400" s="107">
        <v>34</v>
      </c>
      <c r="C2400" s="107">
        <v>6</v>
      </c>
      <c r="D2400" s="107">
        <v>1</v>
      </c>
      <c r="E2400" s="107" t="s">
        <v>471</v>
      </c>
      <c r="F2400" s="107" t="s">
        <v>472</v>
      </c>
      <c r="G2400" s="161">
        <v>45354</v>
      </c>
      <c r="H2400" s="107">
        <f t="shared" si="43"/>
        <v>5</v>
      </c>
    </row>
    <row r="2401" spans="1:8">
      <c r="A2401" s="107">
        <v>2</v>
      </c>
      <c r="B2401" s="107">
        <v>34</v>
      </c>
      <c r="C2401" s="107">
        <v>6</v>
      </c>
      <c r="D2401" s="107">
        <v>2</v>
      </c>
      <c r="E2401" s="107" t="s">
        <v>471</v>
      </c>
      <c r="F2401" s="107" t="s">
        <v>472</v>
      </c>
      <c r="G2401" s="161">
        <v>45354</v>
      </c>
      <c r="H2401" s="107">
        <f t="shared" si="43"/>
        <v>5</v>
      </c>
    </row>
    <row r="2402" spans="1:8">
      <c r="A2402" s="107">
        <v>2</v>
      </c>
      <c r="B2402" s="107">
        <v>34</v>
      </c>
      <c r="C2402" s="107">
        <v>6</v>
      </c>
      <c r="D2402" s="107">
        <v>3</v>
      </c>
      <c r="E2402" s="107" t="s">
        <v>471</v>
      </c>
      <c r="F2402" s="107" t="s">
        <v>472</v>
      </c>
      <c r="G2402" s="161">
        <v>45353</v>
      </c>
      <c r="H2402" s="107">
        <f t="shared" si="43"/>
        <v>4</v>
      </c>
    </row>
    <row r="2403" spans="1:8">
      <c r="A2403" s="107">
        <v>2</v>
      </c>
      <c r="B2403" s="107">
        <v>34</v>
      </c>
      <c r="C2403" s="107">
        <v>6</v>
      </c>
      <c r="D2403" s="107">
        <v>4</v>
      </c>
      <c r="E2403" s="107" t="s">
        <v>471</v>
      </c>
      <c r="F2403" s="107" t="s">
        <v>472</v>
      </c>
      <c r="G2403" s="161">
        <v>45353</v>
      </c>
      <c r="H2403" s="107">
        <f t="shared" si="43"/>
        <v>4</v>
      </c>
    </row>
    <row r="2404" spans="1:8">
      <c r="A2404" s="107">
        <v>2</v>
      </c>
      <c r="B2404" s="107">
        <v>34</v>
      </c>
      <c r="C2404" s="107">
        <v>7</v>
      </c>
      <c r="D2404" s="107">
        <v>1</v>
      </c>
      <c r="E2404" s="107" t="s">
        <v>411</v>
      </c>
      <c r="F2404" s="107" t="s">
        <v>412</v>
      </c>
      <c r="G2404" s="161">
        <v>45353</v>
      </c>
      <c r="H2404" s="107">
        <f t="shared" si="43"/>
        <v>4</v>
      </c>
    </row>
    <row r="2405" spans="1:8">
      <c r="A2405" s="107">
        <v>2</v>
      </c>
      <c r="B2405" s="107">
        <v>34</v>
      </c>
      <c r="C2405" s="107">
        <v>7</v>
      </c>
      <c r="D2405" s="107">
        <v>2</v>
      </c>
      <c r="E2405" s="107" t="s">
        <v>411</v>
      </c>
      <c r="F2405" s="107" t="s">
        <v>412</v>
      </c>
      <c r="G2405" s="161">
        <v>45354</v>
      </c>
      <c r="H2405" s="107">
        <f t="shared" si="43"/>
        <v>5</v>
      </c>
    </row>
    <row r="2406" spans="1:8">
      <c r="A2406" s="107">
        <v>2</v>
      </c>
      <c r="B2406" s="107">
        <v>34</v>
      </c>
      <c r="C2406" s="107">
        <v>7</v>
      </c>
      <c r="D2406" s="107">
        <v>3</v>
      </c>
      <c r="E2406" s="107" t="s">
        <v>411</v>
      </c>
      <c r="F2406" s="107" t="s">
        <v>412</v>
      </c>
      <c r="G2406" s="161">
        <v>45353</v>
      </c>
      <c r="H2406" s="107">
        <f t="shared" si="43"/>
        <v>4</v>
      </c>
    </row>
    <row r="2407" spans="1:8">
      <c r="A2407" s="107">
        <v>2</v>
      </c>
      <c r="B2407" s="107">
        <v>34</v>
      </c>
      <c r="C2407" s="107">
        <v>7</v>
      </c>
      <c r="D2407" s="107">
        <v>4</v>
      </c>
      <c r="E2407" s="107" t="s">
        <v>411</v>
      </c>
      <c r="F2407" s="107" t="s">
        <v>412</v>
      </c>
      <c r="G2407" s="161">
        <v>45353</v>
      </c>
      <c r="H2407" s="107">
        <f t="shared" si="43"/>
        <v>4</v>
      </c>
    </row>
    <row r="2408" spans="1:8">
      <c r="A2408" s="107">
        <v>2</v>
      </c>
      <c r="B2408" s="107">
        <v>34</v>
      </c>
      <c r="C2408" s="107">
        <v>8</v>
      </c>
      <c r="D2408" s="107">
        <v>1</v>
      </c>
      <c r="E2408" s="107" t="s">
        <v>610</v>
      </c>
      <c r="F2408" s="107" t="s">
        <v>611</v>
      </c>
      <c r="G2408" s="161">
        <v>45353</v>
      </c>
      <c r="H2408" s="107">
        <f t="shared" si="43"/>
        <v>4</v>
      </c>
    </row>
    <row r="2409" spans="1:8">
      <c r="A2409" s="107">
        <v>2</v>
      </c>
      <c r="B2409" s="107">
        <v>34</v>
      </c>
      <c r="C2409" s="107">
        <v>8</v>
      </c>
      <c r="D2409" s="107">
        <v>2</v>
      </c>
      <c r="E2409" s="107" t="s">
        <v>610</v>
      </c>
      <c r="F2409" s="107" t="s">
        <v>611</v>
      </c>
      <c r="G2409" s="161">
        <v>45353</v>
      </c>
      <c r="H2409" s="107">
        <f t="shared" si="43"/>
        <v>4</v>
      </c>
    </row>
    <row r="2410" spans="1:8">
      <c r="A2410" s="107">
        <v>2</v>
      </c>
      <c r="B2410" s="107">
        <v>34</v>
      </c>
      <c r="C2410" s="107">
        <v>8</v>
      </c>
      <c r="D2410" s="107">
        <v>3</v>
      </c>
      <c r="E2410" s="107" t="s">
        <v>610</v>
      </c>
      <c r="F2410" s="107" t="s">
        <v>611</v>
      </c>
      <c r="G2410" s="161">
        <v>45354</v>
      </c>
      <c r="H2410" s="107">
        <f t="shared" si="43"/>
        <v>5</v>
      </c>
    </row>
    <row r="2411" spans="1:8">
      <c r="A2411" s="107">
        <v>2</v>
      </c>
      <c r="B2411" s="107">
        <v>34</v>
      </c>
      <c r="C2411" s="107">
        <v>8</v>
      </c>
      <c r="D2411" s="107">
        <v>4</v>
      </c>
      <c r="E2411" s="107" t="s">
        <v>610</v>
      </c>
      <c r="F2411" s="107" t="s">
        <v>611</v>
      </c>
      <c r="G2411" s="161">
        <v>45354</v>
      </c>
      <c r="H2411" s="107">
        <f t="shared" si="43"/>
        <v>5</v>
      </c>
    </row>
    <row r="2412" spans="1:8">
      <c r="A2412" s="107">
        <v>2</v>
      </c>
      <c r="B2412" s="107">
        <v>34</v>
      </c>
      <c r="C2412" s="107">
        <v>9</v>
      </c>
      <c r="D2412" s="107">
        <v>1</v>
      </c>
      <c r="E2412" s="107" t="s">
        <v>524</v>
      </c>
      <c r="F2412" s="107" t="s">
        <v>503</v>
      </c>
      <c r="G2412" s="161">
        <v>45354</v>
      </c>
      <c r="H2412" s="107">
        <f t="shared" si="43"/>
        <v>5</v>
      </c>
    </row>
    <row r="2413" spans="1:8">
      <c r="A2413" s="107">
        <v>2</v>
      </c>
      <c r="B2413" s="107">
        <v>34</v>
      </c>
      <c r="C2413" s="107">
        <v>9</v>
      </c>
      <c r="D2413" s="107">
        <v>2</v>
      </c>
      <c r="E2413" s="107" t="s">
        <v>524</v>
      </c>
      <c r="F2413" s="107" t="s">
        <v>503</v>
      </c>
      <c r="G2413" s="161">
        <v>45354</v>
      </c>
      <c r="H2413" s="107">
        <f t="shared" si="43"/>
        <v>5</v>
      </c>
    </row>
    <row r="2414" spans="1:8">
      <c r="A2414" s="107">
        <v>2</v>
      </c>
      <c r="B2414" s="107">
        <v>34</v>
      </c>
      <c r="C2414" s="107">
        <v>9</v>
      </c>
      <c r="D2414" s="107">
        <v>3</v>
      </c>
      <c r="E2414" s="107" t="s">
        <v>524</v>
      </c>
      <c r="F2414" s="107" t="s">
        <v>503</v>
      </c>
      <c r="G2414" s="161">
        <v>45354</v>
      </c>
      <c r="H2414" s="107">
        <f t="shared" si="43"/>
        <v>5</v>
      </c>
    </row>
    <row r="2415" spans="1:8">
      <c r="A2415" s="107">
        <v>2</v>
      </c>
      <c r="B2415" s="107">
        <v>34</v>
      </c>
      <c r="C2415" s="107">
        <v>9</v>
      </c>
      <c r="D2415" s="107">
        <v>4</v>
      </c>
      <c r="E2415" s="107" t="s">
        <v>524</v>
      </c>
      <c r="F2415" s="107" t="s">
        <v>503</v>
      </c>
      <c r="G2415" s="161">
        <v>45353</v>
      </c>
      <c r="H2415" s="107">
        <f t="shared" si="43"/>
        <v>4</v>
      </c>
    </row>
    <row r="2416" spans="1:8">
      <c r="A2416" s="107">
        <v>2</v>
      </c>
      <c r="B2416" s="107">
        <v>34</v>
      </c>
      <c r="C2416" s="107">
        <v>10</v>
      </c>
      <c r="D2416" s="107">
        <v>1</v>
      </c>
      <c r="E2416" s="107" t="s">
        <v>733</v>
      </c>
      <c r="F2416" s="107" t="s">
        <v>734</v>
      </c>
      <c r="G2416" s="161">
        <v>45353</v>
      </c>
      <c r="H2416" s="107">
        <f t="shared" si="43"/>
        <v>4</v>
      </c>
    </row>
    <row r="2417" spans="1:8">
      <c r="A2417" s="107">
        <v>2</v>
      </c>
      <c r="B2417" s="107">
        <v>34</v>
      </c>
      <c r="C2417" s="107">
        <v>10</v>
      </c>
      <c r="D2417" s="107">
        <v>2</v>
      </c>
      <c r="E2417" s="107" t="s">
        <v>733</v>
      </c>
      <c r="F2417" s="107" t="s">
        <v>734</v>
      </c>
      <c r="G2417" s="161">
        <v>45353</v>
      </c>
      <c r="H2417" s="107">
        <f t="shared" si="43"/>
        <v>4</v>
      </c>
    </row>
    <row r="2418" spans="1:8">
      <c r="A2418" s="107">
        <v>2</v>
      </c>
      <c r="B2418" s="107">
        <v>34</v>
      </c>
      <c r="C2418" s="107">
        <v>10</v>
      </c>
      <c r="D2418" s="107">
        <v>3</v>
      </c>
      <c r="E2418" s="107" t="s">
        <v>733</v>
      </c>
      <c r="F2418" s="107" t="s">
        <v>734</v>
      </c>
      <c r="G2418" s="161">
        <v>45353</v>
      </c>
      <c r="H2418" s="107">
        <f t="shared" si="43"/>
        <v>4</v>
      </c>
    </row>
    <row r="2419" spans="1:8">
      <c r="A2419" s="107">
        <v>2</v>
      </c>
      <c r="B2419" s="107">
        <v>34</v>
      </c>
      <c r="C2419" s="107">
        <v>10</v>
      </c>
      <c r="D2419" s="107">
        <v>4</v>
      </c>
      <c r="E2419" s="107" t="s">
        <v>733</v>
      </c>
      <c r="F2419" s="107" t="s">
        <v>734</v>
      </c>
      <c r="G2419" s="161">
        <v>45353</v>
      </c>
      <c r="H2419" s="107">
        <f t="shared" si="43"/>
        <v>4</v>
      </c>
    </row>
    <row r="2420" spans="1:8">
      <c r="A2420" s="107">
        <v>2</v>
      </c>
      <c r="B2420" s="107">
        <v>34</v>
      </c>
      <c r="C2420" s="107">
        <v>11</v>
      </c>
      <c r="D2420" s="107">
        <v>1</v>
      </c>
      <c r="E2420" s="107" t="s">
        <v>347</v>
      </c>
      <c r="F2420" s="107" t="s">
        <v>348</v>
      </c>
      <c r="G2420" s="161">
        <v>45353</v>
      </c>
      <c r="H2420" s="107">
        <f t="shared" si="43"/>
        <v>4</v>
      </c>
    </row>
    <row r="2421" spans="1:8">
      <c r="A2421" s="107">
        <v>2</v>
      </c>
      <c r="B2421" s="107">
        <v>34</v>
      </c>
      <c r="C2421" s="107">
        <v>11</v>
      </c>
      <c r="D2421" s="107">
        <v>2</v>
      </c>
      <c r="E2421" s="107" t="s">
        <v>347</v>
      </c>
      <c r="F2421" s="107" t="s">
        <v>348</v>
      </c>
      <c r="G2421" s="161">
        <v>45353</v>
      </c>
      <c r="H2421" s="107">
        <f t="shared" si="43"/>
        <v>4</v>
      </c>
    </row>
    <row r="2422" spans="1:8">
      <c r="A2422" s="107">
        <v>2</v>
      </c>
      <c r="B2422" s="107">
        <v>34</v>
      </c>
      <c r="C2422" s="107">
        <v>11</v>
      </c>
      <c r="D2422" s="107">
        <v>3</v>
      </c>
      <c r="E2422" s="107" t="s">
        <v>347</v>
      </c>
      <c r="F2422" s="107" t="s">
        <v>348</v>
      </c>
      <c r="G2422" s="161">
        <v>45353</v>
      </c>
      <c r="H2422" s="107">
        <f t="shared" si="43"/>
        <v>4</v>
      </c>
    </row>
    <row r="2423" spans="1:8">
      <c r="A2423" s="107">
        <v>2</v>
      </c>
      <c r="B2423" s="107">
        <v>34</v>
      </c>
      <c r="C2423" s="107">
        <v>11</v>
      </c>
      <c r="D2423" s="107">
        <v>4</v>
      </c>
      <c r="E2423" s="107" t="s">
        <v>347</v>
      </c>
      <c r="F2423" s="107" t="s">
        <v>348</v>
      </c>
      <c r="G2423" s="161">
        <v>45353</v>
      </c>
      <c r="H2423" s="107">
        <f t="shared" si="43"/>
        <v>4</v>
      </c>
    </row>
    <row r="2424" spans="1:8">
      <c r="A2424" s="107">
        <v>2</v>
      </c>
      <c r="B2424" s="107">
        <v>34</v>
      </c>
      <c r="C2424" s="107">
        <v>12</v>
      </c>
      <c r="D2424" s="107">
        <v>1</v>
      </c>
      <c r="E2424" s="107" t="s">
        <v>150</v>
      </c>
      <c r="F2424" s="107" t="s">
        <v>151</v>
      </c>
      <c r="G2424" s="161">
        <v>45353</v>
      </c>
      <c r="H2424" s="107">
        <f t="shared" si="43"/>
        <v>4</v>
      </c>
    </row>
    <row r="2425" spans="1:8">
      <c r="A2425" s="107">
        <v>2</v>
      </c>
      <c r="B2425" s="107">
        <v>34</v>
      </c>
      <c r="C2425" s="107">
        <v>12</v>
      </c>
      <c r="D2425" s="107">
        <v>2</v>
      </c>
      <c r="E2425" s="107" t="s">
        <v>150</v>
      </c>
      <c r="F2425" s="107" t="s">
        <v>151</v>
      </c>
      <c r="G2425" s="161">
        <v>45353</v>
      </c>
      <c r="H2425" s="107">
        <f t="shared" si="43"/>
        <v>4</v>
      </c>
    </row>
    <row r="2426" spans="1:8">
      <c r="A2426" s="107">
        <v>2</v>
      </c>
      <c r="B2426" s="107">
        <v>34</v>
      </c>
      <c r="C2426" s="107">
        <v>12</v>
      </c>
      <c r="D2426" s="107">
        <v>3</v>
      </c>
      <c r="E2426" s="107" t="s">
        <v>150</v>
      </c>
      <c r="F2426" s="107" t="s">
        <v>151</v>
      </c>
      <c r="G2426" s="161">
        <v>45353</v>
      </c>
      <c r="H2426" s="107">
        <f t="shared" si="43"/>
        <v>4</v>
      </c>
    </row>
    <row r="2427" spans="1:8">
      <c r="A2427" s="107">
        <v>2</v>
      </c>
      <c r="B2427" s="107">
        <v>34</v>
      </c>
      <c r="C2427" s="107">
        <v>12</v>
      </c>
      <c r="D2427" s="107">
        <v>4</v>
      </c>
      <c r="E2427" s="107" t="s">
        <v>150</v>
      </c>
      <c r="F2427" s="107" t="s">
        <v>151</v>
      </c>
      <c r="G2427" s="161">
        <v>45354</v>
      </c>
      <c r="H2427" s="107">
        <f t="shared" si="43"/>
        <v>5</v>
      </c>
    </row>
    <row r="2428" spans="1:8">
      <c r="A2428" s="107">
        <v>2</v>
      </c>
      <c r="B2428" s="107">
        <v>34</v>
      </c>
      <c r="C2428" s="107">
        <v>13</v>
      </c>
      <c r="D2428" s="107">
        <v>1</v>
      </c>
      <c r="E2428" s="107" t="s">
        <v>502</v>
      </c>
      <c r="F2428" s="107" t="s">
        <v>503</v>
      </c>
      <c r="G2428" s="161">
        <v>45353</v>
      </c>
      <c r="H2428" s="107">
        <f t="shared" si="43"/>
        <v>4</v>
      </c>
    </row>
    <row r="2429" spans="1:8">
      <c r="A2429" s="107">
        <v>2</v>
      </c>
      <c r="B2429" s="107">
        <v>34</v>
      </c>
      <c r="C2429" s="107">
        <v>13</v>
      </c>
      <c r="D2429" s="107">
        <v>2</v>
      </c>
      <c r="E2429" s="107" t="s">
        <v>502</v>
      </c>
      <c r="F2429" s="107" t="s">
        <v>503</v>
      </c>
      <c r="G2429" s="161">
        <v>45353</v>
      </c>
      <c r="H2429" s="107">
        <f t="shared" si="43"/>
        <v>4</v>
      </c>
    </row>
    <row r="2430" spans="1:8">
      <c r="A2430" s="107">
        <v>2</v>
      </c>
      <c r="B2430" s="107">
        <v>34</v>
      </c>
      <c r="C2430" s="107">
        <v>13</v>
      </c>
      <c r="D2430" s="107">
        <v>3</v>
      </c>
      <c r="E2430" s="107" t="s">
        <v>502</v>
      </c>
      <c r="F2430" s="107" t="s">
        <v>503</v>
      </c>
      <c r="G2430" s="161">
        <v>45353</v>
      </c>
      <c r="H2430" s="107">
        <f t="shared" si="43"/>
        <v>4</v>
      </c>
    </row>
    <row r="2431" spans="1:8">
      <c r="A2431" s="107">
        <v>2</v>
      </c>
      <c r="B2431" s="107">
        <v>34</v>
      </c>
      <c r="C2431" s="107">
        <v>13</v>
      </c>
      <c r="D2431" s="107">
        <v>4</v>
      </c>
      <c r="E2431" s="107" t="s">
        <v>502</v>
      </c>
      <c r="F2431" s="107" t="s">
        <v>503</v>
      </c>
      <c r="G2431" s="161">
        <v>45353</v>
      </c>
      <c r="H2431" s="107">
        <f t="shared" si="43"/>
        <v>4</v>
      </c>
    </row>
    <row r="2432" spans="1:8">
      <c r="A2432" s="107">
        <v>2</v>
      </c>
      <c r="B2432" s="107">
        <v>34</v>
      </c>
      <c r="C2432" s="107">
        <v>14</v>
      </c>
      <c r="D2432" s="107">
        <v>1</v>
      </c>
      <c r="E2432" s="107" t="s">
        <v>188</v>
      </c>
      <c r="F2432" s="107" t="s">
        <v>189</v>
      </c>
      <c r="G2432" s="161">
        <v>45353</v>
      </c>
      <c r="H2432" s="107">
        <f t="shared" si="43"/>
        <v>4</v>
      </c>
    </row>
    <row r="2433" spans="1:8">
      <c r="A2433" s="107">
        <v>2</v>
      </c>
      <c r="B2433" s="107">
        <v>34</v>
      </c>
      <c r="C2433" s="107">
        <v>14</v>
      </c>
      <c r="D2433" s="107">
        <v>2</v>
      </c>
      <c r="E2433" s="107" t="s">
        <v>188</v>
      </c>
      <c r="F2433" s="107" t="s">
        <v>189</v>
      </c>
      <c r="G2433" s="161">
        <v>45353</v>
      </c>
      <c r="H2433" s="107">
        <f t="shared" si="43"/>
        <v>4</v>
      </c>
    </row>
    <row r="2434" spans="1:8">
      <c r="A2434" s="107">
        <v>2</v>
      </c>
      <c r="B2434" s="107">
        <v>34</v>
      </c>
      <c r="C2434" s="107">
        <v>14</v>
      </c>
      <c r="D2434" s="107">
        <v>3</v>
      </c>
      <c r="E2434" s="107" t="s">
        <v>188</v>
      </c>
      <c r="F2434" s="107" t="s">
        <v>189</v>
      </c>
      <c r="G2434" s="161">
        <v>45354</v>
      </c>
      <c r="H2434" s="107">
        <f t="shared" si="43"/>
        <v>5</v>
      </c>
    </row>
    <row r="2435" spans="1:8">
      <c r="A2435" s="107">
        <v>2</v>
      </c>
      <c r="B2435" s="107">
        <v>34</v>
      </c>
      <c r="C2435" s="107">
        <v>14</v>
      </c>
      <c r="D2435" s="107">
        <v>4</v>
      </c>
      <c r="E2435" s="107" t="s">
        <v>188</v>
      </c>
      <c r="F2435" s="107" t="s">
        <v>189</v>
      </c>
      <c r="G2435" s="161">
        <v>45353</v>
      </c>
      <c r="H2435" s="107">
        <f t="shared" si="43"/>
        <v>4</v>
      </c>
    </row>
    <row r="2436" spans="1:8">
      <c r="A2436" s="107">
        <v>2</v>
      </c>
      <c r="B2436" s="107">
        <v>34</v>
      </c>
      <c r="C2436" s="107">
        <v>15</v>
      </c>
      <c r="D2436" s="107">
        <v>1</v>
      </c>
      <c r="E2436" s="107" t="s">
        <v>606</v>
      </c>
      <c r="F2436" s="107" t="s">
        <v>607</v>
      </c>
      <c r="G2436" s="161">
        <v>45353</v>
      </c>
      <c r="H2436" s="107">
        <f t="shared" si="43"/>
        <v>4</v>
      </c>
    </row>
    <row r="2437" spans="1:8">
      <c r="A2437" s="107">
        <v>2</v>
      </c>
      <c r="B2437" s="107">
        <v>34</v>
      </c>
      <c r="C2437" s="107">
        <v>15</v>
      </c>
      <c r="D2437" s="107">
        <v>2</v>
      </c>
      <c r="E2437" s="107" t="s">
        <v>606</v>
      </c>
      <c r="F2437" s="107" t="s">
        <v>607</v>
      </c>
      <c r="G2437" s="161">
        <v>45353</v>
      </c>
      <c r="H2437" s="107">
        <f t="shared" ref="H2437:H2499" si="44">DATEDIF($H$2,G2437,"d")</f>
        <v>4</v>
      </c>
    </row>
    <row r="2438" spans="1:8">
      <c r="A2438" s="107">
        <v>2</v>
      </c>
      <c r="B2438" s="107">
        <v>34</v>
      </c>
      <c r="C2438" s="107">
        <v>15</v>
      </c>
      <c r="D2438" s="107">
        <v>3</v>
      </c>
      <c r="E2438" s="107" t="s">
        <v>606</v>
      </c>
      <c r="F2438" s="107" t="s">
        <v>607</v>
      </c>
      <c r="G2438" s="161">
        <v>45354</v>
      </c>
      <c r="H2438" s="107">
        <f t="shared" si="44"/>
        <v>5</v>
      </c>
    </row>
    <row r="2439" spans="1:8">
      <c r="A2439" s="107">
        <v>2</v>
      </c>
      <c r="B2439" s="107">
        <v>34</v>
      </c>
      <c r="C2439" s="107">
        <v>15</v>
      </c>
      <c r="D2439" s="107">
        <v>4</v>
      </c>
      <c r="E2439" s="107" t="s">
        <v>606</v>
      </c>
      <c r="F2439" s="107" t="s">
        <v>607</v>
      </c>
      <c r="G2439" s="161">
        <v>45353</v>
      </c>
      <c r="H2439" s="107">
        <f t="shared" si="44"/>
        <v>4</v>
      </c>
    </row>
    <row r="2440" spans="1:8">
      <c r="A2440" s="107">
        <v>2</v>
      </c>
      <c r="B2440" s="107">
        <v>34</v>
      </c>
      <c r="C2440" s="107">
        <v>16</v>
      </c>
      <c r="D2440" s="107">
        <v>1</v>
      </c>
      <c r="E2440" s="107" t="s">
        <v>303</v>
      </c>
      <c r="F2440" s="107" t="s">
        <v>304</v>
      </c>
      <c r="G2440" s="161">
        <v>45354</v>
      </c>
      <c r="H2440" s="107">
        <f t="shared" si="44"/>
        <v>5</v>
      </c>
    </row>
    <row r="2441" spans="1:8">
      <c r="A2441" s="107">
        <v>2</v>
      </c>
      <c r="B2441" s="107">
        <v>34</v>
      </c>
      <c r="C2441" s="107">
        <v>16</v>
      </c>
      <c r="D2441" s="107">
        <v>2</v>
      </c>
      <c r="E2441" s="107" t="s">
        <v>303</v>
      </c>
      <c r="F2441" s="107" t="s">
        <v>304</v>
      </c>
      <c r="G2441" s="161">
        <v>45353</v>
      </c>
      <c r="H2441" s="107">
        <f t="shared" si="44"/>
        <v>4</v>
      </c>
    </row>
    <row r="2442" spans="1:8">
      <c r="A2442" s="107">
        <v>2</v>
      </c>
      <c r="B2442" s="107">
        <v>34</v>
      </c>
      <c r="C2442" s="107">
        <v>16</v>
      </c>
      <c r="D2442" s="107">
        <v>3</v>
      </c>
      <c r="E2442" s="107" t="s">
        <v>303</v>
      </c>
      <c r="F2442" s="107" t="s">
        <v>304</v>
      </c>
      <c r="G2442" s="161">
        <v>45353</v>
      </c>
      <c r="H2442" s="107">
        <f t="shared" si="44"/>
        <v>4</v>
      </c>
    </row>
    <row r="2443" spans="1:8">
      <c r="A2443" s="107">
        <v>2</v>
      </c>
      <c r="B2443" s="107">
        <v>34</v>
      </c>
      <c r="C2443" s="107">
        <v>16</v>
      </c>
      <c r="D2443" s="107">
        <v>4</v>
      </c>
      <c r="E2443" s="107" t="s">
        <v>303</v>
      </c>
      <c r="F2443" s="107" t="s">
        <v>304</v>
      </c>
      <c r="G2443" s="161">
        <v>45353</v>
      </c>
      <c r="H2443" s="107">
        <f t="shared" si="44"/>
        <v>4</v>
      </c>
    </row>
    <row r="2444" spans="1:8">
      <c r="A2444" s="107">
        <v>2</v>
      </c>
      <c r="B2444" s="107">
        <v>34</v>
      </c>
      <c r="C2444" s="107">
        <v>17</v>
      </c>
      <c r="D2444" s="107">
        <v>1</v>
      </c>
      <c r="E2444" s="107" t="s">
        <v>210</v>
      </c>
      <c r="F2444" s="107" t="s">
        <v>211</v>
      </c>
      <c r="G2444" s="161">
        <v>45355</v>
      </c>
      <c r="H2444" s="107">
        <f t="shared" si="44"/>
        <v>6</v>
      </c>
    </row>
    <row r="2445" spans="1:8">
      <c r="A2445" s="107">
        <v>2</v>
      </c>
      <c r="B2445" s="107">
        <v>34</v>
      </c>
      <c r="C2445" s="107">
        <v>17</v>
      </c>
      <c r="D2445" s="107">
        <v>2</v>
      </c>
      <c r="E2445" s="107" t="s">
        <v>210</v>
      </c>
      <c r="F2445" s="107" t="s">
        <v>211</v>
      </c>
      <c r="G2445" s="161">
        <v>45354</v>
      </c>
      <c r="H2445" s="107">
        <f t="shared" si="44"/>
        <v>5</v>
      </c>
    </row>
    <row r="2446" spans="1:8">
      <c r="A2446" s="107">
        <v>2</v>
      </c>
      <c r="B2446" s="107">
        <v>34</v>
      </c>
      <c r="C2446" s="107">
        <v>17</v>
      </c>
      <c r="D2446" s="107">
        <v>3</v>
      </c>
      <c r="E2446" s="107" t="s">
        <v>210</v>
      </c>
      <c r="F2446" s="107" t="s">
        <v>211</v>
      </c>
      <c r="G2446" s="161">
        <v>45355</v>
      </c>
      <c r="H2446" s="107">
        <f t="shared" si="44"/>
        <v>6</v>
      </c>
    </row>
    <row r="2447" spans="1:8">
      <c r="A2447" s="107">
        <v>2</v>
      </c>
      <c r="B2447" s="107">
        <v>34</v>
      </c>
      <c r="C2447" s="107">
        <v>17</v>
      </c>
      <c r="D2447" s="107">
        <v>4</v>
      </c>
      <c r="E2447" s="107" t="s">
        <v>210</v>
      </c>
      <c r="F2447" s="107" t="s">
        <v>211</v>
      </c>
      <c r="G2447" s="161">
        <v>45358</v>
      </c>
      <c r="H2447" s="107">
        <f t="shared" si="44"/>
        <v>9</v>
      </c>
    </row>
    <row r="2448" spans="1:8">
      <c r="A2448" s="107">
        <v>2</v>
      </c>
      <c r="B2448" s="107">
        <v>34</v>
      </c>
      <c r="C2448" s="107">
        <v>18</v>
      </c>
      <c r="D2448" s="107">
        <v>1</v>
      </c>
      <c r="E2448" s="107" t="s">
        <v>443</v>
      </c>
      <c r="F2448" s="107" t="s">
        <v>444</v>
      </c>
      <c r="G2448" s="161">
        <v>45354</v>
      </c>
      <c r="H2448" s="107">
        <f t="shared" si="44"/>
        <v>5</v>
      </c>
    </row>
    <row r="2449" spans="1:8">
      <c r="A2449" s="107">
        <v>2</v>
      </c>
      <c r="B2449" s="107">
        <v>34</v>
      </c>
      <c r="C2449" s="107">
        <v>18</v>
      </c>
      <c r="D2449" s="107">
        <v>2</v>
      </c>
      <c r="E2449" s="107" t="s">
        <v>443</v>
      </c>
      <c r="F2449" s="107" t="s">
        <v>444</v>
      </c>
      <c r="G2449" s="161">
        <v>45354</v>
      </c>
      <c r="H2449" s="107">
        <f t="shared" si="44"/>
        <v>5</v>
      </c>
    </row>
    <row r="2450" spans="1:8">
      <c r="A2450" s="107">
        <v>2</v>
      </c>
      <c r="B2450" s="107">
        <v>34</v>
      </c>
      <c r="C2450" s="107">
        <v>18</v>
      </c>
      <c r="D2450" s="107">
        <v>3</v>
      </c>
      <c r="E2450" s="107" t="s">
        <v>443</v>
      </c>
      <c r="F2450" s="107" t="s">
        <v>444</v>
      </c>
      <c r="G2450" s="161">
        <v>45355</v>
      </c>
      <c r="H2450" s="107">
        <f t="shared" si="44"/>
        <v>6</v>
      </c>
    </row>
    <row r="2451" spans="1:8">
      <c r="A2451" s="107">
        <v>2</v>
      </c>
      <c r="B2451" s="107">
        <v>34</v>
      </c>
      <c r="C2451" s="107">
        <v>18</v>
      </c>
      <c r="D2451" s="107">
        <v>4</v>
      </c>
      <c r="E2451" s="107" t="s">
        <v>443</v>
      </c>
      <c r="F2451" s="107" t="s">
        <v>444</v>
      </c>
      <c r="G2451" s="161">
        <v>45354</v>
      </c>
      <c r="H2451" s="107">
        <f t="shared" si="44"/>
        <v>5</v>
      </c>
    </row>
    <row r="2452" spans="1:8">
      <c r="A2452" s="107">
        <v>2</v>
      </c>
      <c r="B2452" s="107">
        <v>35</v>
      </c>
      <c r="C2452" s="107">
        <v>1</v>
      </c>
      <c r="D2452" s="107">
        <v>1</v>
      </c>
      <c r="E2452" s="107" t="s">
        <v>337</v>
      </c>
      <c r="F2452" s="107" t="s">
        <v>338</v>
      </c>
      <c r="G2452" s="161">
        <v>45353</v>
      </c>
      <c r="H2452" s="107">
        <f t="shared" si="44"/>
        <v>4</v>
      </c>
    </row>
    <row r="2453" spans="1:8">
      <c r="A2453" s="107">
        <v>2</v>
      </c>
      <c r="B2453" s="107">
        <v>35</v>
      </c>
      <c r="C2453" s="107">
        <v>1</v>
      </c>
      <c r="D2453" s="107">
        <v>2</v>
      </c>
      <c r="E2453" s="107" t="s">
        <v>337</v>
      </c>
      <c r="F2453" s="107" t="s">
        <v>338</v>
      </c>
      <c r="G2453" s="161">
        <v>45353</v>
      </c>
      <c r="H2453" s="107">
        <f t="shared" si="44"/>
        <v>4</v>
      </c>
    </row>
    <row r="2454" spans="1:8">
      <c r="A2454" s="107">
        <v>2</v>
      </c>
      <c r="B2454" s="107">
        <v>35</v>
      </c>
      <c r="C2454" s="107">
        <v>1</v>
      </c>
      <c r="D2454" s="107">
        <v>3</v>
      </c>
      <c r="E2454" s="107" t="s">
        <v>337</v>
      </c>
      <c r="F2454" s="107" t="s">
        <v>338</v>
      </c>
      <c r="G2454" s="161">
        <v>45354</v>
      </c>
      <c r="H2454" s="107">
        <f t="shared" si="44"/>
        <v>5</v>
      </c>
    </row>
    <row r="2455" spans="1:8">
      <c r="A2455" s="107">
        <v>2</v>
      </c>
      <c r="B2455" s="107">
        <v>35</v>
      </c>
      <c r="C2455" s="107">
        <v>1</v>
      </c>
      <c r="D2455" s="107">
        <v>4</v>
      </c>
      <c r="E2455" s="107" t="s">
        <v>337</v>
      </c>
      <c r="F2455" s="107" t="s">
        <v>338</v>
      </c>
      <c r="G2455" s="161">
        <v>45355</v>
      </c>
      <c r="H2455" s="107">
        <f t="shared" si="44"/>
        <v>6</v>
      </c>
    </row>
    <row r="2456" spans="1:8">
      <c r="A2456" s="107">
        <v>2</v>
      </c>
      <c r="B2456" s="107">
        <v>35</v>
      </c>
      <c r="C2456" s="107">
        <v>2</v>
      </c>
      <c r="D2456" s="107">
        <v>1</v>
      </c>
      <c r="E2456" s="107" t="s">
        <v>548</v>
      </c>
      <c r="F2456" s="107" t="s">
        <v>549</v>
      </c>
      <c r="G2456" s="161">
        <v>45354</v>
      </c>
      <c r="H2456" s="107">
        <f t="shared" si="44"/>
        <v>5</v>
      </c>
    </row>
    <row r="2457" spans="1:8">
      <c r="A2457" s="107">
        <v>2</v>
      </c>
      <c r="B2457" s="107">
        <v>35</v>
      </c>
      <c r="C2457" s="107">
        <v>2</v>
      </c>
      <c r="D2457" s="107">
        <v>2</v>
      </c>
      <c r="E2457" s="107" t="s">
        <v>548</v>
      </c>
      <c r="F2457" s="107" t="s">
        <v>549</v>
      </c>
      <c r="G2457" s="161">
        <v>45354</v>
      </c>
      <c r="H2457" s="107">
        <f t="shared" si="44"/>
        <v>5</v>
      </c>
    </row>
    <row r="2458" spans="1:8">
      <c r="A2458" s="107">
        <v>2</v>
      </c>
      <c r="B2458" s="107">
        <v>35</v>
      </c>
      <c r="C2458" s="107">
        <v>2</v>
      </c>
      <c r="D2458" s="107">
        <v>3</v>
      </c>
      <c r="E2458" s="107" t="s">
        <v>548</v>
      </c>
      <c r="F2458" s="107" t="s">
        <v>549</v>
      </c>
      <c r="G2458" s="161">
        <v>45354</v>
      </c>
      <c r="H2458" s="107">
        <f t="shared" si="44"/>
        <v>5</v>
      </c>
    </row>
    <row r="2459" spans="1:8">
      <c r="A2459" s="107">
        <v>2</v>
      </c>
      <c r="B2459" s="107">
        <v>35</v>
      </c>
      <c r="C2459" s="107">
        <v>2</v>
      </c>
      <c r="D2459" s="107">
        <v>4</v>
      </c>
      <c r="E2459" s="107" t="s">
        <v>548</v>
      </c>
      <c r="F2459" s="107" t="s">
        <v>549</v>
      </c>
      <c r="G2459" s="161">
        <v>45354</v>
      </c>
      <c r="H2459" s="107">
        <f t="shared" si="44"/>
        <v>5</v>
      </c>
    </row>
    <row r="2460" spans="1:8">
      <c r="A2460" s="107">
        <v>2</v>
      </c>
      <c r="B2460" s="107">
        <v>35</v>
      </c>
      <c r="C2460" s="107">
        <v>3</v>
      </c>
      <c r="D2460" s="107">
        <v>1</v>
      </c>
      <c r="E2460" s="107" t="s">
        <v>508</v>
      </c>
      <c r="F2460" s="107" t="s">
        <v>509</v>
      </c>
      <c r="G2460" s="161">
        <v>45355</v>
      </c>
      <c r="H2460" s="107">
        <f t="shared" si="44"/>
        <v>6</v>
      </c>
    </row>
    <row r="2461" spans="1:8">
      <c r="A2461" s="107">
        <v>2</v>
      </c>
      <c r="B2461" s="107">
        <v>35</v>
      </c>
      <c r="C2461" s="107">
        <v>3</v>
      </c>
      <c r="D2461" s="107">
        <v>2</v>
      </c>
      <c r="E2461" s="107" t="s">
        <v>508</v>
      </c>
      <c r="F2461" s="107" t="s">
        <v>509</v>
      </c>
      <c r="G2461" s="161">
        <v>45354</v>
      </c>
      <c r="H2461" s="107">
        <f t="shared" si="44"/>
        <v>5</v>
      </c>
    </row>
    <row r="2462" spans="1:8">
      <c r="A2462" s="107">
        <v>2</v>
      </c>
      <c r="B2462" s="107">
        <v>35</v>
      </c>
      <c r="C2462" s="107">
        <v>3</v>
      </c>
      <c r="D2462" s="107">
        <v>3</v>
      </c>
      <c r="E2462" s="107" t="s">
        <v>508</v>
      </c>
      <c r="F2462" s="107" t="s">
        <v>509</v>
      </c>
      <c r="G2462" s="161">
        <v>45354</v>
      </c>
      <c r="H2462" s="107">
        <f t="shared" si="44"/>
        <v>5</v>
      </c>
    </row>
    <row r="2463" spans="1:8">
      <c r="A2463" s="107">
        <v>2</v>
      </c>
      <c r="B2463" s="107">
        <v>35</v>
      </c>
      <c r="C2463" s="107">
        <v>3</v>
      </c>
      <c r="D2463" s="107">
        <v>4</v>
      </c>
      <c r="E2463" s="107" t="s">
        <v>508</v>
      </c>
      <c r="F2463" s="107" t="s">
        <v>509</v>
      </c>
      <c r="G2463" s="161">
        <v>45354</v>
      </c>
      <c r="H2463" s="107">
        <f t="shared" si="44"/>
        <v>5</v>
      </c>
    </row>
    <row r="2464" spans="1:8">
      <c r="A2464" s="107">
        <v>2</v>
      </c>
      <c r="B2464" s="107">
        <v>35</v>
      </c>
      <c r="C2464" s="107">
        <v>4</v>
      </c>
      <c r="D2464" s="107">
        <v>1</v>
      </c>
      <c r="E2464" s="107" t="s">
        <v>479</v>
      </c>
      <c r="F2464" s="107" t="s">
        <v>480</v>
      </c>
      <c r="G2464" s="161">
        <v>45357</v>
      </c>
      <c r="H2464" s="107">
        <f t="shared" si="44"/>
        <v>8</v>
      </c>
    </row>
    <row r="2465" spans="1:8">
      <c r="A2465" s="107">
        <v>2</v>
      </c>
      <c r="B2465" s="107">
        <v>35</v>
      </c>
      <c r="C2465" s="107">
        <v>4</v>
      </c>
      <c r="D2465" s="107">
        <v>2</v>
      </c>
      <c r="E2465" s="107" t="s">
        <v>479</v>
      </c>
      <c r="F2465" s="107" t="s">
        <v>480</v>
      </c>
      <c r="G2465" s="161">
        <v>45354</v>
      </c>
      <c r="H2465" s="107">
        <f t="shared" si="44"/>
        <v>5</v>
      </c>
    </row>
    <row r="2466" spans="1:8">
      <c r="A2466" s="107">
        <v>2</v>
      </c>
      <c r="B2466" s="107">
        <v>35</v>
      </c>
      <c r="C2466" s="107">
        <v>4</v>
      </c>
      <c r="D2466" s="107">
        <v>3</v>
      </c>
      <c r="E2466" s="107" t="s">
        <v>479</v>
      </c>
      <c r="F2466" s="107" t="s">
        <v>480</v>
      </c>
      <c r="G2466" s="161">
        <v>45355</v>
      </c>
      <c r="H2466" s="107">
        <f t="shared" si="44"/>
        <v>6</v>
      </c>
    </row>
    <row r="2467" spans="1:8">
      <c r="A2467" s="107">
        <v>2</v>
      </c>
      <c r="B2467" s="107">
        <v>35</v>
      </c>
      <c r="C2467" s="107">
        <v>4</v>
      </c>
      <c r="D2467" s="107">
        <v>4</v>
      </c>
      <c r="E2467" s="107" t="s">
        <v>479</v>
      </c>
      <c r="F2467" s="107" t="s">
        <v>480</v>
      </c>
      <c r="G2467" s="161">
        <v>45355</v>
      </c>
      <c r="H2467" s="107">
        <f t="shared" si="44"/>
        <v>6</v>
      </c>
    </row>
    <row r="2468" spans="1:8">
      <c r="A2468" s="107">
        <v>2</v>
      </c>
      <c r="B2468" s="107">
        <v>35</v>
      </c>
      <c r="C2468" s="107">
        <v>5</v>
      </c>
      <c r="D2468" s="107">
        <v>1</v>
      </c>
      <c r="E2468" s="107" t="s">
        <v>403</v>
      </c>
      <c r="F2468" s="107" t="s">
        <v>404</v>
      </c>
      <c r="G2468" s="161">
        <v>45354</v>
      </c>
      <c r="H2468" s="107">
        <f t="shared" si="44"/>
        <v>5</v>
      </c>
    </row>
    <row r="2469" spans="1:8">
      <c r="A2469" s="107">
        <v>2</v>
      </c>
      <c r="B2469" s="107">
        <v>35</v>
      </c>
      <c r="C2469" s="107">
        <v>5</v>
      </c>
      <c r="D2469" s="107">
        <v>2</v>
      </c>
      <c r="E2469" s="107" t="s">
        <v>403</v>
      </c>
      <c r="F2469" s="107" t="s">
        <v>404</v>
      </c>
      <c r="G2469" s="161">
        <v>45355</v>
      </c>
      <c r="H2469" s="107">
        <f t="shared" si="44"/>
        <v>6</v>
      </c>
    </row>
    <row r="2470" spans="1:8">
      <c r="A2470" s="107">
        <v>2</v>
      </c>
      <c r="B2470" s="107">
        <v>35</v>
      </c>
      <c r="C2470" s="107">
        <v>5</v>
      </c>
      <c r="D2470" s="107">
        <v>3</v>
      </c>
      <c r="E2470" s="107" t="s">
        <v>403</v>
      </c>
      <c r="F2470" s="107" t="s">
        <v>404</v>
      </c>
      <c r="G2470" s="161">
        <v>45354</v>
      </c>
      <c r="H2470" s="107">
        <f t="shared" si="44"/>
        <v>5</v>
      </c>
    </row>
    <row r="2471" spans="1:8">
      <c r="A2471" s="107">
        <v>2</v>
      </c>
      <c r="B2471" s="107">
        <v>35</v>
      </c>
      <c r="C2471" s="107">
        <v>5</v>
      </c>
      <c r="D2471" s="107">
        <v>4</v>
      </c>
      <c r="E2471" s="107" t="s">
        <v>403</v>
      </c>
      <c r="F2471" s="107" t="s">
        <v>404</v>
      </c>
      <c r="G2471" s="161">
        <v>45354</v>
      </c>
      <c r="H2471" s="107">
        <f t="shared" si="44"/>
        <v>5</v>
      </c>
    </row>
    <row r="2472" spans="1:8">
      <c r="A2472" s="107">
        <v>2</v>
      </c>
      <c r="B2472" s="107">
        <v>35</v>
      </c>
      <c r="C2472" s="107">
        <v>6</v>
      </c>
      <c r="D2472" s="107">
        <v>1</v>
      </c>
      <c r="E2472" s="107" t="s">
        <v>678</v>
      </c>
      <c r="F2472" s="107" t="s">
        <v>679</v>
      </c>
      <c r="G2472" s="161">
        <v>45355</v>
      </c>
      <c r="H2472" s="107">
        <f t="shared" si="44"/>
        <v>6</v>
      </c>
    </row>
    <row r="2473" spans="1:8">
      <c r="A2473" s="107">
        <v>2</v>
      </c>
      <c r="B2473" s="107">
        <v>35</v>
      </c>
      <c r="C2473" s="107">
        <v>6</v>
      </c>
      <c r="D2473" s="107">
        <v>2</v>
      </c>
      <c r="E2473" s="107" t="s">
        <v>678</v>
      </c>
      <c r="F2473" s="107" t="s">
        <v>679</v>
      </c>
      <c r="G2473" s="161">
        <v>45354</v>
      </c>
      <c r="H2473" s="107">
        <f t="shared" si="44"/>
        <v>5</v>
      </c>
    </row>
    <row r="2474" spans="1:8">
      <c r="A2474" s="107">
        <v>2</v>
      </c>
      <c r="B2474" s="107">
        <v>35</v>
      </c>
      <c r="C2474" s="107">
        <v>6</v>
      </c>
      <c r="D2474" s="107">
        <v>3</v>
      </c>
      <c r="E2474" s="107" t="s">
        <v>678</v>
      </c>
      <c r="F2474" s="107" t="s">
        <v>679</v>
      </c>
      <c r="G2474" s="161">
        <v>45354</v>
      </c>
      <c r="H2474" s="107">
        <f t="shared" si="44"/>
        <v>5</v>
      </c>
    </row>
    <row r="2475" spans="1:8">
      <c r="A2475" s="107">
        <v>2</v>
      </c>
      <c r="B2475" s="107">
        <v>35</v>
      </c>
      <c r="C2475" s="107">
        <v>6</v>
      </c>
      <c r="D2475" s="107">
        <v>4</v>
      </c>
      <c r="E2475" s="107" t="s">
        <v>678</v>
      </c>
      <c r="F2475" s="107" t="s">
        <v>679</v>
      </c>
      <c r="G2475" s="107"/>
      <c r="H2475" s="107"/>
    </row>
    <row r="2476" spans="1:8">
      <c r="A2476" s="107">
        <v>2</v>
      </c>
      <c r="B2476" s="107">
        <v>35</v>
      </c>
      <c r="C2476" s="107">
        <v>7</v>
      </c>
      <c r="D2476" s="107">
        <v>1</v>
      </c>
      <c r="E2476" s="107" t="s">
        <v>196</v>
      </c>
      <c r="F2476" s="107" t="s">
        <v>197</v>
      </c>
      <c r="G2476" s="161">
        <v>45355</v>
      </c>
      <c r="H2476" s="107">
        <f t="shared" si="44"/>
        <v>6</v>
      </c>
    </row>
    <row r="2477" spans="1:8">
      <c r="A2477" s="107">
        <v>2</v>
      </c>
      <c r="B2477" s="107">
        <v>35</v>
      </c>
      <c r="C2477" s="107">
        <v>7</v>
      </c>
      <c r="D2477" s="107">
        <v>2</v>
      </c>
      <c r="E2477" s="107" t="s">
        <v>196</v>
      </c>
      <c r="F2477" s="107" t="s">
        <v>197</v>
      </c>
      <c r="G2477" s="161">
        <v>45354</v>
      </c>
      <c r="H2477" s="107">
        <f t="shared" si="44"/>
        <v>5</v>
      </c>
    </row>
    <row r="2478" spans="1:8">
      <c r="A2478" s="107">
        <v>2</v>
      </c>
      <c r="B2478" s="107">
        <v>35</v>
      </c>
      <c r="C2478" s="107">
        <v>7</v>
      </c>
      <c r="D2478" s="107">
        <v>3</v>
      </c>
      <c r="E2478" s="107" t="s">
        <v>196</v>
      </c>
      <c r="F2478" s="107" t="s">
        <v>197</v>
      </c>
      <c r="G2478" s="161">
        <v>45354</v>
      </c>
      <c r="H2478" s="107">
        <f t="shared" si="44"/>
        <v>5</v>
      </c>
    </row>
    <row r="2479" spans="1:8">
      <c r="A2479" s="107">
        <v>2</v>
      </c>
      <c r="B2479" s="107">
        <v>35</v>
      </c>
      <c r="C2479" s="107">
        <v>7</v>
      </c>
      <c r="D2479" s="107">
        <v>4</v>
      </c>
      <c r="E2479" s="107" t="s">
        <v>196</v>
      </c>
      <c r="F2479" s="107" t="s">
        <v>197</v>
      </c>
      <c r="G2479" s="161">
        <v>45356</v>
      </c>
      <c r="H2479" s="107">
        <f t="shared" si="44"/>
        <v>7</v>
      </c>
    </row>
    <row r="2480" spans="1:8">
      <c r="A2480" s="107">
        <v>2</v>
      </c>
      <c r="B2480" s="107">
        <v>35</v>
      </c>
      <c r="C2480" s="107">
        <v>8</v>
      </c>
      <c r="D2480" s="107">
        <v>1</v>
      </c>
      <c r="E2480" s="107" t="s">
        <v>449</v>
      </c>
      <c r="F2480" s="107" t="s">
        <v>450</v>
      </c>
      <c r="G2480" s="161">
        <v>45354</v>
      </c>
      <c r="H2480" s="107">
        <f t="shared" si="44"/>
        <v>5</v>
      </c>
    </row>
    <row r="2481" spans="1:8">
      <c r="A2481" s="107">
        <v>2</v>
      </c>
      <c r="B2481" s="107">
        <v>35</v>
      </c>
      <c r="C2481" s="107">
        <v>8</v>
      </c>
      <c r="D2481" s="107">
        <v>2</v>
      </c>
      <c r="E2481" s="107" t="s">
        <v>449</v>
      </c>
      <c r="F2481" s="107" t="s">
        <v>450</v>
      </c>
      <c r="G2481" s="161">
        <v>45353</v>
      </c>
      <c r="H2481" s="107">
        <f t="shared" si="44"/>
        <v>4</v>
      </c>
    </row>
    <row r="2482" spans="1:8">
      <c r="A2482" s="107">
        <v>2</v>
      </c>
      <c r="B2482" s="107">
        <v>35</v>
      </c>
      <c r="C2482" s="107">
        <v>8</v>
      </c>
      <c r="D2482" s="107">
        <v>3</v>
      </c>
      <c r="E2482" s="107" t="s">
        <v>449</v>
      </c>
      <c r="F2482" s="107" t="s">
        <v>450</v>
      </c>
      <c r="G2482" s="161">
        <v>45353</v>
      </c>
      <c r="H2482" s="107">
        <f t="shared" si="44"/>
        <v>4</v>
      </c>
    </row>
    <row r="2483" spans="1:8">
      <c r="A2483" s="107">
        <v>2</v>
      </c>
      <c r="B2483" s="107">
        <v>35</v>
      </c>
      <c r="C2483" s="107">
        <v>8</v>
      </c>
      <c r="D2483" s="107">
        <v>4</v>
      </c>
      <c r="E2483" s="107" t="s">
        <v>449</v>
      </c>
      <c r="F2483" s="107" t="s">
        <v>450</v>
      </c>
      <c r="G2483" s="161">
        <v>45354</v>
      </c>
      <c r="H2483" s="107">
        <f t="shared" si="44"/>
        <v>5</v>
      </c>
    </row>
    <row r="2484" spans="1:8">
      <c r="A2484" s="107">
        <v>2</v>
      </c>
      <c r="B2484" s="107">
        <v>35</v>
      </c>
      <c r="C2484" s="107">
        <v>9</v>
      </c>
      <c r="D2484" s="107">
        <v>1</v>
      </c>
      <c r="E2484" s="107" t="s">
        <v>379</v>
      </c>
      <c r="F2484" s="107" t="s">
        <v>380</v>
      </c>
      <c r="G2484" s="161">
        <v>45354</v>
      </c>
      <c r="H2484" s="107">
        <f t="shared" si="44"/>
        <v>5</v>
      </c>
    </row>
    <row r="2485" spans="1:8">
      <c r="A2485" s="107">
        <v>2</v>
      </c>
      <c r="B2485" s="107">
        <v>35</v>
      </c>
      <c r="C2485" s="107">
        <v>9</v>
      </c>
      <c r="D2485" s="107">
        <v>2</v>
      </c>
      <c r="E2485" s="107" t="s">
        <v>379</v>
      </c>
      <c r="F2485" s="107" t="s">
        <v>380</v>
      </c>
      <c r="G2485" s="161">
        <v>45353</v>
      </c>
      <c r="H2485" s="107">
        <f t="shared" si="44"/>
        <v>4</v>
      </c>
    </row>
    <row r="2486" spans="1:8">
      <c r="A2486" s="107">
        <v>2</v>
      </c>
      <c r="B2486" s="107">
        <v>35</v>
      </c>
      <c r="C2486" s="107">
        <v>9</v>
      </c>
      <c r="D2486" s="107">
        <v>3</v>
      </c>
      <c r="E2486" s="107" t="s">
        <v>379</v>
      </c>
      <c r="F2486" s="107" t="s">
        <v>380</v>
      </c>
      <c r="G2486" s="161">
        <v>45354</v>
      </c>
      <c r="H2486" s="107">
        <f t="shared" si="44"/>
        <v>5</v>
      </c>
    </row>
    <row r="2487" spans="1:8">
      <c r="A2487" s="107">
        <v>2</v>
      </c>
      <c r="B2487" s="107">
        <v>35</v>
      </c>
      <c r="C2487" s="107">
        <v>9</v>
      </c>
      <c r="D2487" s="107">
        <v>4</v>
      </c>
      <c r="E2487" s="107" t="s">
        <v>379</v>
      </c>
      <c r="F2487" s="107" t="s">
        <v>380</v>
      </c>
      <c r="G2487" s="161">
        <v>45353</v>
      </c>
      <c r="H2487" s="107">
        <f t="shared" si="44"/>
        <v>4</v>
      </c>
    </row>
    <row r="2488" spans="1:8">
      <c r="A2488" s="107">
        <v>2</v>
      </c>
      <c r="B2488" s="107">
        <v>35</v>
      </c>
      <c r="C2488" s="107">
        <v>10</v>
      </c>
      <c r="D2488" s="107">
        <v>1</v>
      </c>
      <c r="E2488" s="107" t="s">
        <v>584</v>
      </c>
      <c r="F2488" s="107" t="s">
        <v>585</v>
      </c>
      <c r="G2488" s="161">
        <v>45354</v>
      </c>
      <c r="H2488" s="107">
        <f t="shared" si="44"/>
        <v>5</v>
      </c>
    </row>
    <row r="2489" spans="1:8">
      <c r="A2489" s="107">
        <v>2</v>
      </c>
      <c r="B2489" s="107">
        <v>35</v>
      </c>
      <c r="C2489" s="107">
        <v>10</v>
      </c>
      <c r="D2489" s="107">
        <v>2</v>
      </c>
      <c r="E2489" s="107" t="s">
        <v>584</v>
      </c>
      <c r="F2489" s="107" t="s">
        <v>585</v>
      </c>
      <c r="G2489" s="161">
        <v>45355</v>
      </c>
      <c r="H2489" s="107">
        <f t="shared" si="44"/>
        <v>6</v>
      </c>
    </row>
    <row r="2490" spans="1:8">
      <c r="A2490" s="107">
        <v>2</v>
      </c>
      <c r="B2490" s="107">
        <v>35</v>
      </c>
      <c r="C2490" s="107">
        <v>10</v>
      </c>
      <c r="D2490" s="107">
        <v>3</v>
      </c>
      <c r="E2490" s="107" t="s">
        <v>584</v>
      </c>
      <c r="F2490" s="107" t="s">
        <v>585</v>
      </c>
      <c r="G2490" s="161">
        <v>45355</v>
      </c>
      <c r="H2490" s="107">
        <f t="shared" si="44"/>
        <v>6</v>
      </c>
    </row>
    <row r="2491" spans="1:8">
      <c r="A2491" s="107">
        <v>2</v>
      </c>
      <c r="B2491" s="107">
        <v>35</v>
      </c>
      <c r="C2491" s="107">
        <v>10</v>
      </c>
      <c r="D2491" s="107">
        <v>4</v>
      </c>
      <c r="E2491" s="107" t="s">
        <v>584</v>
      </c>
      <c r="F2491" s="107" t="s">
        <v>585</v>
      </c>
      <c r="G2491" s="161">
        <v>45354</v>
      </c>
      <c r="H2491" s="107">
        <f t="shared" si="44"/>
        <v>5</v>
      </c>
    </row>
    <row r="2492" spans="1:8">
      <c r="A2492" s="107">
        <v>2</v>
      </c>
      <c r="B2492" s="107">
        <v>35</v>
      </c>
      <c r="C2492" s="107">
        <v>11</v>
      </c>
      <c r="D2492" s="107">
        <v>1</v>
      </c>
      <c r="E2492" s="107" t="s">
        <v>715</v>
      </c>
      <c r="F2492" s="107" t="s">
        <v>716</v>
      </c>
      <c r="G2492" s="161">
        <v>45353</v>
      </c>
      <c r="H2492" s="107">
        <f t="shared" si="44"/>
        <v>4</v>
      </c>
    </row>
    <row r="2493" spans="1:8">
      <c r="A2493" s="107">
        <v>2</v>
      </c>
      <c r="B2493" s="107">
        <v>35</v>
      </c>
      <c r="C2493" s="107">
        <v>11</v>
      </c>
      <c r="D2493" s="107">
        <v>2</v>
      </c>
      <c r="E2493" s="107" t="s">
        <v>715</v>
      </c>
      <c r="F2493" s="107" t="s">
        <v>716</v>
      </c>
      <c r="G2493" s="107"/>
      <c r="H2493" s="107"/>
    </row>
    <row r="2494" spans="1:8">
      <c r="A2494" s="107">
        <v>2</v>
      </c>
      <c r="B2494" s="107">
        <v>35</v>
      </c>
      <c r="C2494" s="107">
        <v>11</v>
      </c>
      <c r="D2494" s="107">
        <v>3</v>
      </c>
      <c r="E2494" s="107" t="s">
        <v>715</v>
      </c>
      <c r="F2494" s="107" t="s">
        <v>716</v>
      </c>
      <c r="G2494" s="161">
        <v>45354</v>
      </c>
      <c r="H2494" s="107">
        <f t="shared" si="44"/>
        <v>5</v>
      </c>
    </row>
    <row r="2495" spans="1:8">
      <c r="A2495" s="107">
        <v>2</v>
      </c>
      <c r="B2495" s="107">
        <v>35</v>
      </c>
      <c r="C2495" s="107">
        <v>11</v>
      </c>
      <c r="D2495" s="107">
        <v>4</v>
      </c>
      <c r="E2495" s="107" t="s">
        <v>715</v>
      </c>
      <c r="F2495" s="107" t="s">
        <v>716</v>
      </c>
      <c r="G2495" s="161">
        <v>45353</v>
      </c>
      <c r="H2495" s="107">
        <f t="shared" si="44"/>
        <v>4</v>
      </c>
    </row>
    <row r="2496" spans="1:8">
      <c r="A2496" s="107">
        <v>2</v>
      </c>
      <c r="B2496" s="107">
        <v>35</v>
      </c>
      <c r="C2496" s="107">
        <v>12</v>
      </c>
      <c r="D2496" s="107">
        <v>1</v>
      </c>
      <c r="E2496" s="107" t="s">
        <v>729</v>
      </c>
      <c r="F2496" s="107" t="s">
        <v>730</v>
      </c>
      <c r="G2496" s="161">
        <v>45353</v>
      </c>
      <c r="H2496" s="107">
        <f t="shared" si="44"/>
        <v>4</v>
      </c>
    </row>
    <row r="2497" spans="1:8">
      <c r="A2497" s="107">
        <v>2</v>
      </c>
      <c r="B2497" s="107">
        <v>35</v>
      </c>
      <c r="C2497" s="107">
        <v>12</v>
      </c>
      <c r="D2497" s="107">
        <v>2</v>
      </c>
      <c r="E2497" s="107" t="s">
        <v>729</v>
      </c>
      <c r="F2497" s="107" t="s">
        <v>730</v>
      </c>
      <c r="G2497" s="161">
        <v>45354</v>
      </c>
      <c r="H2497" s="107">
        <f t="shared" si="44"/>
        <v>5</v>
      </c>
    </row>
    <row r="2498" spans="1:8">
      <c r="A2498" s="107">
        <v>2</v>
      </c>
      <c r="B2498" s="107">
        <v>35</v>
      </c>
      <c r="C2498" s="107">
        <v>12</v>
      </c>
      <c r="D2498" s="107">
        <v>3</v>
      </c>
      <c r="E2498" s="107" t="s">
        <v>729</v>
      </c>
      <c r="F2498" s="107" t="s">
        <v>730</v>
      </c>
      <c r="G2498" s="161">
        <v>45353</v>
      </c>
      <c r="H2498" s="107">
        <f t="shared" si="44"/>
        <v>4</v>
      </c>
    </row>
    <row r="2499" spans="1:8">
      <c r="A2499" s="107">
        <v>2</v>
      </c>
      <c r="B2499" s="107">
        <v>35</v>
      </c>
      <c r="C2499" s="107">
        <v>12</v>
      </c>
      <c r="D2499" s="107">
        <v>4</v>
      </c>
      <c r="E2499" s="107" t="s">
        <v>729</v>
      </c>
      <c r="F2499" s="107" t="s">
        <v>730</v>
      </c>
      <c r="G2499" s="161">
        <v>45353</v>
      </c>
      <c r="H2499" s="107">
        <f t="shared" si="44"/>
        <v>4</v>
      </c>
    </row>
    <row r="2500" spans="1:8">
      <c r="A2500" s="107">
        <v>2</v>
      </c>
      <c r="B2500" s="107">
        <v>35</v>
      </c>
      <c r="C2500" s="107">
        <v>13</v>
      </c>
      <c r="D2500" s="107">
        <v>1</v>
      </c>
      <c r="E2500" s="107" t="s">
        <v>266</v>
      </c>
      <c r="F2500" s="107" t="s">
        <v>267</v>
      </c>
      <c r="G2500" s="107"/>
      <c r="H2500" s="107"/>
    </row>
    <row r="2501" spans="1:8">
      <c r="A2501" s="107">
        <v>2</v>
      </c>
      <c r="B2501" s="107">
        <v>35</v>
      </c>
      <c r="C2501" s="107">
        <v>13</v>
      </c>
      <c r="D2501" s="107">
        <v>2</v>
      </c>
      <c r="E2501" s="107" t="s">
        <v>266</v>
      </c>
      <c r="F2501" s="107" t="s">
        <v>267</v>
      </c>
      <c r="G2501" s="107"/>
      <c r="H2501" s="107"/>
    </row>
    <row r="2502" spans="1:8">
      <c r="A2502" s="107">
        <v>2</v>
      </c>
      <c r="B2502" s="107">
        <v>35</v>
      </c>
      <c r="C2502" s="107">
        <v>13</v>
      </c>
      <c r="D2502" s="107">
        <v>3</v>
      </c>
      <c r="E2502" s="107" t="s">
        <v>266</v>
      </c>
      <c r="F2502" s="107" t="s">
        <v>267</v>
      </c>
      <c r="G2502" s="107"/>
      <c r="H2502" s="107"/>
    </row>
    <row r="2503" spans="1:8">
      <c r="A2503" s="107">
        <v>2</v>
      </c>
      <c r="B2503" s="107">
        <v>35</v>
      </c>
      <c r="C2503" s="107">
        <v>13</v>
      </c>
      <c r="D2503" s="107">
        <v>4</v>
      </c>
      <c r="E2503" s="107" t="s">
        <v>266</v>
      </c>
      <c r="F2503" s="107" t="s">
        <v>267</v>
      </c>
      <c r="G2503" s="107"/>
      <c r="H2503" s="107"/>
    </row>
    <row r="2504" spans="1:8">
      <c r="A2504" s="107">
        <v>2</v>
      </c>
      <c r="B2504" s="107">
        <v>35</v>
      </c>
      <c r="C2504" s="107">
        <v>14</v>
      </c>
      <c r="D2504" s="107">
        <v>1</v>
      </c>
      <c r="E2504" s="107" t="s">
        <v>212</v>
      </c>
      <c r="F2504" s="107" t="s">
        <v>213</v>
      </c>
      <c r="G2504" s="161">
        <v>45354</v>
      </c>
      <c r="H2504" s="107">
        <f t="shared" ref="H2504:H2564" si="45">DATEDIF($H$2,G2504,"d")</f>
        <v>5</v>
      </c>
    </row>
    <row r="2505" spans="1:8">
      <c r="A2505" s="107">
        <v>2</v>
      </c>
      <c r="B2505" s="107">
        <v>35</v>
      </c>
      <c r="C2505" s="107">
        <v>14</v>
      </c>
      <c r="D2505" s="107">
        <v>2</v>
      </c>
      <c r="E2505" s="107" t="s">
        <v>212</v>
      </c>
      <c r="F2505" s="107" t="s">
        <v>213</v>
      </c>
      <c r="G2505" s="161">
        <v>45355</v>
      </c>
      <c r="H2505" s="107">
        <f t="shared" si="45"/>
        <v>6</v>
      </c>
    </row>
    <row r="2506" spans="1:8">
      <c r="A2506" s="107">
        <v>2</v>
      </c>
      <c r="B2506" s="107">
        <v>35</v>
      </c>
      <c r="C2506" s="107">
        <v>14</v>
      </c>
      <c r="D2506" s="107">
        <v>3</v>
      </c>
      <c r="E2506" s="107" t="s">
        <v>212</v>
      </c>
      <c r="F2506" s="107" t="s">
        <v>213</v>
      </c>
      <c r="G2506" s="161">
        <v>45354</v>
      </c>
      <c r="H2506" s="107">
        <f t="shared" si="45"/>
        <v>5</v>
      </c>
    </row>
    <row r="2507" spans="1:8">
      <c r="A2507" s="107">
        <v>2</v>
      </c>
      <c r="B2507" s="107">
        <v>35</v>
      </c>
      <c r="C2507" s="107">
        <v>14</v>
      </c>
      <c r="D2507" s="107">
        <v>4</v>
      </c>
      <c r="E2507" s="107" t="s">
        <v>212</v>
      </c>
      <c r="F2507" s="107" t="s">
        <v>213</v>
      </c>
      <c r="G2507" s="161">
        <v>45353</v>
      </c>
      <c r="H2507" s="107">
        <f t="shared" si="45"/>
        <v>4</v>
      </c>
    </row>
    <row r="2508" spans="1:8">
      <c r="A2508" s="107">
        <v>2</v>
      </c>
      <c r="B2508" s="107">
        <v>35</v>
      </c>
      <c r="C2508" s="107">
        <v>15</v>
      </c>
      <c r="D2508" s="107">
        <v>1</v>
      </c>
      <c r="E2508" s="107" t="s">
        <v>556</v>
      </c>
      <c r="F2508" s="107" t="s">
        <v>557</v>
      </c>
      <c r="G2508" s="161">
        <v>45355</v>
      </c>
      <c r="H2508" s="107">
        <f t="shared" si="45"/>
        <v>6</v>
      </c>
    </row>
    <row r="2509" spans="1:8">
      <c r="A2509" s="107">
        <v>2</v>
      </c>
      <c r="B2509" s="107">
        <v>35</v>
      </c>
      <c r="C2509" s="107">
        <v>15</v>
      </c>
      <c r="D2509" s="107">
        <v>2</v>
      </c>
      <c r="E2509" s="107" t="s">
        <v>556</v>
      </c>
      <c r="F2509" s="107" t="s">
        <v>557</v>
      </c>
      <c r="G2509" s="161">
        <v>45354</v>
      </c>
      <c r="H2509" s="107">
        <f t="shared" si="45"/>
        <v>5</v>
      </c>
    </row>
    <row r="2510" spans="1:8">
      <c r="A2510" s="107">
        <v>2</v>
      </c>
      <c r="B2510" s="107">
        <v>35</v>
      </c>
      <c r="C2510" s="107">
        <v>15</v>
      </c>
      <c r="D2510" s="107">
        <v>3</v>
      </c>
      <c r="E2510" s="107" t="s">
        <v>556</v>
      </c>
      <c r="F2510" s="107" t="s">
        <v>557</v>
      </c>
      <c r="G2510" s="161">
        <v>45355</v>
      </c>
      <c r="H2510" s="107">
        <f t="shared" si="45"/>
        <v>6</v>
      </c>
    </row>
    <row r="2511" spans="1:8">
      <c r="A2511" s="107">
        <v>2</v>
      </c>
      <c r="B2511" s="107">
        <v>35</v>
      </c>
      <c r="C2511" s="107">
        <v>15</v>
      </c>
      <c r="D2511" s="107">
        <v>4</v>
      </c>
      <c r="E2511" s="107" t="s">
        <v>556</v>
      </c>
      <c r="F2511" s="107" t="s">
        <v>557</v>
      </c>
      <c r="G2511" s="161">
        <v>45355</v>
      </c>
      <c r="H2511" s="107">
        <f t="shared" si="45"/>
        <v>6</v>
      </c>
    </row>
    <row r="2512" spans="1:8">
      <c r="A2512" s="107">
        <v>2</v>
      </c>
      <c r="B2512" s="107">
        <v>35</v>
      </c>
      <c r="C2512" s="107">
        <v>16</v>
      </c>
      <c r="D2512" s="107">
        <v>1</v>
      </c>
      <c r="E2512" s="107" t="s">
        <v>646</v>
      </c>
      <c r="F2512" s="107" t="s">
        <v>647</v>
      </c>
      <c r="G2512" s="161">
        <v>45356</v>
      </c>
      <c r="H2512" s="107">
        <f t="shared" si="45"/>
        <v>7</v>
      </c>
    </row>
    <row r="2513" spans="1:8">
      <c r="A2513" s="107">
        <v>2</v>
      </c>
      <c r="B2513" s="107">
        <v>35</v>
      </c>
      <c r="C2513" s="107">
        <v>16</v>
      </c>
      <c r="D2513" s="107">
        <v>2</v>
      </c>
      <c r="E2513" s="107" t="s">
        <v>646</v>
      </c>
      <c r="F2513" s="107" t="s">
        <v>647</v>
      </c>
      <c r="G2513" s="161">
        <v>45356</v>
      </c>
      <c r="H2513" s="107">
        <f t="shared" si="45"/>
        <v>7</v>
      </c>
    </row>
    <row r="2514" spans="1:8">
      <c r="A2514" s="107">
        <v>2</v>
      </c>
      <c r="B2514" s="107">
        <v>35</v>
      </c>
      <c r="C2514" s="107">
        <v>16</v>
      </c>
      <c r="D2514" s="107">
        <v>3</v>
      </c>
      <c r="E2514" s="107" t="s">
        <v>646</v>
      </c>
      <c r="F2514" s="107" t="s">
        <v>647</v>
      </c>
      <c r="G2514" s="161">
        <v>45354</v>
      </c>
      <c r="H2514" s="107">
        <f t="shared" si="45"/>
        <v>5</v>
      </c>
    </row>
    <row r="2515" spans="1:8">
      <c r="A2515" s="107">
        <v>2</v>
      </c>
      <c r="B2515" s="107">
        <v>35</v>
      </c>
      <c r="C2515" s="107">
        <v>16</v>
      </c>
      <c r="D2515" s="107">
        <v>4</v>
      </c>
      <c r="E2515" s="107" t="s">
        <v>646</v>
      </c>
      <c r="F2515" s="107" t="s">
        <v>647</v>
      </c>
      <c r="G2515" s="161">
        <v>45355</v>
      </c>
      <c r="H2515" s="107">
        <f t="shared" si="45"/>
        <v>6</v>
      </c>
    </row>
    <row r="2516" spans="1:8">
      <c r="A2516" s="107">
        <v>2</v>
      </c>
      <c r="B2516" s="107">
        <v>35</v>
      </c>
      <c r="C2516" s="107">
        <v>17</v>
      </c>
      <c r="D2516" s="107">
        <v>1</v>
      </c>
      <c r="E2516" s="107" t="s">
        <v>521</v>
      </c>
      <c r="F2516" s="107" t="s">
        <v>503</v>
      </c>
      <c r="G2516" s="161">
        <v>45353</v>
      </c>
      <c r="H2516" s="107">
        <f t="shared" si="45"/>
        <v>4</v>
      </c>
    </row>
    <row r="2517" spans="1:8">
      <c r="A2517" s="107">
        <v>2</v>
      </c>
      <c r="B2517" s="107">
        <v>35</v>
      </c>
      <c r="C2517" s="107">
        <v>17</v>
      </c>
      <c r="D2517" s="107">
        <v>2</v>
      </c>
      <c r="E2517" s="107" t="s">
        <v>521</v>
      </c>
      <c r="F2517" s="107" t="s">
        <v>503</v>
      </c>
      <c r="G2517" s="161">
        <v>45357</v>
      </c>
      <c r="H2517" s="107">
        <f t="shared" si="45"/>
        <v>8</v>
      </c>
    </row>
    <row r="2518" spans="1:8">
      <c r="A2518" s="107">
        <v>2</v>
      </c>
      <c r="B2518" s="107">
        <v>35</v>
      </c>
      <c r="C2518" s="107">
        <v>17</v>
      </c>
      <c r="D2518" s="107">
        <v>3</v>
      </c>
      <c r="E2518" s="107" t="s">
        <v>521</v>
      </c>
      <c r="F2518" s="107" t="s">
        <v>503</v>
      </c>
      <c r="G2518" s="161">
        <v>45354</v>
      </c>
      <c r="H2518" s="107">
        <f t="shared" si="45"/>
        <v>5</v>
      </c>
    </row>
    <row r="2519" spans="1:8">
      <c r="A2519" s="107">
        <v>2</v>
      </c>
      <c r="B2519" s="107">
        <v>35</v>
      </c>
      <c r="C2519" s="107">
        <v>17</v>
      </c>
      <c r="D2519" s="107">
        <v>4</v>
      </c>
      <c r="E2519" s="107" t="s">
        <v>521</v>
      </c>
      <c r="F2519" s="107" t="s">
        <v>503</v>
      </c>
      <c r="G2519" s="161">
        <v>45353</v>
      </c>
      <c r="H2519" s="107">
        <f t="shared" si="45"/>
        <v>4</v>
      </c>
    </row>
    <row r="2520" spans="1:8">
      <c r="A2520" s="107">
        <v>2</v>
      </c>
      <c r="B2520" s="107">
        <v>35</v>
      </c>
      <c r="C2520" s="107">
        <v>18</v>
      </c>
      <c r="D2520" s="107">
        <v>1</v>
      </c>
      <c r="E2520" s="107" t="s">
        <v>144</v>
      </c>
      <c r="F2520" s="107" t="s">
        <v>145</v>
      </c>
      <c r="G2520" s="161">
        <v>45354</v>
      </c>
      <c r="H2520" s="107">
        <f t="shared" si="45"/>
        <v>5</v>
      </c>
    </row>
    <row r="2521" spans="1:8">
      <c r="A2521" s="107">
        <v>2</v>
      </c>
      <c r="B2521" s="107">
        <v>35</v>
      </c>
      <c r="C2521" s="107">
        <v>18</v>
      </c>
      <c r="D2521" s="107">
        <v>2</v>
      </c>
      <c r="E2521" s="107" t="s">
        <v>144</v>
      </c>
      <c r="F2521" s="107" t="s">
        <v>145</v>
      </c>
      <c r="G2521" s="161">
        <v>45354</v>
      </c>
      <c r="H2521" s="107">
        <f t="shared" si="45"/>
        <v>5</v>
      </c>
    </row>
    <row r="2522" spans="1:8">
      <c r="A2522" s="107">
        <v>2</v>
      </c>
      <c r="B2522" s="107">
        <v>35</v>
      </c>
      <c r="C2522" s="107">
        <v>18</v>
      </c>
      <c r="D2522" s="107">
        <v>3</v>
      </c>
      <c r="E2522" s="107" t="s">
        <v>144</v>
      </c>
      <c r="F2522" s="107" t="s">
        <v>145</v>
      </c>
      <c r="G2522" s="161">
        <v>45355</v>
      </c>
      <c r="H2522" s="107">
        <f t="shared" si="45"/>
        <v>6</v>
      </c>
    </row>
    <row r="2523" spans="1:8">
      <c r="A2523" s="107">
        <v>2</v>
      </c>
      <c r="B2523" s="107">
        <v>35</v>
      </c>
      <c r="C2523" s="107">
        <v>18</v>
      </c>
      <c r="D2523" s="107">
        <v>4</v>
      </c>
      <c r="E2523" s="107" t="s">
        <v>144</v>
      </c>
      <c r="F2523" s="107" t="s">
        <v>145</v>
      </c>
      <c r="G2523" s="161">
        <v>45354</v>
      </c>
      <c r="H2523" s="107">
        <f t="shared" si="45"/>
        <v>5</v>
      </c>
    </row>
    <row r="2524" spans="1:8">
      <c r="A2524" s="107">
        <v>2</v>
      </c>
      <c r="B2524" s="107">
        <v>36</v>
      </c>
      <c r="C2524" s="107">
        <v>1</v>
      </c>
      <c r="D2524" s="107">
        <v>1</v>
      </c>
      <c r="E2524" s="107" t="s">
        <v>319</v>
      </c>
      <c r="F2524" s="107" t="s">
        <v>320</v>
      </c>
      <c r="G2524" s="161">
        <v>45355</v>
      </c>
      <c r="H2524" s="107">
        <f t="shared" si="45"/>
        <v>6</v>
      </c>
    </row>
    <row r="2525" spans="1:8">
      <c r="A2525" s="107">
        <v>2</v>
      </c>
      <c r="B2525" s="107">
        <v>36</v>
      </c>
      <c r="C2525" s="107">
        <v>1</v>
      </c>
      <c r="D2525" s="107">
        <v>2</v>
      </c>
      <c r="E2525" s="107" t="s">
        <v>319</v>
      </c>
      <c r="F2525" s="107" t="s">
        <v>320</v>
      </c>
      <c r="G2525" s="161">
        <v>45354</v>
      </c>
      <c r="H2525" s="107">
        <f t="shared" si="45"/>
        <v>5</v>
      </c>
    </row>
    <row r="2526" spans="1:8">
      <c r="A2526" s="107">
        <v>2</v>
      </c>
      <c r="B2526" s="107">
        <v>36</v>
      </c>
      <c r="C2526" s="107">
        <v>1</v>
      </c>
      <c r="D2526" s="107">
        <v>3</v>
      </c>
      <c r="E2526" s="107" t="s">
        <v>319</v>
      </c>
      <c r="F2526" s="107" t="s">
        <v>320</v>
      </c>
      <c r="G2526" s="161">
        <v>45354</v>
      </c>
      <c r="H2526" s="107">
        <f t="shared" si="45"/>
        <v>5</v>
      </c>
    </row>
    <row r="2527" spans="1:8">
      <c r="A2527" s="107">
        <v>2</v>
      </c>
      <c r="B2527" s="107">
        <v>36</v>
      </c>
      <c r="C2527" s="107">
        <v>1</v>
      </c>
      <c r="D2527" s="107">
        <v>4</v>
      </c>
      <c r="E2527" s="107" t="s">
        <v>319</v>
      </c>
      <c r="F2527" s="107" t="s">
        <v>320</v>
      </c>
      <c r="G2527" s="161">
        <v>45353</v>
      </c>
      <c r="H2527" s="107">
        <f t="shared" si="45"/>
        <v>4</v>
      </c>
    </row>
    <row r="2528" spans="1:8">
      <c r="A2528" s="107">
        <v>2</v>
      </c>
      <c r="B2528" s="107">
        <v>36</v>
      </c>
      <c r="C2528" s="107">
        <v>2</v>
      </c>
      <c r="D2528" s="107">
        <v>1</v>
      </c>
      <c r="E2528" s="107" t="s">
        <v>146</v>
      </c>
      <c r="F2528" s="107" t="s">
        <v>147</v>
      </c>
      <c r="G2528" s="161">
        <v>45355</v>
      </c>
      <c r="H2528" s="107">
        <f t="shared" si="45"/>
        <v>6</v>
      </c>
    </row>
    <row r="2529" spans="1:8">
      <c r="A2529" s="107">
        <v>2</v>
      </c>
      <c r="B2529" s="107">
        <v>36</v>
      </c>
      <c r="C2529" s="107">
        <v>2</v>
      </c>
      <c r="D2529" s="107">
        <v>2</v>
      </c>
      <c r="E2529" s="107" t="s">
        <v>146</v>
      </c>
      <c r="F2529" s="107" t="s">
        <v>147</v>
      </c>
      <c r="G2529" s="161">
        <v>45354</v>
      </c>
      <c r="H2529" s="107">
        <f t="shared" si="45"/>
        <v>5</v>
      </c>
    </row>
    <row r="2530" spans="1:8">
      <c r="A2530" s="107">
        <v>2</v>
      </c>
      <c r="B2530" s="107">
        <v>36</v>
      </c>
      <c r="C2530" s="107">
        <v>2</v>
      </c>
      <c r="D2530" s="107">
        <v>3</v>
      </c>
      <c r="E2530" s="107" t="s">
        <v>146</v>
      </c>
      <c r="F2530" s="107" t="s">
        <v>147</v>
      </c>
      <c r="G2530" s="161">
        <v>45354</v>
      </c>
      <c r="H2530" s="107">
        <f t="shared" si="45"/>
        <v>5</v>
      </c>
    </row>
    <row r="2531" spans="1:8">
      <c r="A2531" s="107">
        <v>2</v>
      </c>
      <c r="B2531" s="107">
        <v>36</v>
      </c>
      <c r="C2531" s="107">
        <v>2</v>
      </c>
      <c r="D2531" s="107">
        <v>4</v>
      </c>
      <c r="E2531" s="107" t="s">
        <v>146</v>
      </c>
      <c r="F2531" s="107" t="s">
        <v>147</v>
      </c>
      <c r="G2531" s="161">
        <v>45355</v>
      </c>
      <c r="H2531" s="107">
        <f t="shared" si="45"/>
        <v>6</v>
      </c>
    </row>
    <row r="2532" spans="1:8">
      <c r="A2532" s="107">
        <v>2</v>
      </c>
      <c r="B2532" s="107">
        <v>36</v>
      </c>
      <c r="C2532" s="107">
        <v>3</v>
      </c>
      <c r="D2532" s="107">
        <v>1</v>
      </c>
      <c r="E2532" s="107" t="s">
        <v>260</v>
      </c>
      <c r="F2532" s="107" t="s">
        <v>261</v>
      </c>
      <c r="G2532" s="161">
        <v>45354</v>
      </c>
      <c r="H2532" s="107">
        <f t="shared" si="45"/>
        <v>5</v>
      </c>
    </row>
    <row r="2533" spans="1:8">
      <c r="A2533" s="107">
        <v>2</v>
      </c>
      <c r="B2533" s="107">
        <v>36</v>
      </c>
      <c r="C2533" s="107">
        <v>3</v>
      </c>
      <c r="D2533" s="107">
        <v>2</v>
      </c>
      <c r="E2533" s="107" t="s">
        <v>260</v>
      </c>
      <c r="F2533" s="107" t="s">
        <v>261</v>
      </c>
      <c r="G2533" s="161">
        <v>45353</v>
      </c>
      <c r="H2533" s="107">
        <f t="shared" si="45"/>
        <v>4</v>
      </c>
    </row>
    <row r="2534" spans="1:8">
      <c r="A2534" s="107">
        <v>2</v>
      </c>
      <c r="B2534" s="107">
        <v>36</v>
      </c>
      <c r="C2534" s="107">
        <v>3</v>
      </c>
      <c r="D2534" s="107">
        <v>3</v>
      </c>
      <c r="E2534" s="107" t="s">
        <v>260</v>
      </c>
      <c r="F2534" s="107" t="s">
        <v>261</v>
      </c>
      <c r="G2534" s="161">
        <v>45353</v>
      </c>
      <c r="H2534" s="107">
        <f t="shared" si="45"/>
        <v>4</v>
      </c>
    </row>
    <row r="2535" spans="1:8">
      <c r="A2535" s="107">
        <v>2</v>
      </c>
      <c r="B2535" s="107">
        <v>36</v>
      </c>
      <c r="C2535" s="107">
        <v>3</v>
      </c>
      <c r="D2535" s="107">
        <v>4</v>
      </c>
      <c r="E2535" s="107" t="s">
        <v>260</v>
      </c>
      <c r="F2535" s="107" t="s">
        <v>261</v>
      </c>
      <c r="G2535" s="161">
        <v>45354</v>
      </c>
      <c r="H2535" s="107">
        <f t="shared" si="45"/>
        <v>5</v>
      </c>
    </row>
    <row r="2536" spans="1:8">
      <c r="A2536" s="107">
        <v>2</v>
      </c>
      <c r="B2536" s="107">
        <v>36</v>
      </c>
      <c r="C2536" s="107">
        <v>4</v>
      </c>
      <c r="D2536" s="107">
        <v>1</v>
      </c>
      <c r="E2536" s="107" t="s">
        <v>307</v>
      </c>
      <c r="F2536" s="107" t="s">
        <v>308</v>
      </c>
      <c r="G2536" s="161">
        <v>45354</v>
      </c>
      <c r="H2536" s="107">
        <f t="shared" si="45"/>
        <v>5</v>
      </c>
    </row>
    <row r="2537" spans="1:8">
      <c r="A2537" s="107">
        <v>2</v>
      </c>
      <c r="B2537" s="107">
        <v>36</v>
      </c>
      <c r="C2537" s="107">
        <v>4</v>
      </c>
      <c r="D2537" s="107">
        <v>2</v>
      </c>
      <c r="E2537" s="107" t="s">
        <v>307</v>
      </c>
      <c r="F2537" s="107" t="s">
        <v>308</v>
      </c>
      <c r="G2537" s="161">
        <v>45353</v>
      </c>
      <c r="H2537" s="107">
        <f t="shared" si="45"/>
        <v>4</v>
      </c>
    </row>
    <row r="2538" spans="1:8">
      <c r="A2538" s="107">
        <v>2</v>
      </c>
      <c r="B2538" s="107">
        <v>36</v>
      </c>
      <c r="C2538" s="107">
        <v>4</v>
      </c>
      <c r="D2538" s="107">
        <v>3</v>
      </c>
      <c r="E2538" s="107" t="s">
        <v>307</v>
      </c>
      <c r="F2538" s="107" t="s">
        <v>308</v>
      </c>
      <c r="G2538" s="161">
        <v>45354</v>
      </c>
      <c r="H2538" s="107">
        <f t="shared" si="45"/>
        <v>5</v>
      </c>
    </row>
    <row r="2539" spans="1:8">
      <c r="A2539" s="107">
        <v>2</v>
      </c>
      <c r="B2539" s="107">
        <v>36</v>
      </c>
      <c r="C2539" s="107">
        <v>4</v>
      </c>
      <c r="D2539" s="107">
        <v>4</v>
      </c>
      <c r="E2539" s="107" t="s">
        <v>307</v>
      </c>
      <c r="F2539" s="107" t="s">
        <v>308</v>
      </c>
      <c r="G2539" s="161">
        <v>45354</v>
      </c>
      <c r="H2539" s="107">
        <f t="shared" si="45"/>
        <v>5</v>
      </c>
    </row>
    <row r="2540" spans="1:8">
      <c r="A2540" s="107">
        <v>2</v>
      </c>
      <c r="B2540" s="107">
        <v>36</v>
      </c>
      <c r="C2540" s="107">
        <v>5</v>
      </c>
      <c r="D2540" s="107">
        <v>1</v>
      </c>
      <c r="E2540" s="107" t="s">
        <v>533</v>
      </c>
      <c r="F2540" s="107" t="s">
        <v>534</v>
      </c>
      <c r="G2540" s="161">
        <v>45354</v>
      </c>
      <c r="H2540" s="107">
        <f t="shared" si="45"/>
        <v>5</v>
      </c>
    </row>
    <row r="2541" spans="1:8">
      <c r="A2541" s="107">
        <v>2</v>
      </c>
      <c r="B2541" s="107">
        <v>36</v>
      </c>
      <c r="C2541" s="107">
        <v>5</v>
      </c>
      <c r="D2541" s="107">
        <v>2</v>
      </c>
      <c r="E2541" s="107" t="s">
        <v>533</v>
      </c>
      <c r="F2541" s="107" t="s">
        <v>534</v>
      </c>
      <c r="G2541" s="161">
        <v>45354</v>
      </c>
      <c r="H2541" s="107">
        <f t="shared" si="45"/>
        <v>5</v>
      </c>
    </row>
    <row r="2542" spans="1:8">
      <c r="A2542" s="107">
        <v>2</v>
      </c>
      <c r="B2542" s="107">
        <v>36</v>
      </c>
      <c r="C2542" s="107">
        <v>5</v>
      </c>
      <c r="D2542" s="107">
        <v>3</v>
      </c>
      <c r="E2542" s="107" t="s">
        <v>533</v>
      </c>
      <c r="F2542" s="107" t="s">
        <v>534</v>
      </c>
      <c r="G2542" s="161">
        <v>45354</v>
      </c>
      <c r="H2542" s="107">
        <f t="shared" si="45"/>
        <v>5</v>
      </c>
    </row>
    <row r="2543" spans="1:8">
      <c r="A2543" s="107">
        <v>2</v>
      </c>
      <c r="B2543" s="107">
        <v>36</v>
      </c>
      <c r="C2543" s="107">
        <v>5</v>
      </c>
      <c r="D2543" s="107">
        <v>4</v>
      </c>
      <c r="E2543" s="107" t="s">
        <v>533</v>
      </c>
      <c r="F2543" s="107" t="s">
        <v>534</v>
      </c>
      <c r="G2543" s="161">
        <v>45353</v>
      </c>
      <c r="H2543" s="107">
        <f t="shared" si="45"/>
        <v>4</v>
      </c>
    </row>
    <row r="2544" spans="1:8">
      <c r="A2544" s="107">
        <v>2</v>
      </c>
      <c r="B2544" s="107">
        <v>36</v>
      </c>
      <c r="C2544" s="107">
        <v>6</v>
      </c>
      <c r="D2544" s="107">
        <v>1</v>
      </c>
      <c r="E2544" s="107" t="s">
        <v>626</v>
      </c>
      <c r="F2544" s="107" t="s">
        <v>627</v>
      </c>
      <c r="G2544" s="161">
        <v>45356</v>
      </c>
      <c r="H2544" s="107">
        <f t="shared" si="45"/>
        <v>7</v>
      </c>
    </row>
    <row r="2545" spans="1:8">
      <c r="A2545" s="107">
        <v>2</v>
      </c>
      <c r="B2545" s="107">
        <v>36</v>
      </c>
      <c r="C2545" s="107">
        <v>6</v>
      </c>
      <c r="D2545" s="107">
        <v>2</v>
      </c>
      <c r="E2545" s="107" t="s">
        <v>626</v>
      </c>
      <c r="F2545" s="107" t="s">
        <v>627</v>
      </c>
      <c r="G2545" s="161">
        <v>45353</v>
      </c>
      <c r="H2545" s="107">
        <f t="shared" si="45"/>
        <v>4</v>
      </c>
    </row>
    <row r="2546" spans="1:8">
      <c r="A2546" s="107">
        <v>2</v>
      </c>
      <c r="B2546" s="107">
        <v>36</v>
      </c>
      <c r="C2546" s="107">
        <v>6</v>
      </c>
      <c r="D2546" s="107">
        <v>3</v>
      </c>
      <c r="E2546" s="107" t="s">
        <v>626</v>
      </c>
      <c r="F2546" s="107" t="s">
        <v>627</v>
      </c>
      <c r="G2546" s="161">
        <v>45354</v>
      </c>
      <c r="H2546" s="107">
        <f t="shared" si="45"/>
        <v>5</v>
      </c>
    </row>
    <row r="2547" spans="1:8">
      <c r="A2547" s="107">
        <v>2</v>
      </c>
      <c r="B2547" s="107">
        <v>36</v>
      </c>
      <c r="C2547" s="107">
        <v>6</v>
      </c>
      <c r="D2547" s="107">
        <v>4</v>
      </c>
      <c r="E2547" s="107" t="s">
        <v>626</v>
      </c>
      <c r="F2547" s="107" t="s">
        <v>627</v>
      </c>
      <c r="G2547" s="107"/>
      <c r="H2547" s="107"/>
    </row>
    <row r="2548" spans="1:8">
      <c r="A2548" s="107">
        <v>2</v>
      </c>
      <c r="B2548" s="107">
        <v>36</v>
      </c>
      <c r="C2548" s="107">
        <v>7</v>
      </c>
      <c r="D2548" s="107">
        <v>1</v>
      </c>
      <c r="E2548" s="107" t="s">
        <v>429</v>
      </c>
      <c r="F2548" s="107" t="s">
        <v>430</v>
      </c>
      <c r="G2548" s="161">
        <v>45354</v>
      </c>
      <c r="H2548" s="107">
        <f t="shared" si="45"/>
        <v>5</v>
      </c>
    </row>
    <row r="2549" spans="1:8">
      <c r="A2549" s="107">
        <v>2</v>
      </c>
      <c r="B2549" s="107">
        <v>36</v>
      </c>
      <c r="C2549" s="107">
        <v>7</v>
      </c>
      <c r="D2549" s="107">
        <v>2</v>
      </c>
      <c r="E2549" s="107" t="s">
        <v>429</v>
      </c>
      <c r="F2549" s="107" t="s">
        <v>430</v>
      </c>
      <c r="G2549" s="161">
        <v>45354</v>
      </c>
      <c r="H2549" s="107">
        <f t="shared" si="45"/>
        <v>5</v>
      </c>
    </row>
    <row r="2550" spans="1:8">
      <c r="A2550" s="107">
        <v>2</v>
      </c>
      <c r="B2550" s="107">
        <v>36</v>
      </c>
      <c r="C2550" s="107">
        <v>7</v>
      </c>
      <c r="D2550" s="107">
        <v>3</v>
      </c>
      <c r="E2550" s="107" t="s">
        <v>429</v>
      </c>
      <c r="F2550" s="107" t="s">
        <v>430</v>
      </c>
      <c r="G2550" s="161">
        <v>45353</v>
      </c>
      <c r="H2550" s="107">
        <f t="shared" si="45"/>
        <v>4</v>
      </c>
    </row>
    <row r="2551" spans="1:8">
      <c r="A2551" s="107">
        <v>2</v>
      </c>
      <c r="B2551" s="107">
        <v>36</v>
      </c>
      <c r="C2551" s="107">
        <v>7</v>
      </c>
      <c r="D2551" s="107">
        <v>4</v>
      </c>
      <c r="E2551" s="107" t="s">
        <v>429</v>
      </c>
      <c r="F2551" s="107" t="s">
        <v>430</v>
      </c>
      <c r="G2551" s="161">
        <v>45354</v>
      </c>
      <c r="H2551" s="107">
        <f t="shared" si="45"/>
        <v>5</v>
      </c>
    </row>
    <row r="2552" spans="1:8">
      <c r="A2552" s="107">
        <v>2</v>
      </c>
      <c r="B2552" s="107">
        <v>36</v>
      </c>
      <c r="C2552" s="107">
        <v>8</v>
      </c>
      <c r="D2552" s="107">
        <v>1</v>
      </c>
      <c r="E2552" s="107" t="s">
        <v>711</v>
      </c>
      <c r="F2552" s="107" t="s">
        <v>712</v>
      </c>
      <c r="G2552" s="161">
        <v>45354</v>
      </c>
      <c r="H2552" s="107">
        <f t="shared" si="45"/>
        <v>5</v>
      </c>
    </row>
    <row r="2553" spans="1:8">
      <c r="A2553" s="107">
        <v>2</v>
      </c>
      <c r="B2553" s="107">
        <v>36</v>
      </c>
      <c r="C2553" s="107">
        <v>8</v>
      </c>
      <c r="D2553" s="107">
        <v>2</v>
      </c>
      <c r="E2553" s="107" t="s">
        <v>711</v>
      </c>
      <c r="F2553" s="107" t="s">
        <v>712</v>
      </c>
      <c r="G2553" s="161">
        <v>45353</v>
      </c>
      <c r="H2553" s="107">
        <f t="shared" si="45"/>
        <v>4</v>
      </c>
    </row>
    <row r="2554" spans="1:8">
      <c r="A2554" s="107">
        <v>2</v>
      </c>
      <c r="B2554" s="107">
        <v>36</v>
      </c>
      <c r="C2554" s="107">
        <v>8</v>
      </c>
      <c r="D2554" s="107">
        <v>3</v>
      </c>
      <c r="E2554" s="107" t="s">
        <v>711</v>
      </c>
      <c r="F2554" s="107" t="s">
        <v>712</v>
      </c>
      <c r="G2554" s="161">
        <v>45353</v>
      </c>
      <c r="H2554" s="107">
        <f t="shared" si="45"/>
        <v>4</v>
      </c>
    </row>
    <row r="2555" spans="1:8">
      <c r="A2555" s="107">
        <v>2</v>
      </c>
      <c r="B2555" s="107">
        <v>36</v>
      </c>
      <c r="C2555" s="107">
        <v>8</v>
      </c>
      <c r="D2555" s="107">
        <v>4</v>
      </c>
      <c r="E2555" s="107" t="s">
        <v>711</v>
      </c>
      <c r="F2555" s="107" t="s">
        <v>712</v>
      </c>
      <c r="G2555" s="161">
        <v>45353</v>
      </c>
      <c r="H2555" s="107">
        <f t="shared" si="45"/>
        <v>4</v>
      </c>
    </row>
    <row r="2556" spans="1:8">
      <c r="A2556" s="107">
        <v>2</v>
      </c>
      <c r="B2556" s="107">
        <v>36</v>
      </c>
      <c r="C2556" s="107">
        <v>9</v>
      </c>
      <c r="D2556" s="107">
        <v>1</v>
      </c>
      <c r="E2556" s="107" t="s">
        <v>594</v>
      </c>
      <c r="F2556" s="107" t="s">
        <v>595</v>
      </c>
      <c r="G2556" s="161">
        <v>45353</v>
      </c>
      <c r="H2556" s="107">
        <f t="shared" si="45"/>
        <v>4</v>
      </c>
    </row>
    <row r="2557" spans="1:8">
      <c r="A2557" s="107">
        <v>2</v>
      </c>
      <c r="B2557" s="107">
        <v>36</v>
      </c>
      <c r="C2557" s="107">
        <v>9</v>
      </c>
      <c r="D2557" s="107">
        <v>2</v>
      </c>
      <c r="E2557" s="107" t="s">
        <v>594</v>
      </c>
      <c r="F2557" s="107" t="s">
        <v>595</v>
      </c>
      <c r="G2557" s="161">
        <v>45353</v>
      </c>
      <c r="H2557" s="107">
        <f t="shared" si="45"/>
        <v>4</v>
      </c>
    </row>
    <row r="2558" spans="1:8">
      <c r="A2558" s="107">
        <v>2</v>
      </c>
      <c r="B2558" s="107">
        <v>36</v>
      </c>
      <c r="C2558" s="107">
        <v>9</v>
      </c>
      <c r="D2558" s="107">
        <v>3</v>
      </c>
      <c r="E2558" s="107" t="s">
        <v>594</v>
      </c>
      <c r="F2558" s="107" t="s">
        <v>595</v>
      </c>
      <c r="G2558" s="161">
        <v>45353</v>
      </c>
      <c r="H2558" s="107">
        <f t="shared" si="45"/>
        <v>4</v>
      </c>
    </row>
    <row r="2559" spans="1:8">
      <c r="A2559" s="107">
        <v>2</v>
      </c>
      <c r="B2559" s="107">
        <v>36</v>
      </c>
      <c r="C2559" s="107">
        <v>9</v>
      </c>
      <c r="D2559" s="107">
        <v>4</v>
      </c>
      <c r="E2559" s="107" t="s">
        <v>594</v>
      </c>
      <c r="F2559" s="107" t="s">
        <v>595</v>
      </c>
      <c r="G2559" s="161">
        <v>45353</v>
      </c>
      <c r="H2559" s="107">
        <f t="shared" si="45"/>
        <v>4</v>
      </c>
    </row>
    <row r="2560" spans="1:8">
      <c r="A2560" s="107">
        <v>2</v>
      </c>
      <c r="B2560" s="107">
        <v>36</v>
      </c>
      <c r="C2560" s="107">
        <v>10</v>
      </c>
      <c r="D2560" s="107">
        <v>1</v>
      </c>
      <c r="E2560" s="107" t="s">
        <v>481</v>
      </c>
      <c r="F2560" s="107" t="s">
        <v>482</v>
      </c>
      <c r="G2560" s="161">
        <v>45356</v>
      </c>
      <c r="H2560" s="107">
        <f t="shared" si="45"/>
        <v>7</v>
      </c>
    </row>
    <row r="2561" spans="1:8">
      <c r="A2561" s="107">
        <v>2</v>
      </c>
      <c r="B2561" s="107">
        <v>36</v>
      </c>
      <c r="C2561" s="107">
        <v>10</v>
      </c>
      <c r="D2561" s="107">
        <v>2</v>
      </c>
      <c r="E2561" s="107" t="s">
        <v>481</v>
      </c>
      <c r="F2561" s="107" t="s">
        <v>482</v>
      </c>
      <c r="G2561" s="161">
        <v>45354</v>
      </c>
      <c r="H2561" s="107">
        <f t="shared" si="45"/>
        <v>5</v>
      </c>
    </row>
    <row r="2562" spans="1:8">
      <c r="A2562" s="107">
        <v>2</v>
      </c>
      <c r="B2562" s="107">
        <v>36</v>
      </c>
      <c r="C2562" s="107">
        <v>10</v>
      </c>
      <c r="D2562" s="107">
        <v>3</v>
      </c>
      <c r="E2562" s="107" t="s">
        <v>481</v>
      </c>
      <c r="F2562" s="107" t="s">
        <v>482</v>
      </c>
      <c r="G2562" s="161">
        <v>45354</v>
      </c>
      <c r="H2562" s="107">
        <f t="shared" si="45"/>
        <v>5</v>
      </c>
    </row>
    <row r="2563" spans="1:8">
      <c r="A2563" s="107">
        <v>2</v>
      </c>
      <c r="B2563" s="107">
        <v>36</v>
      </c>
      <c r="C2563" s="107">
        <v>10</v>
      </c>
      <c r="D2563" s="107">
        <v>4</v>
      </c>
      <c r="E2563" s="107" t="s">
        <v>481</v>
      </c>
      <c r="F2563" s="107" t="s">
        <v>482</v>
      </c>
      <c r="G2563" s="161">
        <v>45358</v>
      </c>
      <c r="H2563" s="107">
        <f t="shared" si="45"/>
        <v>9</v>
      </c>
    </row>
    <row r="2564" spans="1:8">
      <c r="A2564" s="107">
        <v>2</v>
      </c>
      <c r="B2564" s="107">
        <v>36</v>
      </c>
      <c r="C2564" s="107">
        <v>11</v>
      </c>
      <c r="D2564" s="107">
        <v>1</v>
      </c>
      <c r="E2564" s="107" t="s">
        <v>277</v>
      </c>
      <c r="F2564" s="107" t="s">
        <v>278</v>
      </c>
      <c r="G2564" s="161">
        <v>45354</v>
      </c>
      <c r="H2564" s="107">
        <f t="shared" si="45"/>
        <v>5</v>
      </c>
    </row>
    <row r="2565" spans="1:8">
      <c r="A2565" s="107">
        <v>2</v>
      </c>
      <c r="B2565" s="107">
        <v>36</v>
      </c>
      <c r="C2565" s="107">
        <v>11</v>
      </c>
      <c r="D2565" s="107">
        <v>2</v>
      </c>
      <c r="E2565" s="107" t="s">
        <v>277</v>
      </c>
      <c r="F2565" s="107" t="s">
        <v>278</v>
      </c>
      <c r="G2565" s="161">
        <v>45354</v>
      </c>
      <c r="H2565" s="107">
        <f t="shared" ref="H2565:H2595" si="46">DATEDIF($H$2,G2565,"d")</f>
        <v>5</v>
      </c>
    </row>
    <row r="2566" spans="1:8">
      <c r="A2566" s="107">
        <v>2</v>
      </c>
      <c r="B2566" s="107">
        <v>36</v>
      </c>
      <c r="C2566" s="107">
        <v>11</v>
      </c>
      <c r="D2566" s="107">
        <v>3</v>
      </c>
      <c r="E2566" s="107" t="s">
        <v>277</v>
      </c>
      <c r="F2566" s="107" t="s">
        <v>278</v>
      </c>
      <c r="G2566" s="161">
        <v>45354</v>
      </c>
      <c r="H2566" s="107">
        <f t="shared" si="46"/>
        <v>5</v>
      </c>
    </row>
    <row r="2567" spans="1:8">
      <c r="A2567" s="107">
        <v>2</v>
      </c>
      <c r="B2567" s="107">
        <v>36</v>
      </c>
      <c r="C2567" s="107">
        <v>11</v>
      </c>
      <c r="D2567" s="107">
        <v>4</v>
      </c>
      <c r="E2567" s="107" t="s">
        <v>277</v>
      </c>
      <c r="F2567" s="107" t="s">
        <v>278</v>
      </c>
      <c r="G2567" s="161">
        <v>45353</v>
      </c>
      <c r="H2567" s="107">
        <f t="shared" si="46"/>
        <v>4</v>
      </c>
    </row>
    <row r="2568" spans="1:8">
      <c r="A2568" s="107">
        <v>2</v>
      </c>
      <c r="B2568" s="107">
        <v>36</v>
      </c>
      <c r="C2568" s="107">
        <v>12</v>
      </c>
      <c r="D2568" s="107">
        <v>1</v>
      </c>
      <c r="E2568" s="107" t="s">
        <v>397</v>
      </c>
      <c r="F2568" s="107" t="s">
        <v>398</v>
      </c>
      <c r="G2568" s="161">
        <v>45353</v>
      </c>
      <c r="H2568" s="107">
        <f t="shared" si="46"/>
        <v>4</v>
      </c>
    </row>
    <row r="2569" spans="1:8">
      <c r="A2569" s="107">
        <v>2</v>
      </c>
      <c r="B2569" s="107">
        <v>36</v>
      </c>
      <c r="C2569" s="107">
        <v>12</v>
      </c>
      <c r="D2569" s="107">
        <v>2</v>
      </c>
      <c r="E2569" s="107" t="s">
        <v>397</v>
      </c>
      <c r="F2569" s="107" t="s">
        <v>398</v>
      </c>
      <c r="G2569" s="161">
        <v>45353</v>
      </c>
      <c r="H2569" s="107">
        <f t="shared" si="46"/>
        <v>4</v>
      </c>
    </row>
    <row r="2570" spans="1:8">
      <c r="A2570" s="107">
        <v>2</v>
      </c>
      <c r="B2570" s="107">
        <v>36</v>
      </c>
      <c r="C2570" s="107">
        <v>12</v>
      </c>
      <c r="D2570" s="107">
        <v>3</v>
      </c>
      <c r="E2570" s="107" t="s">
        <v>397</v>
      </c>
      <c r="F2570" s="107" t="s">
        <v>398</v>
      </c>
      <c r="G2570" s="161">
        <v>45353</v>
      </c>
      <c r="H2570" s="107">
        <f t="shared" si="46"/>
        <v>4</v>
      </c>
    </row>
    <row r="2571" spans="1:8">
      <c r="A2571" s="107">
        <v>2</v>
      </c>
      <c r="B2571" s="107">
        <v>36</v>
      </c>
      <c r="C2571" s="107">
        <v>12</v>
      </c>
      <c r="D2571" s="107">
        <v>4</v>
      </c>
      <c r="E2571" s="107" t="s">
        <v>397</v>
      </c>
      <c r="F2571" s="107" t="s">
        <v>398</v>
      </c>
      <c r="G2571" s="161">
        <v>45353</v>
      </c>
      <c r="H2571" s="107">
        <f t="shared" si="46"/>
        <v>4</v>
      </c>
    </row>
    <row r="2572" spans="1:8">
      <c r="A2572" s="107">
        <v>2</v>
      </c>
      <c r="B2572" s="107">
        <v>36</v>
      </c>
      <c r="C2572" s="107">
        <v>13</v>
      </c>
      <c r="D2572" s="107">
        <v>1</v>
      </c>
      <c r="E2572" s="107" t="s">
        <v>202</v>
      </c>
      <c r="F2572" s="107" t="s">
        <v>203</v>
      </c>
      <c r="G2572" s="107"/>
      <c r="H2572" s="107"/>
    </row>
    <row r="2573" spans="1:8">
      <c r="A2573" s="107">
        <v>2</v>
      </c>
      <c r="B2573" s="107">
        <v>36</v>
      </c>
      <c r="C2573" s="107">
        <v>13</v>
      </c>
      <c r="D2573" s="107">
        <v>2</v>
      </c>
      <c r="E2573" s="107" t="s">
        <v>202</v>
      </c>
      <c r="F2573" s="107" t="s">
        <v>203</v>
      </c>
      <c r="G2573" s="161">
        <v>45355</v>
      </c>
      <c r="H2573" s="107">
        <f t="shared" si="46"/>
        <v>6</v>
      </c>
    </row>
    <row r="2574" spans="1:8">
      <c r="A2574" s="107">
        <v>2</v>
      </c>
      <c r="B2574" s="107">
        <v>36</v>
      </c>
      <c r="C2574" s="107">
        <v>13</v>
      </c>
      <c r="D2574" s="107">
        <v>3</v>
      </c>
      <c r="E2574" s="107" t="s">
        <v>202</v>
      </c>
      <c r="F2574" s="107" t="s">
        <v>203</v>
      </c>
      <c r="G2574" s="107"/>
      <c r="H2574" s="107"/>
    </row>
    <row r="2575" spans="1:8">
      <c r="A2575" s="107">
        <v>2</v>
      </c>
      <c r="B2575" s="107">
        <v>36</v>
      </c>
      <c r="C2575" s="107">
        <v>13</v>
      </c>
      <c r="D2575" s="107">
        <v>4</v>
      </c>
      <c r="E2575" s="107" t="s">
        <v>202</v>
      </c>
      <c r="F2575" s="107" t="s">
        <v>203</v>
      </c>
      <c r="G2575" s="161">
        <v>45362</v>
      </c>
      <c r="H2575" s="107">
        <f t="shared" si="46"/>
        <v>13</v>
      </c>
    </row>
    <row r="2576" spans="1:8">
      <c r="A2576" s="107">
        <v>2</v>
      </c>
      <c r="B2576" s="107">
        <v>36</v>
      </c>
      <c r="C2576" s="107">
        <v>14</v>
      </c>
      <c r="D2576" s="107">
        <v>1</v>
      </c>
      <c r="E2576" s="107" t="s">
        <v>749</v>
      </c>
      <c r="F2576" s="107" t="s">
        <v>750</v>
      </c>
      <c r="G2576" s="161">
        <v>45353</v>
      </c>
      <c r="H2576" s="107">
        <f t="shared" si="46"/>
        <v>4</v>
      </c>
    </row>
    <row r="2577" spans="1:8">
      <c r="A2577" s="107">
        <v>2</v>
      </c>
      <c r="B2577" s="107">
        <v>36</v>
      </c>
      <c r="C2577" s="107">
        <v>14</v>
      </c>
      <c r="D2577" s="107">
        <v>2</v>
      </c>
      <c r="E2577" s="107" t="s">
        <v>749</v>
      </c>
      <c r="F2577" s="107" t="s">
        <v>750</v>
      </c>
      <c r="G2577" s="161">
        <v>45354</v>
      </c>
      <c r="H2577" s="107">
        <f t="shared" si="46"/>
        <v>5</v>
      </c>
    </row>
    <row r="2578" spans="1:8">
      <c r="A2578" s="107">
        <v>2</v>
      </c>
      <c r="B2578" s="107">
        <v>36</v>
      </c>
      <c r="C2578" s="107">
        <v>14</v>
      </c>
      <c r="D2578" s="107">
        <v>3</v>
      </c>
      <c r="E2578" s="107" t="s">
        <v>749</v>
      </c>
      <c r="F2578" s="107" t="s">
        <v>750</v>
      </c>
      <c r="G2578" s="161">
        <v>45353</v>
      </c>
      <c r="H2578" s="107">
        <f t="shared" si="46"/>
        <v>4</v>
      </c>
    </row>
    <row r="2579" spans="1:8">
      <c r="A2579" s="107">
        <v>2</v>
      </c>
      <c r="B2579" s="107">
        <v>36</v>
      </c>
      <c r="C2579" s="107">
        <v>14</v>
      </c>
      <c r="D2579" s="107">
        <v>4</v>
      </c>
      <c r="E2579" s="107" t="s">
        <v>749</v>
      </c>
      <c r="F2579" s="107" t="s">
        <v>750</v>
      </c>
      <c r="G2579" s="161">
        <v>45353</v>
      </c>
      <c r="H2579" s="107">
        <f t="shared" si="46"/>
        <v>4</v>
      </c>
    </row>
    <row r="2580" spans="1:8">
      <c r="A2580" s="107">
        <v>2</v>
      </c>
      <c r="B2580" s="107">
        <v>36</v>
      </c>
      <c r="C2580" s="107">
        <v>15</v>
      </c>
      <c r="D2580" s="107">
        <v>1</v>
      </c>
      <c r="E2580" s="107" t="s">
        <v>373</v>
      </c>
      <c r="F2580" s="107" t="s">
        <v>374</v>
      </c>
      <c r="G2580" s="161">
        <v>45353</v>
      </c>
      <c r="H2580" s="107">
        <f t="shared" si="46"/>
        <v>4</v>
      </c>
    </row>
    <row r="2581" spans="1:8">
      <c r="A2581" s="107">
        <v>2</v>
      </c>
      <c r="B2581" s="107">
        <v>36</v>
      </c>
      <c r="C2581" s="107">
        <v>15</v>
      </c>
      <c r="D2581" s="107">
        <v>2</v>
      </c>
      <c r="E2581" s="107" t="s">
        <v>373</v>
      </c>
      <c r="F2581" s="107" t="s">
        <v>374</v>
      </c>
      <c r="G2581" s="161">
        <v>45355</v>
      </c>
      <c r="H2581" s="107">
        <f t="shared" si="46"/>
        <v>6</v>
      </c>
    </row>
    <row r="2582" spans="1:8">
      <c r="A2582" s="107">
        <v>2</v>
      </c>
      <c r="B2582" s="107">
        <v>36</v>
      </c>
      <c r="C2582" s="107">
        <v>15</v>
      </c>
      <c r="D2582" s="107">
        <v>3</v>
      </c>
      <c r="E2582" s="107" t="s">
        <v>373</v>
      </c>
      <c r="F2582" s="107" t="s">
        <v>374</v>
      </c>
      <c r="G2582" s="161">
        <v>45353</v>
      </c>
      <c r="H2582" s="107">
        <f t="shared" si="46"/>
        <v>4</v>
      </c>
    </row>
    <row r="2583" spans="1:8">
      <c r="A2583" s="107">
        <v>2</v>
      </c>
      <c r="B2583" s="107">
        <v>36</v>
      </c>
      <c r="C2583" s="107">
        <v>15</v>
      </c>
      <c r="D2583" s="107">
        <v>4</v>
      </c>
      <c r="E2583" s="107" t="s">
        <v>373</v>
      </c>
      <c r="F2583" s="107" t="s">
        <v>374</v>
      </c>
      <c r="G2583" s="161">
        <v>45353</v>
      </c>
      <c r="H2583" s="107">
        <f t="shared" si="46"/>
        <v>4</v>
      </c>
    </row>
    <row r="2584" spans="1:8">
      <c r="A2584" s="107">
        <v>2</v>
      </c>
      <c r="B2584" s="107">
        <v>36</v>
      </c>
      <c r="C2584" s="107">
        <v>16</v>
      </c>
      <c r="D2584" s="107">
        <v>1</v>
      </c>
      <c r="E2584" s="107" t="s">
        <v>204</v>
      </c>
      <c r="F2584" s="107" t="s">
        <v>205</v>
      </c>
      <c r="G2584" s="161">
        <v>45353</v>
      </c>
      <c r="H2584" s="107">
        <f t="shared" si="46"/>
        <v>4</v>
      </c>
    </row>
    <row r="2585" spans="1:8">
      <c r="A2585" s="107">
        <v>2</v>
      </c>
      <c r="B2585" s="107">
        <v>36</v>
      </c>
      <c r="C2585" s="107">
        <v>16</v>
      </c>
      <c r="D2585" s="107">
        <v>2</v>
      </c>
      <c r="E2585" s="107" t="s">
        <v>204</v>
      </c>
      <c r="F2585" s="107" t="s">
        <v>205</v>
      </c>
      <c r="G2585" s="161">
        <v>45353</v>
      </c>
      <c r="H2585" s="107">
        <f t="shared" si="46"/>
        <v>4</v>
      </c>
    </row>
    <row r="2586" spans="1:8">
      <c r="A2586" s="107">
        <v>2</v>
      </c>
      <c r="B2586" s="107">
        <v>36</v>
      </c>
      <c r="C2586" s="107">
        <v>16</v>
      </c>
      <c r="D2586" s="107">
        <v>3</v>
      </c>
      <c r="E2586" s="107" t="s">
        <v>204</v>
      </c>
      <c r="F2586" s="107" t="s">
        <v>205</v>
      </c>
      <c r="G2586" s="161">
        <v>45353</v>
      </c>
      <c r="H2586" s="107">
        <f t="shared" si="46"/>
        <v>4</v>
      </c>
    </row>
    <row r="2587" spans="1:8">
      <c r="A2587" s="107">
        <v>2</v>
      </c>
      <c r="B2587" s="107">
        <v>36</v>
      </c>
      <c r="C2587" s="107">
        <v>16</v>
      </c>
      <c r="D2587" s="107">
        <v>4</v>
      </c>
      <c r="E2587" s="107" t="s">
        <v>204</v>
      </c>
      <c r="F2587" s="107" t="s">
        <v>205</v>
      </c>
      <c r="G2587" s="161">
        <v>45353</v>
      </c>
      <c r="H2587" s="107">
        <f t="shared" si="46"/>
        <v>4</v>
      </c>
    </row>
    <row r="2588" spans="1:8">
      <c r="A2588" s="107">
        <v>2</v>
      </c>
      <c r="B2588" s="107">
        <v>36</v>
      </c>
      <c r="C2588" s="107">
        <v>17</v>
      </c>
      <c r="D2588" s="107">
        <v>1</v>
      </c>
      <c r="E2588" s="107" t="s">
        <v>574</v>
      </c>
      <c r="F2588" s="107" t="s">
        <v>575</v>
      </c>
      <c r="G2588" s="161">
        <v>45354</v>
      </c>
      <c r="H2588" s="107">
        <f t="shared" si="46"/>
        <v>5</v>
      </c>
    </row>
    <row r="2589" spans="1:8">
      <c r="A2589" s="107">
        <v>2</v>
      </c>
      <c r="B2589" s="107">
        <v>36</v>
      </c>
      <c r="C2589" s="107">
        <v>17</v>
      </c>
      <c r="D2589" s="107">
        <v>2</v>
      </c>
      <c r="E2589" s="107" t="s">
        <v>574</v>
      </c>
      <c r="F2589" s="107" t="s">
        <v>575</v>
      </c>
      <c r="G2589" s="161">
        <v>45354</v>
      </c>
      <c r="H2589" s="107">
        <f t="shared" si="46"/>
        <v>5</v>
      </c>
    </row>
    <row r="2590" spans="1:8">
      <c r="A2590" s="107">
        <v>2</v>
      </c>
      <c r="B2590" s="107">
        <v>36</v>
      </c>
      <c r="C2590" s="107">
        <v>17</v>
      </c>
      <c r="D2590" s="107">
        <v>3</v>
      </c>
      <c r="E2590" s="107" t="s">
        <v>574</v>
      </c>
      <c r="F2590" s="107" t="s">
        <v>575</v>
      </c>
      <c r="G2590" s="161">
        <v>45354</v>
      </c>
      <c r="H2590" s="107">
        <f t="shared" si="46"/>
        <v>5</v>
      </c>
    </row>
    <row r="2591" spans="1:8">
      <c r="A2591" s="107">
        <v>2</v>
      </c>
      <c r="B2591" s="107">
        <v>36</v>
      </c>
      <c r="C2591" s="107">
        <v>17</v>
      </c>
      <c r="D2591" s="107">
        <v>4</v>
      </c>
      <c r="E2591" s="107" t="s">
        <v>574</v>
      </c>
      <c r="F2591" s="107" t="s">
        <v>575</v>
      </c>
      <c r="G2591" s="161">
        <v>45354</v>
      </c>
      <c r="H2591" s="107">
        <f t="shared" si="46"/>
        <v>5</v>
      </c>
    </row>
    <row r="2592" spans="1:8">
      <c r="A2592" s="107">
        <v>2</v>
      </c>
      <c r="B2592" s="107">
        <v>36</v>
      </c>
      <c r="C2592" s="107">
        <v>18</v>
      </c>
      <c r="D2592" s="107">
        <v>1</v>
      </c>
      <c r="E2592" s="107" t="s">
        <v>516</v>
      </c>
      <c r="F2592" s="107" t="s">
        <v>503</v>
      </c>
      <c r="G2592" s="161">
        <v>45354</v>
      </c>
      <c r="H2592" s="107">
        <f t="shared" si="46"/>
        <v>5</v>
      </c>
    </row>
    <row r="2593" spans="1:8">
      <c r="A2593" s="107">
        <v>2</v>
      </c>
      <c r="B2593" s="107">
        <v>36</v>
      </c>
      <c r="C2593" s="107">
        <v>18</v>
      </c>
      <c r="D2593" s="107">
        <v>2</v>
      </c>
      <c r="E2593" s="107" t="s">
        <v>516</v>
      </c>
      <c r="F2593" s="107" t="s">
        <v>503</v>
      </c>
      <c r="G2593" s="161">
        <v>45355</v>
      </c>
      <c r="H2593" s="107">
        <f t="shared" si="46"/>
        <v>6</v>
      </c>
    </row>
    <row r="2594" spans="1:8">
      <c r="A2594" s="107">
        <v>2</v>
      </c>
      <c r="B2594" s="107">
        <v>36</v>
      </c>
      <c r="C2594" s="107">
        <v>18</v>
      </c>
      <c r="D2594" s="107">
        <v>3</v>
      </c>
      <c r="E2594" s="107" t="s">
        <v>516</v>
      </c>
      <c r="F2594" s="107" t="s">
        <v>503</v>
      </c>
      <c r="G2594" s="161">
        <v>45353</v>
      </c>
      <c r="H2594" s="107">
        <f t="shared" si="46"/>
        <v>4</v>
      </c>
    </row>
    <row r="2595" spans="1:8">
      <c r="A2595" s="107">
        <v>2</v>
      </c>
      <c r="B2595" s="107">
        <v>36</v>
      </c>
      <c r="C2595" s="107">
        <v>18</v>
      </c>
      <c r="D2595" s="107">
        <v>4</v>
      </c>
      <c r="E2595" s="107" t="s">
        <v>516</v>
      </c>
      <c r="F2595" s="107" t="s">
        <v>503</v>
      </c>
      <c r="G2595" s="161">
        <v>45353</v>
      </c>
      <c r="H2595" s="107">
        <f t="shared" si="46"/>
        <v>4</v>
      </c>
    </row>
  </sheetData>
  <sortState xmlns:xlrd2="http://schemas.microsoft.com/office/spreadsheetml/2017/richdata2" ref="A4:H2592">
    <sortCondition ref="B4:B2592"/>
    <sortCondition ref="C4:C2592"/>
  </sortState>
  <pageMargins left="0.70866141732283472" right="0.70866141732283472" top="0.19685039370078741" bottom="0.39370078740157483" header="0.31496062992125984" footer="0.31496062992125984"/>
  <pageSetup orientation="portrait" r:id="rId1"/>
  <headerFooter>
    <oddHeader>&amp;RPage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B01F-00C7-4B62-899C-9532CAA73FC5}">
  <dimension ref="A1:H996"/>
  <sheetViews>
    <sheetView zoomScaleNormal="100" workbookViewId="0">
      <pane ySplit="4" topLeftCell="A5" activePane="bottomLeft" state="frozen"/>
      <selection pane="bottomLeft" activeCell="G13" sqref="G13"/>
    </sheetView>
  </sheetViews>
  <sheetFormatPr defaultRowHeight="14.5"/>
  <cols>
    <col min="1" max="1" width="8.54296875" customWidth="1"/>
    <col min="2" max="2" width="10.54296875" bestFit="1" customWidth="1"/>
    <col min="3" max="3" width="7.54296875" bestFit="1" customWidth="1"/>
    <col min="4" max="4" width="13.54296875" bestFit="1" customWidth="1"/>
    <col min="5" max="5" width="23.453125" customWidth="1"/>
    <col min="6" max="6" width="14.453125" bestFit="1" customWidth="1"/>
    <col min="7" max="7" width="15.453125" customWidth="1"/>
    <col min="8" max="8" width="27.453125" bestFit="1" customWidth="1"/>
  </cols>
  <sheetData>
    <row r="1" spans="1:8" ht="18.5">
      <c r="A1" s="110" t="s">
        <v>986</v>
      </c>
      <c r="H1" s="159"/>
    </row>
    <row r="2" spans="1:8" ht="18.5">
      <c r="A2" s="110"/>
      <c r="H2" s="196"/>
    </row>
    <row r="3" spans="1:8">
      <c r="F3" s="237" t="s">
        <v>1055</v>
      </c>
      <c r="G3" s="237"/>
      <c r="H3" s="107" t="s">
        <v>1054</v>
      </c>
    </row>
    <row r="4" spans="1:8">
      <c r="A4" s="140" t="s">
        <v>100</v>
      </c>
      <c r="B4" s="140" t="s">
        <v>101</v>
      </c>
      <c r="C4" s="140" t="s">
        <v>834</v>
      </c>
      <c r="D4" s="140" t="s">
        <v>758</v>
      </c>
      <c r="E4" s="140" t="s">
        <v>756</v>
      </c>
      <c r="F4" s="160" t="s">
        <v>945</v>
      </c>
      <c r="G4" s="197" t="s">
        <v>1138</v>
      </c>
      <c r="H4" s="160" t="s">
        <v>945</v>
      </c>
    </row>
    <row r="5" spans="1:8">
      <c r="A5" s="107">
        <v>1</v>
      </c>
      <c r="B5" s="107">
        <v>1</v>
      </c>
      <c r="C5" s="107">
        <v>1</v>
      </c>
      <c r="D5" s="107" t="s">
        <v>130</v>
      </c>
      <c r="E5" s="107" t="s">
        <v>132</v>
      </c>
      <c r="F5" s="107">
        <v>770</v>
      </c>
      <c r="G5" s="195">
        <v>10</v>
      </c>
      <c r="H5" s="107">
        <v>1720</v>
      </c>
    </row>
    <row r="6" spans="1:8">
      <c r="A6" s="107">
        <v>1</v>
      </c>
      <c r="B6" s="107">
        <v>1</v>
      </c>
      <c r="C6" s="107">
        <v>2</v>
      </c>
      <c r="D6" s="107" t="s">
        <v>130</v>
      </c>
      <c r="E6" s="107" t="s">
        <v>132</v>
      </c>
      <c r="F6" s="107">
        <v>1030</v>
      </c>
      <c r="G6" s="195">
        <v>15</v>
      </c>
      <c r="H6" s="107"/>
    </row>
    <row r="7" spans="1:8">
      <c r="A7" s="107">
        <v>1</v>
      </c>
      <c r="B7" s="107">
        <v>1</v>
      </c>
      <c r="C7" s="107">
        <v>3</v>
      </c>
      <c r="D7" s="107" t="s">
        <v>130</v>
      </c>
      <c r="E7" s="107" t="s">
        <v>132</v>
      </c>
      <c r="F7" s="107">
        <v>840</v>
      </c>
      <c r="G7" s="195">
        <v>12</v>
      </c>
      <c r="H7" s="107"/>
    </row>
    <row r="8" spans="1:8">
      <c r="A8" s="107">
        <v>1</v>
      </c>
      <c r="B8" s="107">
        <v>2</v>
      </c>
      <c r="C8" s="107">
        <v>1</v>
      </c>
      <c r="D8" s="107" t="s">
        <v>134</v>
      </c>
      <c r="E8" s="107" t="s">
        <v>135</v>
      </c>
      <c r="F8" s="107">
        <v>610</v>
      </c>
      <c r="G8" s="195">
        <v>12</v>
      </c>
      <c r="H8" s="107">
        <v>1610</v>
      </c>
    </row>
    <row r="9" spans="1:8">
      <c r="A9" s="107">
        <v>1</v>
      </c>
      <c r="B9" s="107">
        <v>2</v>
      </c>
      <c r="C9" s="107">
        <v>2</v>
      </c>
      <c r="D9" s="107" t="s">
        <v>134</v>
      </c>
      <c r="E9" s="107" t="s">
        <v>135</v>
      </c>
      <c r="F9" s="107">
        <v>520</v>
      </c>
      <c r="G9" s="195">
        <v>12</v>
      </c>
      <c r="H9" s="107"/>
    </row>
    <row r="10" spans="1:8">
      <c r="A10" s="107">
        <v>1</v>
      </c>
      <c r="B10" s="107">
        <v>2</v>
      </c>
      <c r="C10" s="107">
        <v>3</v>
      </c>
      <c r="D10" s="107" t="s">
        <v>134</v>
      </c>
      <c r="E10" s="107" t="s">
        <v>135</v>
      </c>
      <c r="F10" s="107">
        <v>630</v>
      </c>
      <c r="G10" s="195">
        <v>13</v>
      </c>
      <c r="H10" s="107"/>
    </row>
    <row r="11" spans="1:8">
      <c r="A11" s="107">
        <v>1</v>
      </c>
      <c r="B11" s="107">
        <v>3</v>
      </c>
      <c r="C11" s="107">
        <v>1</v>
      </c>
      <c r="D11" s="107" t="s">
        <v>136</v>
      </c>
      <c r="E11" s="107" t="s">
        <v>137</v>
      </c>
      <c r="F11" s="107">
        <v>700</v>
      </c>
      <c r="G11" s="195">
        <v>10</v>
      </c>
      <c r="H11" s="107">
        <v>1800</v>
      </c>
    </row>
    <row r="12" spans="1:8">
      <c r="A12" s="107">
        <v>1</v>
      </c>
      <c r="B12" s="107">
        <v>3</v>
      </c>
      <c r="C12" s="107">
        <v>2</v>
      </c>
      <c r="D12" s="107" t="s">
        <v>136</v>
      </c>
      <c r="E12" s="107" t="s">
        <v>137</v>
      </c>
      <c r="F12" s="107">
        <v>1160</v>
      </c>
      <c r="G12" s="195">
        <v>13</v>
      </c>
      <c r="H12" s="107"/>
    </row>
    <row r="13" spans="1:8">
      <c r="A13" s="107">
        <v>1</v>
      </c>
      <c r="B13" s="107">
        <v>3</v>
      </c>
      <c r="C13" s="107">
        <v>3</v>
      </c>
      <c r="D13" s="107" t="s">
        <v>136</v>
      </c>
      <c r="E13" s="107" t="s">
        <v>137</v>
      </c>
      <c r="F13" s="107">
        <v>980</v>
      </c>
      <c r="G13" s="195">
        <v>12</v>
      </c>
      <c r="H13" s="107"/>
    </row>
    <row r="14" spans="1:8">
      <c r="A14" s="107">
        <v>1</v>
      </c>
      <c r="B14" s="107">
        <v>4</v>
      </c>
      <c r="C14" s="107">
        <v>1</v>
      </c>
      <c r="D14" s="107" t="s">
        <v>138</v>
      </c>
      <c r="E14" s="107" t="s">
        <v>139</v>
      </c>
      <c r="F14" s="107">
        <v>1080</v>
      </c>
      <c r="G14" s="195">
        <v>12</v>
      </c>
      <c r="H14" s="107">
        <v>1700</v>
      </c>
    </row>
    <row r="15" spans="1:8">
      <c r="A15" s="107">
        <v>1</v>
      </c>
      <c r="B15" s="107">
        <v>4</v>
      </c>
      <c r="C15" s="107">
        <v>2</v>
      </c>
      <c r="D15" s="107" t="s">
        <v>138</v>
      </c>
      <c r="E15" s="107" t="s">
        <v>139</v>
      </c>
      <c r="F15" s="107">
        <v>1180</v>
      </c>
      <c r="G15" s="195">
        <v>13</v>
      </c>
      <c r="H15" s="107"/>
    </row>
    <row r="16" spans="1:8">
      <c r="A16" s="107">
        <v>1</v>
      </c>
      <c r="B16" s="107">
        <v>4</v>
      </c>
      <c r="C16" s="107">
        <v>3</v>
      </c>
      <c r="D16" s="107" t="s">
        <v>138</v>
      </c>
      <c r="E16" s="107" t="s">
        <v>139</v>
      </c>
      <c r="F16" s="107">
        <v>780</v>
      </c>
      <c r="G16" s="195">
        <v>12</v>
      </c>
      <c r="H16" s="107"/>
    </row>
    <row r="17" spans="1:8">
      <c r="A17" s="107">
        <v>1</v>
      </c>
      <c r="B17" s="107">
        <v>5</v>
      </c>
      <c r="C17" s="107">
        <v>1</v>
      </c>
      <c r="D17" s="107" t="s">
        <v>140</v>
      </c>
      <c r="E17" s="107" t="s">
        <v>141</v>
      </c>
      <c r="F17" s="107">
        <v>810</v>
      </c>
      <c r="G17" s="195">
        <v>9</v>
      </c>
      <c r="H17" s="107">
        <v>1010</v>
      </c>
    </row>
    <row r="18" spans="1:8">
      <c r="A18" s="107">
        <v>1</v>
      </c>
      <c r="B18" s="107">
        <v>5</v>
      </c>
      <c r="C18" s="107">
        <v>2</v>
      </c>
      <c r="D18" s="107" t="s">
        <v>140</v>
      </c>
      <c r="E18" s="107" t="s">
        <v>141</v>
      </c>
      <c r="F18" s="107">
        <v>560</v>
      </c>
      <c r="G18" s="195">
        <v>10</v>
      </c>
      <c r="H18" s="107"/>
    </row>
    <row r="19" spans="1:8">
      <c r="A19" s="107">
        <v>1</v>
      </c>
      <c r="B19" s="107">
        <v>5</v>
      </c>
      <c r="C19" s="107">
        <v>3</v>
      </c>
      <c r="D19" s="107" t="s">
        <v>140</v>
      </c>
      <c r="E19" s="107" t="s">
        <v>141</v>
      </c>
      <c r="F19" s="107">
        <v>750</v>
      </c>
      <c r="G19" s="195">
        <v>10</v>
      </c>
      <c r="H19" s="107"/>
    </row>
    <row r="20" spans="1:8">
      <c r="A20" s="107">
        <v>1</v>
      </c>
      <c r="B20" s="107">
        <v>6</v>
      </c>
      <c r="C20" s="107">
        <v>1</v>
      </c>
      <c r="D20" s="107" t="s">
        <v>142</v>
      </c>
      <c r="E20" s="107" t="s">
        <v>143</v>
      </c>
      <c r="F20" s="107">
        <v>600</v>
      </c>
      <c r="G20" s="195">
        <v>10</v>
      </c>
      <c r="H20" s="107">
        <v>1470</v>
      </c>
    </row>
    <row r="21" spans="1:8">
      <c r="A21" s="107">
        <v>1</v>
      </c>
      <c r="B21" s="107">
        <v>6</v>
      </c>
      <c r="C21" s="107">
        <v>2</v>
      </c>
      <c r="D21" s="107" t="s">
        <v>142</v>
      </c>
      <c r="E21" s="107" t="s">
        <v>143</v>
      </c>
      <c r="F21" s="107">
        <v>890</v>
      </c>
      <c r="G21" s="195">
        <v>10</v>
      </c>
      <c r="H21" s="107"/>
    </row>
    <row r="22" spans="1:8">
      <c r="A22" s="107">
        <v>1</v>
      </c>
      <c r="B22" s="107">
        <v>6</v>
      </c>
      <c r="C22" s="107">
        <v>3</v>
      </c>
      <c r="D22" s="107" t="s">
        <v>142</v>
      </c>
      <c r="E22" s="107" t="s">
        <v>143</v>
      </c>
      <c r="F22" s="107">
        <v>830</v>
      </c>
      <c r="G22" s="195">
        <v>12</v>
      </c>
      <c r="H22" s="107"/>
    </row>
    <row r="23" spans="1:8">
      <c r="A23" s="107">
        <v>2</v>
      </c>
      <c r="B23" s="107">
        <v>1</v>
      </c>
      <c r="C23" s="107">
        <v>1</v>
      </c>
      <c r="D23" s="107" t="s">
        <v>144</v>
      </c>
      <c r="E23" s="107" t="s">
        <v>145</v>
      </c>
      <c r="F23" s="107">
        <v>690</v>
      </c>
      <c r="G23" s="195">
        <v>9</v>
      </c>
      <c r="H23" s="107">
        <v>1490</v>
      </c>
    </row>
    <row r="24" spans="1:8">
      <c r="A24" s="107">
        <v>2</v>
      </c>
      <c r="B24" s="107">
        <v>1</v>
      </c>
      <c r="C24" s="107">
        <v>2</v>
      </c>
      <c r="D24" s="107" t="s">
        <v>144</v>
      </c>
      <c r="E24" s="107" t="s">
        <v>145</v>
      </c>
      <c r="F24" s="107">
        <v>730</v>
      </c>
      <c r="G24" s="195">
        <v>9</v>
      </c>
      <c r="H24" s="107"/>
    </row>
    <row r="25" spans="1:8">
      <c r="A25" s="107">
        <v>2</v>
      </c>
      <c r="B25" s="107">
        <v>1</v>
      </c>
      <c r="C25" s="107">
        <v>3</v>
      </c>
      <c r="D25" s="107" t="s">
        <v>144</v>
      </c>
      <c r="E25" s="107" t="s">
        <v>145</v>
      </c>
      <c r="F25" s="107">
        <v>420</v>
      </c>
      <c r="G25" s="195">
        <v>9</v>
      </c>
      <c r="H25" s="107"/>
    </row>
    <row r="26" spans="1:8">
      <c r="A26" s="107">
        <v>2</v>
      </c>
      <c r="B26" s="107">
        <v>2</v>
      </c>
      <c r="C26" s="107">
        <v>1</v>
      </c>
      <c r="D26" s="107" t="s">
        <v>146</v>
      </c>
      <c r="E26" s="107" t="s">
        <v>147</v>
      </c>
      <c r="F26" s="107">
        <v>630</v>
      </c>
      <c r="G26" s="195">
        <v>10</v>
      </c>
      <c r="H26" s="107">
        <v>1660</v>
      </c>
    </row>
    <row r="27" spans="1:8">
      <c r="A27" s="107">
        <v>2</v>
      </c>
      <c r="B27" s="107">
        <v>2</v>
      </c>
      <c r="C27" s="107">
        <v>2</v>
      </c>
      <c r="D27" s="107" t="s">
        <v>146</v>
      </c>
      <c r="E27" s="107" t="s">
        <v>147</v>
      </c>
      <c r="F27" s="107">
        <v>980</v>
      </c>
      <c r="G27" s="195">
        <v>12</v>
      </c>
      <c r="H27" s="107"/>
    </row>
    <row r="28" spans="1:8">
      <c r="A28" s="107">
        <v>2</v>
      </c>
      <c r="B28" s="107">
        <v>2</v>
      </c>
      <c r="C28" s="107">
        <v>3</v>
      </c>
      <c r="D28" s="107" t="s">
        <v>146</v>
      </c>
      <c r="E28" s="107" t="s">
        <v>147</v>
      </c>
      <c r="F28" s="107">
        <v>700</v>
      </c>
      <c r="G28" s="195">
        <v>10</v>
      </c>
      <c r="H28" s="107"/>
    </row>
    <row r="29" spans="1:8">
      <c r="A29" s="107">
        <v>2</v>
      </c>
      <c r="B29" s="107">
        <v>3</v>
      </c>
      <c r="C29" s="107">
        <v>1</v>
      </c>
      <c r="D29" s="107" t="s">
        <v>148</v>
      </c>
      <c r="E29" s="107" t="s">
        <v>149</v>
      </c>
      <c r="F29" s="107">
        <v>230</v>
      </c>
      <c r="G29" s="195">
        <v>6</v>
      </c>
      <c r="H29" s="107">
        <v>1780</v>
      </c>
    </row>
    <row r="30" spans="1:8">
      <c r="A30" s="107">
        <v>2</v>
      </c>
      <c r="B30" s="107">
        <v>3</v>
      </c>
      <c r="C30" s="107">
        <v>2</v>
      </c>
      <c r="D30" s="107" t="s">
        <v>148</v>
      </c>
      <c r="E30" s="107" t="s">
        <v>149</v>
      </c>
      <c r="F30" s="107">
        <v>210</v>
      </c>
      <c r="G30" s="195">
        <v>6</v>
      </c>
      <c r="H30" s="107"/>
    </row>
    <row r="31" spans="1:8">
      <c r="A31" s="107">
        <v>2</v>
      </c>
      <c r="B31" s="107">
        <v>3</v>
      </c>
      <c r="C31" s="107">
        <v>3</v>
      </c>
      <c r="D31" s="107" t="s">
        <v>148</v>
      </c>
      <c r="E31" s="107" t="s">
        <v>149</v>
      </c>
      <c r="F31" s="107">
        <v>230</v>
      </c>
      <c r="G31" s="195">
        <v>7</v>
      </c>
      <c r="H31" s="107"/>
    </row>
    <row r="32" spans="1:8">
      <c r="A32" s="107">
        <v>2</v>
      </c>
      <c r="B32" s="107">
        <v>4</v>
      </c>
      <c r="C32" s="107">
        <v>1</v>
      </c>
      <c r="D32" s="107" t="s">
        <v>150</v>
      </c>
      <c r="E32" s="107" t="s">
        <v>151</v>
      </c>
      <c r="F32" s="107">
        <v>690</v>
      </c>
      <c r="G32" s="195">
        <v>9</v>
      </c>
      <c r="H32" s="107">
        <v>1070</v>
      </c>
    </row>
    <row r="33" spans="1:8">
      <c r="A33" s="107">
        <v>2</v>
      </c>
      <c r="B33" s="107">
        <v>4</v>
      </c>
      <c r="C33" s="107">
        <v>2</v>
      </c>
      <c r="D33" s="107" t="s">
        <v>150</v>
      </c>
      <c r="E33" s="107" t="s">
        <v>151</v>
      </c>
      <c r="F33" s="107">
        <v>760</v>
      </c>
      <c r="G33" s="195">
        <v>9</v>
      </c>
      <c r="H33" s="107"/>
    </row>
    <row r="34" spans="1:8">
      <c r="A34" s="107">
        <v>2</v>
      </c>
      <c r="B34" s="107">
        <v>4</v>
      </c>
      <c r="C34" s="107">
        <v>3</v>
      </c>
      <c r="D34" s="107" t="s">
        <v>150</v>
      </c>
      <c r="E34" s="107" t="s">
        <v>151</v>
      </c>
      <c r="F34" s="107">
        <v>700</v>
      </c>
      <c r="G34" s="195">
        <v>8</v>
      </c>
      <c r="H34" s="107"/>
    </row>
    <row r="35" spans="1:8">
      <c r="A35" s="107">
        <v>2</v>
      </c>
      <c r="B35" s="107">
        <v>5</v>
      </c>
      <c r="C35" s="107">
        <v>1</v>
      </c>
      <c r="D35" s="107" t="s">
        <v>152</v>
      </c>
      <c r="E35" s="107" t="s">
        <v>153</v>
      </c>
      <c r="F35" s="107">
        <v>140</v>
      </c>
      <c r="G35" s="195">
        <v>6</v>
      </c>
      <c r="H35" s="107">
        <v>1740</v>
      </c>
    </row>
    <row r="36" spans="1:8">
      <c r="A36" s="107">
        <v>2</v>
      </c>
      <c r="B36" s="107">
        <v>5</v>
      </c>
      <c r="C36" s="107">
        <v>2</v>
      </c>
      <c r="D36" s="107" t="s">
        <v>152</v>
      </c>
      <c r="E36" s="107" t="s">
        <v>153</v>
      </c>
      <c r="F36" s="107">
        <v>220</v>
      </c>
      <c r="G36" s="195">
        <v>8</v>
      </c>
      <c r="H36" s="107"/>
    </row>
    <row r="37" spans="1:8">
      <c r="A37" s="107">
        <v>2</v>
      </c>
      <c r="B37" s="107">
        <v>5</v>
      </c>
      <c r="C37" s="107">
        <v>3</v>
      </c>
      <c r="D37" s="107" t="s">
        <v>152</v>
      </c>
      <c r="E37" s="107" t="s">
        <v>153</v>
      </c>
      <c r="F37" s="107">
        <v>440</v>
      </c>
      <c r="G37" s="195">
        <v>11</v>
      </c>
      <c r="H37" s="107"/>
    </row>
    <row r="38" spans="1:8">
      <c r="A38" s="107">
        <v>2</v>
      </c>
      <c r="B38" s="107">
        <v>6</v>
      </c>
      <c r="C38" s="107">
        <v>1</v>
      </c>
      <c r="D38" s="107" t="s">
        <v>154</v>
      </c>
      <c r="E38" s="107" t="s">
        <v>155</v>
      </c>
      <c r="F38" s="107">
        <v>900</v>
      </c>
      <c r="G38" s="195">
        <v>10</v>
      </c>
      <c r="H38" s="107">
        <v>1530</v>
      </c>
    </row>
    <row r="39" spans="1:8">
      <c r="A39" s="107">
        <v>2</v>
      </c>
      <c r="B39" s="107">
        <v>6</v>
      </c>
      <c r="C39" s="107">
        <v>2</v>
      </c>
      <c r="D39" s="107" t="s">
        <v>154</v>
      </c>
      <c r="E39" s="107" t="s">
        <v>155</v>
      </c>
      <c r="F39" s="107">
        <v>750</v>
      </c>
      <c r="G39" s="195">
        <v>11</v>
      </c>
      <c r="H39" s="107"/>
    </row>
    <row r="40" spans="1:8">
      <c r="A40" s="107">
        <v>2</v>
      </c>
      <c r="B40" s="107">
        <v>6</v>
      </c>
      <c r="C40" s="107">
        <v>3</v>
      </c>
      <c r="D40" s="107" t="s">
        <v>154</v>
      </c>
      <c r="E40" s="107" t="s">
        <v>155</v>
      </c>
      <c r="F40" s="107">
        <v>720</v>
      </c>
      <c r="G40" s="195">
        <v>9</v>
      </c>
      <c r="H40" s="107"/>
    </row>
    <row r="41" spans="1:8">
      <c r="A41" s="107">
        <v>3</v>
      </c>
      <c r="B41" s="107">
        <v>1</v>
      </c>
      <c r="C41" s="107">
        <v>1</v>
      </c>
      <c r="D41" s="107" t="s">
        <v>156</v>
      </c>
      <c r="E41" s="107" t="s">
        <v>157</v>
      </c>
      <c r="F41" s="107">
        <v>950</v>
      </c>
      <c r="G41" s="195">
        <v>12</v>
      </c>
      <c r="H41" s="107">
        <v>1320</v>
      </c>
    </row>
    <row r="42" spans="1:8">
      <c r="A42" s="107">
        <v>3</v>
      </c>
      <c r="B42" s="107">
        <v>1</v>
      </c>
      <c r="C42" s="107">
        <v>2</v>
      </c>
      <c r="D42" s="107" t="s">
        <v>156</v>
      </c>
      <c r="E42" s="107" t="s">
        <v>157</v>
      </c>
      <c r="F42" s="107">
        <v>1010</v>
      </c>
      <c r="G42" s="195">
        <v>17</v>
      </c>
      <c r="H42" s="107"/>
    </row>
    <row r="43" spans="1:8">
      <c r="A43" s="107">
        <v>3</v>
      </c>
      <c r="B43" s="107">
        <v>1</v>
      </c>
      <c r="C43" s="107">
        <v>3</v>
      </c>
      <c r="D43" s="107" t="s">
        <v>156</v>
      </c>
      <c r="E43" s="107" t="s">
        <v>157</v>
      </c>
      <c r="F43" s="107">
        <v>750</v>
      </c>
      <c r="G43" s="195">
        <v>12</v>
      </c>
      <c r="H43" s="107"/>
    </row>
    <row r="44" spans="1:8">
      <c r="A44" s="107">
        <v>3</v>
      </c>
      <c r="B44" s="107">
        <v>2</v>
      </c>
      <c r="C44" s="107">
        <v>1</v>
      </c>
      <c r="D44" s="107" t="s">
        <v>158</v>
      </c>
      <c r="E44" s="107" t="s">
        <v>159</v>
      </c>
      <c r="F44" s="107">
        <v>830</v>
      </c>
      <c r="G44" s="195">
        <v>8</v>
      </c>
      <c r="H44" s="107">
        <v>1220</v>
      </c>
    </row>
    <row r="45" spans="1:8">
      <c r="A45" s="107">
        <v>3</v>
      </c>
      <c r="B45" s="107">
        <v>2</v>
      </c>
      <c r="C45" s="107">
        <v>2</v>
      </c>
      <c r="D45" s="107" t="s">
        <v>158</v>
      </c>
      <c r="E45" s="107" t="s">
        <v>159</v>
      </c>
      <c r="F45" s="107">
        <v>1000</v>
      </c>
      <c r="G45" s="195">
        <v>11</v>
      </c>
      <c r="H45" s="107"/>
    </row>
    <row r="46" spans="1:8">
      <c r="A46" s="107">
        <v>3</v>
      </c>
      <c r="B46" s="107">
        <v>2</v>
      </c>
      <c r="C46" s="107">
        <v>3</v>
      </c>
      <c r="D46" s="107" t="s">
        <v>158</v>
      </c>
      <c r="E46" s="107" t="s">
        <v>159</v>
      </c>
      <c r="F46" s="107">
        <v>1000</v>
      </c>
      <c r="G46" s="195">
        <v>11</v>
      </c>
      <c r="H46" s="107"/>
    </row>
    <row r="47" spans="1:8">
      <c r="A47" s="107">
        <v>3</v>
      </c>
      <c r="B47" s="107">
        <v>3</v>
      </c>
      <c r="C47" s="107">
        <v>1</v>
      </c>
      <c r="D47" s="107" t="s">
        <v>160</v>
      </c>
      <c r="E47" s="107" t="s">
        <v>161</v>
      </c>
      <c r="F47" s="107">
        <v>1110</v>
      </c>
      <c r="G47" s="195">
        <v>14</v>
      </c>
      <c r="H47" s="107">
        <v>1300</v>
      </c>
    </row>
    <row r="48" spans="1:8">
      <c r="A48" s="107">
        <v>3</v>
      </c>
      <c r="B48" s="107">
        <v>3</v>
      </c>
      <c r="C48" s="107">
        <v>2</v>
      </c>
      <c r="D48" s="107" t="s">
        <v>160</v>
      </c>
      <c r="E48" s="107" t="s">
        <v>161</v>
      </c>
      <c r="F48" s="107">
        <v>960</v>
      </c>
      <c r="G48" s="195">
        <v>13</v>
      </c>
      <c r="H48" s="107"/>
    </row>
    <row r="49" spans="1:8">
      <c r="A49" s="107">
        <v>3</v>
      </c>
      <c r="B49" s="107">
        <v>3</v>
      </c>
      <c r="C49" s="107">
        <v>3</v>
      </c>
      <c r="D49" s="107" t="s">
        <v>160</v>
      </c>
      <c r="E49" s="107" t="s">
        <v>161</v>
      </c>
      <c r="F49" s="107">
        <v>810</v>
      </c>
      <c r="G49" s="195">
        <v>13</v>
      </c>
      <c r="H49" s="107"/>
    </row>
    <row r="50" spans="1:8">
      <c r="A50" s="107">
        <v>3</v>
      </c>
      <c r="B50" s="107">
        <v>4</v>
      </c>
      <c r="C50" s="107">
        <v>1</v>
      </c>
      <c r="D50" s="107" t="s">
        <v>162</v>
      </c>
      <c r="E50" s="107" t="s">
        <v>163</v>
      </c>
      <c r="F50" s="107">
        <v>620</v>
      </c>
      <c r="G50" s="195">
        <v>7</v>
      </c>
      <c r="H50" s="107">
        <v>990</v>
      </c>
    </row>
    <row r="51" spans="1:8">
      <c r="A51" s="107">
        <v>3</v>
      </c>
      <c r="B51" s="107">
        <v>4</v>
      </c>
      <c r="C51" s="107">
        <v>2</v>
      </c>
      <c r="D51" s="107" t="s">
        <v>162</v>
      </c>
      <c r="E51" s="107" t="s">
        <v>163</v>
      </c>
      <c r="F51" s="107">
        <v>930</v>
      </c>
      <c r="G51" s="195">
        <v>10</v>
      </c>
      <c r="H51" s="107"/>
    </row>
    <row r="52" spans="1:8">
      <c r="A52" s="107">
        <v>3</v>
      </c>
      <c r="B52" s="107">
        <v>4</v>
      </c>
      <c r="C52" s="107">
        <v>3</v>
      </c>
      <c r="D52" s="107" t="s">
        <v>162</v>
      </c>
      <c r="E52" s="107" t="s">
        <v>163</v>
      </c>
      <c r="F52" s="107">
        <v>860</v>
      </c>
      <c r="G52" s="195">
        <v>10</v>
      </c>
      <c r="H52" s="107"/>
    </row>
    <row r="54" spans="1:8">
      <c r="A54" s="107">
        <v>3</v>
      </c>
      <c r="B54" s="107">
        <v>5</v>
      </c>
      <c r="C54" s="107">
        <v>1</v>
      </c>
      <c r="D54" s="107" t="s">
        <v>164</v>
      </c>
      <c r="E54" s="107" t="s">
        <v>165</v>
      </c>
      <c r="F54" s="107">
        <v>310</v>
      </c>
      <c r="G54" s="107">
        <v>420</v>
      </c>
      <c r="H54" s="107">
        <v>445</v>
      </c>
    </row>
    <row r="55" spans="1:8">
      <c r="A55" s="107">
        <v>3</v>
      </c>
      <c r="B55" s="107">
        <v>5</v>
      </c>
      <c r="C55" s="107">
        <v>2</v>
      </c>
      <c r="D55" s="107" t="s">
        <v>164</v>
      </c>
      <c r="E55" s="107" t="s">
        <v>165</v>
      </c>
      <c r="F55" s="107">
        <v>280</v>
      </c>
      <c r="G55" s="107">
        <v>29</v>
      </c>
      <c r="H55" s="107"/>
    </row>
    <row r="56" spans="1:8">
      <c r="A56" s="107">
        <v>3</v>
      </c>
      <c r="B56" s="107">
        <v>5</v>
      </c>
      <c r="C56" s="107">
        <v>3</v>
      </c>
      <c r="D56" s="107" t="s">
        <v>164</v>
      </c>
      <c r="E56" s="107" t="s">
        <v>165</v>
      </c>
      <c r="F56" s="107">
        <v>240</v>
      </c>
      <c r="G56" s="195">
        <v>48</v>
      </c>
      <c r="H56" s="107"/>
    </row>
    <row r="57" spans="1:8">
      <c r="A57" s="107">
        <v>3</v>
      </c>
      <c r="B57" s="107">
        <v>6</v>
      </c>
      <c r="C57" s="107">
        <v>1</v>
      </c>
      <c r="D57" s="107" t="s">
        <v>166</v>
      </c>
      <c r="E57" s="107" t="s">
        <v>167</v>
      </c>
      <c r="F57" s="107">
        <v>250</v>
      </c>
      <c r="G57" s="195">
        <v>23</v>
      </c>
      <c r="H57" s="107">
        <v>720</v>
      </c>
    </row>
    <row r="58" spans="1:8">
      <c r="A58" s="107">
        <v>3</v>
      </c>
      <c r="B58" s="107">
        <v>6</v>
      </c>
      <c r="C58" s="107">
        <v>2</v>
      </c>
      <c r="D58" s="107" t="s">
        <v>166</v>
      </c>
      <c r="E58" s="107" t="s">
        <v>167</v>
      </c>
      <c r="F58" s="107">
        <v>160</v>
      </c>
      <c r="G58" s="195">
        <v>8</v>
      </c>
      <c r="H58" s="107"/>
    </row>
    <row r="59" spans="1:8">
      <c r="A59" s="107">
        <v>3</v>
      </c>
      <c r="B59" s="107">
        <v>6</v>
      </c>
      <c r="C59" s="107">
        <v>3</v>
      </c>
      <c r="D59" s="107" t="s">
        <v>166</v>
      </c>
      <c r="E59" s="107" t="s">
        <v>167</v>
      </c>
      <c r="F59" s="107">
        <v>170</v>
      </c>
      <c r="G59" s="195">
        <v>10</v>
      </c>
      <c r="H59" s="107"/>
    </row>
    <row r="60" spans="1:8">
      <c r="A60" s="107">
        <v>4</v>
      </c>
      <c r="B60" s="107">
        <v>1</v>
      </c>
      <c r="C60" s="107">
        <v>1</v>
      </c>
      <c r="D60" s="107" t="s">
        <v>168</v>
      </c>
      <c r="E60" s="107" t="s">
        <v>169</v>
      </c>
      <c r="F60" s="107">
        <v>220</v>
      </c>
      <c r="G60" s="195">
        <v>6</v>
      </c>
      <c r="H60" s="107">
        <v>1190</v>
      </c>
    </row>
    <row r="61" spans="1:8">
      <c r="A61" s="107">
        <v>4</v>
      </c>
      <c r="B61" s="107">
        <v>1</v>
      </c>
      <c r="C61" s="107">
        <v>2</v>
      </c>
      <c r="D61" s="107" t="s">
        <v>168</v>
      </c>
      <c r="E61" s="107" t="s">
        <v>169</v>
      </c>
      <c r="F61" s="107">
        <v>600</v>
      </c>
      <c r="G61" s="195">
        <v>11</v>
      </c>
      <c r="H61" s="107"/>
    </row>
    <row r="62" spans="1:8">
      <c r="A62" s="107">
        <v>4</v>
      </c>
      <c r="B62" s="107">
        <v>1</v>
      </c>
      <c r="C62" s="107">
        <v>3</v>
      </c>
      <c r="D62" s="107" t="s">
        <v>168</v>
      </c>
      <c r="E62" s="107" t="s">
        <v>169</v>
      </c>
      <c r="F62" s="107">
        <v>200</v>
      </c>
      <c r="G62" s="195">
        <v>6</v>
      </c>
      <c r="H62" s="107"/>
    </row>
    <row r="63" spans="1:8">
      <c r="A63" s="107">
        <v>4</v>
      </c>
      <c r="B63" s="107">
        <v>2</v>
      </c>
      <c r="C63" s="107">
        <v>1</v>
      </c>
      <c r="D63" s="107" t="s">
        <v>170</v>
      </c>
      <c r="E63" s="107" t="s">
        <v>171</v>
      </c>
      <c r="F63" s="107">
        <v>220</v>
      </c>
      <c r="G63" s="195">
        <v>6</v>
      </c>
      <c r="H63" s="107">
        <v>1170</v>
      </c>
    </row>
    <row r="64" spans="1:8">
      <c r="A64" s="107">
        <v>4</v>
      </c>
      <c r="B64" s="107">
        <v>2</v>
      </c>
      <c r="C64" s="107">
        <v>2</v>
      </c>
      <c r="D64" s="107" t="s">
        <v>170</v>
      </c>
      <c r="E64" s="107" t="s">
        <v>171</v>
      </c>
      <c r="F64" s="107">
        <v>820</v>
      </c>
      <c r="G64" s="195">
        <v>12</v>
      </c>
      <c r="H64" s="107"/>
    </row>
    <row r="65" spans="1:8">
      <c r="A65" s="107">
        <v>4</v>
      </c>
      <c r="B65" s="107">
        <v>2</v>
      </c>
      <c r="C65" s="107">
        <v>3</v>
      </c>
      <c r="D65" s="107" t="s">
        <v>170</v>
      </c>
      <c r="E65" s="107" t="s">
        <v>171</v>
      </c>
      <c r="F65" s="107">
        <v>870</v>
      </c>
      <c r="G65" s="195">
        <v>11</v>
      </c>
      <c r="H65" s="107"/>
    </row>
    <row r="66" spans="1:8">
      <c r="A66" s="107">
        <v>4</v>
      </c>
      <c r="B66" s="107">
        <v>3</v>
      </c>
      <c r="C66" s="107">
        <v>1</v>
      </c>
      <c r="D66" s="107" t="s">
        <v>172</v>
      </c>
      <c r="E66" s="107" t="s">
        <v>173</v>
      </c>
      <c r="F66" s="107">
        <v>193</v>
      </c>
      <c r="G66" s="195">
        <v>6</v>
      </c>
      <c r="H66" s="107">
        <v>1030</v>
      </c>
    </row>
    <row r="67" spans="1:8">
      <c r="A67" s="107">
        <v>4</v>
      </c>
      <c r="B67" s="107">
        <v>3</v>
      </c>
      <c r="C67" s="107">
        <v>2</v>
      </c>
      <c r="D67" s="107" t="s">
        <v>172</v>
      </c>
      <c r="E67" s="107" t="s">
        <v>173</v>
      </c>
      <c r="F67" s="107">
        <v>170</v>
      </c>
      <c r="G67" s="195">
        <v>8</v>
      </c>
      <c r="H67" s="107"/>
    </row>
    <row r="68" spans="1:8">
      <c r="A68" s="107">
        <v>4</v>
      </c>
      <c r="B68" s="107">
        <v>3</v>
      </c>
      <c r="C68" s="107">
        <v>3</v>
      </c>
      <c r="D68" s="107" t="s">
        <v>172</v>
      </c>
      <c r="E68" s="107" t="s">
        <v>173</v>
      </c>
      <c r="F68" s="107">
        <v>510</v>
      </c>
      <c r="G68" s="195">
        <v>11</v>
      </c>
      <c r="H68" s="107"/>
    </row>
    <row r="69" spans="1:8">
      <c r="A69" s="107">
        <v>4</v>
      </c>
      <c r="B69" s="107">
        <v>4</v>
      </c>
      <c r="C69" s="107">
        <v>1</v>
      </c>
      <c r="D69" s="107" t="s">
        <v>174</v>
      </c>
      <c r="E69" s="107" t="s">
        <v>175</v>
      </c>
      <c r="F69" s="107">
        <v>200</v>
      </c>
      <c r="G69" s="195">
        <v>6</v>
      </c>
      <c r="H69" s="107">
        <v>1170</v>
      </c>
    </row>
    <row r="70" spans="1:8">
      <c r="A70" s="107">
        <v>4</v>
      </c>
      <c r="B70" s="107">
        <v>4</v>
      </c>
      <c r="C70" s="107">
        <v>2</v>
      </c>
      <c r="D70" s="107" t="s">
        <v>174</v>
      </c>
      <c r="E70" s="107" t="s">
        <v>175</v>
      </c>
      <c r="F70" s="107">
        <v>330</v>
      </c>
      <c r="G70" s="195">
        <v>8</v>
      </c>
      <c r="H70" s="107"/>
    </row>
    <row r="71" spans="1:8">
      <c r="A71" s="107">
        <v>4</v>
      </c>
      <c r="B71" s="107">
        <v>4</v>
      </c>
      <c r="C71" s="107">
        <v>3</v>
      </c>
      <c r="D71" s="107" t="s">
        <v>174</v>
      </c>
      <c r="E71" s="107" t="s">
        <v>175</v>
      </c>
      <c r="F71" s="107">
        <v>590</v>
      </c>
      <c r="G71" s="195">
        <v>12</v>
      </c>
      <c r="H71" s="107"/>
    </row>
    <row r="72" spans="1:8">
      <c r="A72" s="107">
        <v>4</v>
      </c>
      <c r="B72" s="107">
        <v>5</v>
      </c>
      <c r="C72" s="107">
        <v>1</v>
      </c>
      <c r="D72" s="107" t="s">
        <v>176</v>
      </c>
      <c r="E72" s="107" t="s">
        <v>177</v>
      </c>
      <c r="F72" s="107">
        <v>180</v>
      </c>
      <c r="G72" s="195">
        <v>4</v>
      </c>
      <c r="H72" s="107">
        <v>1040</v>
      </c>
    </row>
    <row r="73" spans="1:8">
      <c r="A73" s="107">
        <v>4</v>
      </c>
      <c r="B73" s="107">
        <v>5</v>
      </c>
      <c r="C73" s="107">
        <v>2</v>
      </c>
      <c r="D73" s="107" t="s">
        <v>176</v>
      </c>
      <c r="E73" s="107" t="s">
        <v>177</v>
      </c>
      <c r="F73" s="107">
        <v>200</v>
      </c>
      <c r="G73" s="195">
        <v>5</v>
      </c>
      <c r="H73" s="107"/>
    </row>
    <row r="74" spans="1:8">
      <c r="A74" s="107">
        <v>4</v>
      </c>
      <c r="B74" s="107">
        <v>5</v>
      </c>
      <c r="C74" s="107">
        <v>3</v>
      </c>
      <c r="D74" s="107" t="s">
        <v>176</v>
      </c>
      <c r="E74" s="107" t="s">
        <v>177</v>
      </c>
      <c r="F74" s="107">
        <v>150</v>
      </c>
      <c r="G74" s="195">
        <v>5</v>
      </c>
      <c r="H74" s="107"/>
    </row>
    <row r="75" spans="1:8">
      <c r="A75" s="107">
        <v>4</v>
      </c>
      <c r="B75" s="107">
        <v>6</v>
      </c>
      <c r="C75" s="107">
        <v>1</v>
      </c>
      <c r="D75" s="107" t="s">
        <v>178</v>
      </c>
      <c r="E75" s="107" t="s">
        <v>179</v>
      </c>
      <c r="F75" s="107">
        <v>210</v>
      </c>
      <c r="G75" s="195">
        <v>5</v>
      </c>
      <c r="H75" s="107">
        <v>860</v>
      </c>
    </row>
    <row r="76" spans="1:8">
      <c r="A76" s="107">
        <v>4</v>
      </c>
      <c r="B76" s="107">
        <v>6</v>
      </c>
      <c r="C76" s="107">
        <v>2</v>
      </c>
      <c r="D76" s="107" t="s">
        <v>178</v>
      </c>
      <c r="E76" s="107" t="s">
        <v>179</v>
      </c>
      <c r="F76" s="107">
        <v>200</v>
      </c>
      <c r="G76" s="195">
        <v>8</v>
      </c>
      <c r="H76" s="107"/>
    </row>
    <row r="77" spans="1:8">
      <c r="A77" s="107">
        <v>4</v>
      </c>
      <c r="B77" s="107">
        <v>6</v>
      </c>
      <c r="C77" s="107">
        <v>3</v>
      </c>
      <c r="D77" s="107" t="s">
        <v>178</v>
      </c>
      <c r="E77" s="107" t="s">
        <v>179</v>
      </c>
      <c r="F77" s="107">
        <v>230</v>
      </c>
      <c r="G77" s="195">
        <v>7</v>
      </c>
      <c r="H77" s="107"/>
    </row>
    <row r="78" spans="1:8">
      <c r="A78" s="107">
        <v>5</v>
      </c>
      <c r="B78" s="107">
        <v>1</v>
      </c>
      <c r="C78" s="107">
        <v>1</v>
      </c>
      <c r="D78" s="107" t="s">
        <v>180</v>
      </c>
      <c r="E78" s="107" t="s">
        <v>181</v>
      </c>
      <c r="F78" s="107">
        <v>180</v>
      </c>
      <c r="G78" s="195">
        <v>7</v>
      </c>
      <c r="H78" s="107">
        <v>220</v>
      </c>
    </row>
    <row r="79" spans="1:8">
      <c r="A79" s="107">
        <v>5</v>
      </c>
      <c r="B79" s="107">
        <v>1</v>
      </c>
      <c r="C79" s="107">
        <v>2</v>
      </c>
      <c r="D79" s="107" t="s">
        <v>180</v>
      </c>
      <c r="E79" s="107" t="s">
        <v>181</v>
      </c>
      <c r="F79" s="107">
        <v>190</v>
      </c>
      <c r="G79" s="195">
        <v>6</v>
      </c>
      <c r="H79" s="107"/>
    </row>
    <row r="80" spans="1:8">
      <c r="A80" s="107">
        <v>5</v>
      </c>
      <c r="B80" s="107">
        <v>1</v>
      </c>
      <c r="C80" s="107">
        <v>3</v>
      </c>
      <c r="D80" s="107" t="s">
        <v>180</v>
      </c>
      <c r="E80" s="107" t="s">
        <v>181</v>
      </c>
      <c r="F80" s="107">
        <v>250</v>
      </c>
      <c r="G80" s="195">
        <v>8</v>
      </c>
      <c r="H80" s="107"/>
    </row>
    <row r="81" spans="1:8">
      <c r="A81" s="107">
        <v>5</v>
      </c>
      <c r="B81" s="107">
        <v>2</v>
      </c>
      <c r="C81" s="107">
        <v>1</v>
      </c>
      <c r="D81" s="107" t="s">
        <v>182</v>
      </c>
      <c r="E81" s="107" t="s">
        <v>183</v>
      </c>
      <c r="F81" s="107">
        <v>1550</v>
      </c>
      <c r="G81" s="195">
        <v>12</v>
      </c>
      <c r="H81" s="107">
        <v>1600</v>
      </c>
    </row>
    <row r="82" spans="1:8">
      <c r="A82" s="107">
        <v>5</v>
      </c>
      <c r="B82" s="107">
        <v>2</v>
      </c>
      <c r="C82" s="107">
        <v>2</v>
      </c>
      <c r="D82" s="107" t="s">
        <v>182</v>
      </c>
      <c r="E82" s="107" t="s">
        <v>183</v>
      </c>
      <c r="F82" s="107">
        <v>1440</v>
      </c>
      <c r="G82" s="195">
        <v>9</v>
      </c>
      <c r="H82" s="107"/>
    </row>
    <row r="83" spans="1:8">
      <c r="A83" s="107">
        <v>5</v>
      </c>
      <c r="B83" s="107">
        <v>2</v>
      </c>
      <c r="C83" s="107">
        <v>3</v>
      </c>
      <c r="D83" s="107" t="s">
        <v>182</v>
      </c>
      <c r="E83" s="107" t="s">
        <v>183</v>
      </c>
      <c r="F83" s="107">
        <v>1410</v>
      </c>
      <c r="G83" s="195">
        <v>9</v>
      </c>
      <c r="H83" s="107"/>
    </row>
    <row r="84" spans="1:8">
      <c r="A84" s="107">
        <v>5</v>
      </c>
      <c r="B84" s="107">
        <v>3</v>
      </c>
      <c r="C84" s="107">
        <v>1</v>
      </c>
      <c r="D84" s="107" t="s">
        <v>184</v>
      </c>
      <c r="E84" s="107" t="s">
        <v>185</v>
      </c>
      <c r="F84" s="107">
        <v>1220</v>
      </c>
      <c r="G84" s="195">
        <v>15</v>
      </c>
      <c r="H84" s="107">
        <v>2160</v>
      </c>
    </row>
    <row r="85" spans="1:8">
      <c r="A85" s="107">
        <v>5</v>
      </c>
      <c r="B85" s="107">
        <v>3</v>
      </c>
      <c r="C85" s="107">
        <v>2</v>
      </c>
      <c r="D85" s="107" t="s">
        <v>184</v>
      </c>
      <c r="E85" s="107" t="s">
        <v>185</v>
      </c>
      <c r="F85" s="107">
        <v>1000</v>
      </c>
      <c r="G85" s="195">
        <v>15</v>
      </c>
      <c r="H85" s="107"/>
    </row>
    <row r="86" spans="1:8">
      <c r="A86" s="107">
        <v>5</v>
      </c>
      <c r="B86" s="107">
        <v>3</v>
      </c>
      <c r="C86" s="107">
        <v>3</v>
      </c>
      <c r="D86" s="107" t="s">
        <v>184</v>
      </c>
      <c r="E86" s="107" t="s">
        <v>185</v>
      </c>
      <c r="F86" s="107">
        <v>1020</v>
      </c>
      <c r="G86" s="195">
        <v>11</v>
      </c>
      <c r="H86" s="107"/>
    </row>
    <row r="87" spans="1:8">
      <c r="A87" s="107">
        <v>5</v>
      </c>
      <c r="B87" s="107">
        <v>4</v>
      </c>
      <c r="C87" s="107">
        <v>1</v>
      </c>
      <c r="D87" s="107" t="s">
        <v>186</v>
      </c>
      <c r="E87" s="107" t="s">
        <v>187</v>
      </c>
      <c r="F87" s="107">
        <v>1000</v>
      </c>
      <c r="G87" s="195">
        <v>11</v>
      </c>
      <c r="H87" s="107">
        <v>1570</v>
      </c>
    </row>
    <row r="88" spans="1:8">
      <c r="A88" s="107">
        <v>5</v>
      </c>
      <c r="B88" s="107">
        <v>4</v>
      </c>
      <c r="C88" s="107">
        <v>2</v>
      </c>
      <c r="D88" s="107" t="s">
        <v>186</v>
      </c>
      <c r="E88" s="107" t="s">
        <v>187</v>
      </c>
      <c r="F88" s="107">
        <v>600</v>
      </c>
      <c r="G88" s="195">
        <v>11</v>
      </c>
      <c r="H88" s="107"/>
    </row>
    <row r="89" spans="1:8">
      <c r="A89" s="107">
        <v>5</v>
      </c>
      <c r="B89" s="107">
        <v>4</v>
      </c>
      <c r="C89" s="107">
        <v>3</v>
      </c>
      <c r="D89" s="107" t="s">
        <v>186</v>
      </c>
      <c r="E89" s="107" t="s">
        <v>187</v>
      </c>
      <c r="F89" s="107">
        <v>1200</v>
      </c>
      <c r="G89" s="195">
        <v>15</v>
      </c>
      <c r="H89" s="107"/>
    </row>
    <row r="90" spans="1:8">
      <c r="A90" s="107">
        <v>5</v>
      </c>
      <c r="B90" s="107">
        <v>5</v>
      </c>
      <c r="C90" s="107">
        <v>1</v>
      </c>
      <c r="D90" s="107" t="s">
        <v>188</v>
      </c>
      <c r="E90" s="107" t="s">
        <v>189</v>
      </c>
      <c r="F90" s="107">
        <v>620</v>
      </c>
      <c r="G90" s="195">
        <v>10</v>
      </c>
      <c r="H90" s="107">
        <v>1520</v>
      </c>
    </row>
    <row r="91" spans="1:8">
      <c r="A91" s="107">
        <v>5</v>
      </c>
      <c r="B91" s="107">
        <v>5</v>
      </c>
      <c r="C91" s="107">
        <v>2</v>
      </c>
      <c r="D91" s="107" t="s">
        <v>188</v>
      </c>
      <c r="E91" s="107" t="s">
        <v>189</v>
      </c>
      <c r="F91" s="107">
        <v>1040</v>
      </c>
      <c r="G91" s="195">
        <v>12</v>
      </c>
      <c r="H91" s="107"/>
    </row>
    <row r="92" spans="1:8">
      <c r="A92" s="107">
        <v>5</v>
      </c>
      <c r="B92" s="107">
        <v>5</v>
      </c>
      <c r="C92" s="107">
        <v>3</v>
      </c>
      <c r="D92" s="107" t="s">
        <v>188</v>
      </c>
      <c r="E92" s="107" t="s">
        <v>189</v>
      </c>
      <c r="F92" s="107">
        <v>1180</v>
      </c>
      <c r="G92" s="195">
        <v>14</v>
      </c>
      <c r="H92" s="107"/>
    </row>
    <row r="93" spans="1:8">
      <c r="A93" s="107">
        <v>5</v>
      </c>
      <c r="B93" s="107">
        <v>6</v>
      </c>
      <c r="C93" s="107">
        <v>1</v>
      </c>
      <c r="D93" s="107" t="s">
        <v>190</v>
      </c>
      <c r="E93" s="107" t="s">
        <v>191</v>
      </c>
      <c r="F93" s="107">
        <v>1120</v>
      </c>
      <c r="G93" s="195">
        <v>16</v>
      </c>
      <c r="H93" s="107">
        <v>1610</v>
      </c>
    </row>
    <row r="94" spans="1:8">
      <c r="A94" s="107">
        <v>5</v>
      </c>
      <c r="B94" s="107">
        <v>6</v>
      </c>
      <c r="C94" s="107">
        <v>2</v>
      </c>
      <c r="D94" s="107" t="s">
        <v>190</v>
      </c>
      <c r="E94" s="107" t="s">
        <v>191</v>
      </c>
      <c r="F94" s="107">
        <v>710</v>
      </c>
      <c r="G94" s="195">
        <v>10</v>
      </c>
      <c r="H94" s="107"/>
    </row>
    <row r="95" spans="1:8">
      <c r="A95" s="107">
        <v>5</v>
      </c>
      <c r="B95" s="107">
        <v>6</v>
      </c>
      <c r="C95" s="107">
        <v>3</v>
      </c>
      <c r="D95" s="107" t="s">
        <v>190</v>
      </c>
      <c r="E95" s="107" t="s">
        <v>191</v>
      </c>
      <c r="F95" s="107">
        <v>1050</v>
      </c>
      <c r="G95" s="195">
        <v>12</v>
      </c>
      <c r="H95" s="107"/>
    </row>
    <row r="96" spans="1:8">
      <c r="A96" s="107">
        <v>6</v>
      </c>
      <c r="B96" s="107">
        <v>1</v>
      </c>
      <c r="C96" s="107">
        <v>1</v>
      </c>
      <c r="D96" s="107" t="s">
        <v>192</v>
      </c>
      <c r="E96" s="107" t="s">
        <v>193</v>
      </c>
      <c r="F96" s="107">
        <v>650</v>
      </c>
      <c r="G96" s="195">
        <v>9</v>
      </c>
      <c r="H96" s="107">
        <v>1430</v>
      </c>
    </row>
    <row r="97" spans="1:8">
      <c r="A97" s="107">
        <v>6</v>
      </c>
      <c r="B97" s="107">
        <v>1</v>
      </c>
      <c r="C97" s="107">
        <v>2</v>
      </c>
      <c r="D97" s="107" t="s">
        <v>192</v>
      </c>
      <c r="E97" s="107" t="s">
        <v>193</v>
      </c>
      <c r="F97" s="107">
        <v>1000</v>
      </c>
      <c r="G97" s="195">
        <v>11</v>
      </c>
      <c r="H97" s="107"/>
    </row>
    <row r="98" spans="1:8">
      <c r="A98" s="107">
        <v>6</v>
      </c>
      <c r="B98" s="107">
        <v>1</v>
      </c>
      <c r="C98" s="107">
        <v>3</v>
      </c>
      <c r="D98" s="107" t="s">
        <v>192</v>
      </c>
      <c r="E98" s="107" t="s">
        <v>193</v>
      </c>
      <c r="F98" s="107">
        <v>940</v>
      </c>
      <c r="G98" s="195">
        <v>9</v>
      </c>
      <c r="H98" s="107"/>
    </row>
    <row r="99" spans="1:8">
      <c r="A99" s="107">
        <v>6</v>
      </c>
      <c r="B99" s="107">
        <v>2</v>
      </c>
      <c r="C99" s="107">
        <v>1</v>
      </c>
      <c r="D99" s="107" t="s">
        <v>194</v>
      </c>
      <c r="E99" s="107" t="s">
        <v>195</v>
      </c>
      <c r="F99" s="107">
        <v>230</v>
      </c>
      <c r="G99" s="195">
        <v>6</v>
      </c>
      <c r="H99" s="107">
        <v>1520</v>
      </c>
    </row>
    <row r="100" spans="1:8">
      <c r="A100" s="107">
        <v>6</v>
      </c>
      <c r="B100" s="107">
        <v>2</v>
      </c>
      <c r="C100" s="107">
        <v>2</v>
      </c>
      <c r="D100" s="107" t="s">
        <v>194</v>
      </c>
      <c r="E100" s="107" t="s">
        <v>195</v>
      </c>
      <c r="F100" s="107">
        <v>240</v>
      </c>
      <c r="G100" s="195">
        <v>6</v>
      </c>
      <c r="H100" s="107"/>
    </row>
    <row r="101" spans="1:8">
      <c r="A101" s="107">
        <v>6</v>
      </c>
      <c r="B101" s="107">
        <v>2</v>
      </c>
      <c r="C101" s="107">
        <v>3</v>
      </c>
      <c r="D101" s="107" t="s">
        <v>194</v>
      </c>
      <c r="E101" s="107" t="s">
        <v>195</v>
      </c>
      <c r="F101" s="107">
        <v>210</v>
      </c>
      <c r="G101" s="195">
        <v>5</v>
      </c>
      <c r="H101" s="107"/>
    </row>
    <row r="103" spans="1:8">
      <c r="A103" s="107">
        <v>6</v>
      </c>
      <c r="B103" s="107">
        <v>3</v>
      </c>
      <c r="C103" s="107">
        <v>1</v>
      </c>
      <c r="D103" s="107" t="s">
        <v>196</v>
      </c>
      <c r="E103" s="107" t="s">
        <v>197</v>
      </c>
      <c r="F103" s="107">
        <v>950</v>
      </c>
      <c r="G103" s="195">
        <v>11</v>
      </c>
      <c r="H103" s="107">
        <v>1600</v>
      </c>
    </row>
    <row r="104" spans="1:8">
      <c r="A104" s="107">
        <v>6</v>
      </c>
      <c r="B104" s="107">
        <v>3</v>
      </c>
      <c r="C104" s="107">
        <v>2</v>
      </c>
      <c r="D104" s="107" t="s">
        <v>196</v>
      </c>
      <c r="E104" s="107" t="s">
        <v>197</v>
      </c>
      <c r="F104" s="107">
        <v>800</v>
      </c>
      <c r="G104" s="195">
        <v>12</v>
      </c>
      <c r="H104" s="196"/>
    </row>
    <row r="105" spans="1:8">
      <c r="A105" s="107">
        <v>6</v>
      </c>
      <c r="B105" s="107">
        <v>3</v>
      </c>
      <c r="C105" s="107">
        <v>3</v>
      </c>
      <c r="D105" s="107" t="s">
        <v>196</v>
      </c>
      <c r="E105" s="107" t="s">
        <v>197</v>
      </c>
      <c r="F105" s="107">
        <v>980</v>
      </c>
      <c r="G105" s="195">
        <v>11</v>
      </c>
      <c r="H105" s="107"/>
    </row>
    <row r="106" spans="1:8">
      <c r="A106" s="107">
        <v>6</v>
      </c>
      <c r="B106" s="107">
        <v>4</v>
      </c>
      <c r="C106" s="107">
        <v>1</v>
      </c>
      <c r="D106" s="107" t="s">
        <v>198</v>
      </c>
      <c r="E106" s="107" t="s">
        <v>199</v>
      </c>
      <c r="F106" s="107">
        <v>970</v>
      </c>
      <c r="G106" s="195">
        <v>15</v>
      </c>
      <c r="H106" s="107">
        <v>1460</v>
      </c>
    </row>
    <row r="107" spans="1:8">
      <c r="A107" s="107">
        <v>6</v>
      </c>
      <c r="B107" s="107">
        <v>4</v>
      </c>
      <c r="C107" s="107">
        <v>2</v>
      </c>
      <c r="D107" s="107" t="s">
        <v>198</v>
      </c>
      <c r="E107" s="107" t="s">
        <v>199</v>
      </c>
      <c r="F107" s="107">
        <v>500</v>
      </c>
      <c r="G107" s="195">
        <v>10</v>
      </c>
      <c r="H107" s="107"/>
    </row>
    <row r="108" spans="1:8">
      <c r="A108" s="107">
        <v>6</v>
      </c>
      <c r="B108" s="107">
        <v>4</v>
      </c>
      <c r="C108" s="107">
        <v>3</v>
      </c>
      <c r="D108" s="107" t="s">
        <v>198</v>
      </c>
      <c r="E108" s="107" t="s">
        <v>199</v>
      </c>
      <c r="F108" s="107">
        <v>620</v>
      </c>
      <c r="G108" s="195">
        <v>10</v>
      </c>
      <c r="H108" s="107"/>
    </row>
    <row r="109" spans="1:8">
      <c r="A109" s="107">
        <v>6</v>
      </c>
      <c r="B109" s="107">
        <v>5</v>
      </c>
      <c r="C109" s="107">
        <v>1</v>
      </c>
      <c r="D109" s="107" t="s">
        <v>200</v>
      </c>
      <c r="E109" s="107" t="s">
        <v>201</v>
      </c>
      <c r="F109" s="107">
        <v>420</v>
      </c>
      <c r="G109" s="195">
        <v>7</v>
      </c>
      <c r="H109" s="107">
        <v>990</v>
      </c>
    </row>
    <row r="110" spans="1:8">
      <c r="A110" s="107">
        <v>6</v>
      </c>
      <c r="B110" s="107">
        <v>5</v>
      </c>
      <c r="C110" s="107">
        <v>2</v>
      </c>
      <c r="D110" s="107" t="s">
        <v>200</v>
      </c>
      <c r="E110" s="107" t="s">
        <v>201</v>
      </c>
      <c r="F110" s="107">
        <v>330</v>
      </c>
      <c r="G110" s="195">
        <v>6</v>
      </c>
      <c r="H110" s="107"/>
    </row>
    <row r="111" spans="1:8">
      <c r="A111" s="107">
        <v>6</v>
      </c>
      <c r="B111" s="107">
        <v>5</v>
      </c>
      <c r="C111" s="107">
        <v>3</v>
      </c>
      <c r="D111" s="107" t="s">
        <v>200</v>
      </c>
      <c r="E111" s="107" t="s">
        <v>201</v>
      </c>
      <c r="F111" s="107">
        <v>90</v>
      </c>
      <c r="G111" s="195">
        <v>4</v>
      </c>
      <c r="H111" s="107"/>
    </row>
    <row r="112" spans="1:8">
      <c r="A112" s="107">
        <v>6</v>
      </c>
      <c r="B112" s="107">
        <v>6</v>
      </c>
      <c r="C112" s="107">
        <v>1</v>
      </c>
      <c r="D112" s="107" t="s">
        <v>202</v>
      </c>
      <c r="E112" s="107" t="s">
        <v>203</v>
      </c>
      <c r="F112" s="107">
        <v>260</v>
      </c>
      <c r="G112" s="195">
        <v>5</v>
      </c>
      <c r="H112" s="107">
        <v>310</v>
      </c>
    </row>
    <row r="113" spans="1:8">
      <c r="A113" s="107">
        <v>6</v>
      </c>
      <c r="B113" s="107">
        <v>6</v>
      </c>
      <c r="C113" s="107">
        <v>2</v>
      </c>
      <c r="D113" s="107" t="s">
        <v>202</v>
      </c>
      <c r="E113" s="107" t="s">
        <v>203</v>
      </c>
      <c r="F113" s="107">
        <v>290</v>
      </c>
      <c r="G113" s="195">
        <v>4</v>
      </c>
      <c r="H113" s="107"/>
    </row>
    <row r="114" spans="1:8">
      <c r="A114" s="107">
        <v>6</v>
      </c>
      <c r="B114" s="107">
        <v>6</v>
      </c>
      <c r="C114" s="107">
        <v>3</v>
      </c>
      <c r="D114" s="107" t="s">
        <v>202</v>
      </c>
      <c r="E114" s="107" t="s">
        <v>203</v>
      </c>
      <c r="F114" s="107">
        <v>280</v>
      </c>
      <c r="G114" s="195">
        <v>5</v>
      </c>
      <c r="H114" s="107"/>
    </row>
    <row r="115" spans="1:8">
      <c r="A115" s="107">
        <v>7</v>
      </c>
      <c r="B115" s="107">
        <v>1</v>
      </c>
      <c r="C115" s="107">
        <v>1</v>
      </c>
      <c r="D115" s="107" t="s">
        <v>204</v>
      </c>
      <c r="E115" s="107" t="s">
        <v>205</v>
      </c>
      <c r="F115" s="107">
        <v>280</v>
      </c>
      <c r="G115" s="195">
        <v>40</v>
      </c>
      <c r="H115" s="107">
        <v>180</v>
      </c>
    </row>
    <row r="116" spans="1:8">
      <c r="A116" s="107">
        <v>7</v>
      </c>
      <c r="B116" s="107">
        <v>1</v>
      </c>
      <c r="C116" s="107">
        <v>2</v>
      </c>
      <c r="D116" s="107" t="s">
        <v>204</v>
      </c>
      <c r="E116" s="107" t="s">
        <v>205</v>
      </c>
      <c r="F116" s="107">
        <v>320</v>
      </c>
      <c r="G116" s="195">
        <v>18</v>
      </c>
      <c r="H116" s="107"/>
    </row>
    <row r="117" spans="1:8">
      <c r="A117" s="107">
        <v>7</v>
      </c>
      <c r="B117" s="107">
        <v>1</v>
      </c>
      <c r="C117" s="107">
        <v>3</v>
      </c>
      <c r="D117" s="107" t="s">
        <v>204</v>
      </c>
      <c r="E117" s="107" t="s">
        <v>205</v>
      </c>
      <c r="F117" s="107">
        <v>330</v>
      </c>
      <c r="G117" s="195">
        <v>17</v>
      </c>
      <c r="H117" s="107"/>
    </row>
    <row r="118" spans="1:8">
      <c r="A118" s="107">
        <v>7</v>
      </c>
      <c r="B118" s="107">
        <v>2</v>
      </c>
      <c r="C118" s="107">
        <v>1</v>
      </c>
      <c r="D118" s="107" t="s">
        <v>206</v>
      </c>
      <c r="E118" s="107" t="s">
        <v>207</v>
      </c>
      <c r="F118" s="107">
        <v>250</v>
      </c>
      <c r="G118" s="195">
        <v>21</v>
      </c>
      <c r="H118" s="107">
        <v>220</v>
      </c>
    </row>
    <row r="119" spans="1:8">
      <c r="A119" s="107">
        <v>7</v>
      </c>
      <c r="B119" s="107">
        <v>2</v>
      </c>
      <c r="C119" s="107">
        <v>2</v>
      </c>
      <c r="D119" s="107" t="s">
        <v>206</v>
      </c>
      <c r="E119" s="107" t="s">
        <v>207</v>
      </c>
      <c r="F119" s="107">
        <v>260</v>
      </c>
      <c r="G119" s="195">
        <v>16</v>
      </c>
      <c r="H119" s="107"/>
    </row>
    <row r="120" spans="1:8">
      <c r="A120" s="107">
        <v>7</v>
      </c>
      <c r="B120" s="107">
        <v>2</v>
      </c>
      <c r="C120" s="107">
        <v>3</v>
      </c>
      <c r="D120" s="107" t="s">
        <v>206</v>
      </c>
      <c r="E120" s="107" t="s">
        <v>207</v>
      </c>
      <c r="F120" s="107">
        <v>350</v>
      </c>
      <c r="G120" s="195">
        <v>32</v>
      </c>
      <c r="H120" s="107"/>
    </row>
    <row r="121" spans="1:8">
      <c r="A121" s="107">
        <v>7</v>
      </c>
      <c r="B121" s="107">
        <v>3</v>
      </c>
      <c r="C121" s="107">
        <v>1</v>
      </c>
      <c r="D121" s="107" t="s">
        <v>208</v>
      </c>
      <c r="E121" s="107" t="s">
        <v>209</v>
      </c>
      <c r="F121" s="107">
        <v>360</v>
      </c>
      <c r="G121" s="195">
        <v>25</v>
      </c>
      <c r="H121" s="107">
        <v>130</v>
      </c>
    </row>
    <row r="122" spans="1:8">
      <c r="A122" s="107">
        <v>7</v>
      </c>
      <c r="B122" s="107">
        <v>3</v>
      </c>
      <c r="C122" s="107">
        <v>2</v>
      </c>
      <c r="D122" s="107" t="s">
        <v>208</v>
      </c>
      <c r="E122" s="107" t="s">
        <v>209</v>
      </c>
      <c r="F122" s="107">
        <v>350</v>
      </c>
      <c r="G122" s="195">
        <v>28</v>
      </c>
      <c r="H122" s="107"/>
    </row>
    <row r="123" spans="1:8">
      <c r="A123" s="107">
        <v>7</v>
      </c>
      <c r="B123" s="107">
        <v>3</v>
      </c>
      <c r="C123" s="107">
        <v>3</v>
      </c>
      <c r="D123" s="107" t="s">
        <v>208</v>
      </c>
      <c r="E123" s="107" t="s">
        <v>209</v>
      </c>
      <c r="F123" s="107">
        <v>290</v>
      </c>
      <c r="G123" s="195">
        <v>18</v>
      </c>
      <c r="H123" s="107"/>
    </row>
    <row r="124" spans="1:8">
      <c r="A124" s="107">
        <v>7</v>
      </c>
      <c r="B124" s="107">
        <v>4</v>
      </c>
      <c r="C124" s="107">
        <v>1</v>
      </c>
      <c r="D124" s="107" t="s">
        <v>210</v>
      </c>
      <c r="E124" s="107" t="s">
        <v>211</v>
      </c>
      <c r="F124" s="107">
        <v>450</v>
      </c>
      <c r="G124" s="195">
        <v>8</v>
      </c>
      <c r="H124" s="107">
        <v>1300</v>
      </c>
    </row>
    <row r="125" spans="1:8">
      <c r="A125" s="107">
        <v>7</v>
      </c>
      <c r="B125" s="107">
        <v>4</v>
      </c>
      <c r="C125" s="107">
        <v>2</v>
      </c>
      <c r="D125" s="107" t="s">
        <v>210</v>
      </c>
      <c r="E125" s="107" t="s">
        <v>211</v>
      </c>
      <c r="F125" s="107">
        <v>340</v>
      </c>
      <c r="G125" s="195">
        <v>7</v>
      </c>
      <c r="H125" s="107"/>
    </row>
    <row r="126" spans="1:8">
      <c r="A126" s="107">
        <v>7</v>
      </c>
      <c r="B126" s="107">
        <v>4</v>
      </c>
      <c r="C126" s="107">
        <v>3</v>
      </c>
      <c r="D126" s="107" t="s">
        <v>210</v>
      </c>
      <c r="E126" s="107" t="s">
        <v>211</v>
      </c>
      <c r="F126" s="107">
        <v>370</v>
      </c>
      <c r="G126" s="195">
        <v>9</v>
      </c>
      <c r="H126" s="107"/>
    </row>
    <row r="127" spans="1:8">
      <c r="A127" s="107">
        <v>7</v>
      </c>
      <c r="B127" s="107">
        <v>5</v>
      </c>
      <c r="C127" s="107">
        <v>1</v>
      </c>
      <c r="D127" s="107" t="s">
        <v>212</v>
      </c>
      <c r="E127" s="107" t="s">
        <v>213</v>
      </c>
      <c r="F127" s="107">
        <v>880</v>
      </c>
      <c r="G127" s="195">
        <v>11</v>
      </c>
      <c r="H127" s="107">
        <v>1290</v>
      </c>
    </row>
    <row r="128" spans="1:8">
      <c r="A128" s="107">
        <v>7</v>
      </c>
      <c r="B128" s="107">
        <v>5</v>
      </c>
      <c r="C128" s="107">
        <v>2</v>
      </c>
      <c r="D128" s="107" t="s">
        <v>212</v>
      </c>
      <c r="E128" s="107" t="s">
        <v>213</v>
      </c>
      <c r="F128" s="107">
        <v>750</v>
      </c>
      <c r="G128" s="195">
        <v>10</v>
      </c>
      <c r="H128" s="107"/>
    </row>
    <row r="129" spans="1:8">
      <c r="A129" s="107">
        <v>7</v>
      </c>
      <c r="B129" s="107">
        <v>5</v>
      </c>
      <c r="C129" s="107">
        <v>3</v>
      </c>
      <c r="D129" s="107" t="s">
        <v>212</v>
      </c>
      <c r="E129" s="107" t="s">
        <v>213</v>
      </c>
      <c r="F129" s="107">
        <v>520</v>
      </c>
      <c r="G129" s="195">
        <v>10</v>
      </c>
      <c r="H129" s="107"/>
    </row>
    <row r="130" spans="1:8">
      <c r="A130" s="107">
        <v>7</v>
      </c>
      <c r="B130" s="107">
        <v>6</v>
      </c>
      <c r="C130" s="107">
        <v>1</v>
      </c>
      <c r="D130" s="107" t="s">
        <v>214</v>
      </c>
      <c r="E130" s="107" t="s">
        <v>215</v>
      </c>
      <c r="F130" s="107">
        <v>350</v>
      </c>
      <c r="G130" s="195">
        <v>8</v>
      </c>
      <c r="H130" s="107">
        <v>1270</v>
      </c>
    </row>
    <row r="131" spans="1:8">
      <c r="A131" s="107">
        <v>7</v>
      </c>
      <c r="B131" s="107">
        <v>6</v>
      </c>
      <c r="C131" s="107">
        <v>2</v>
      </c>
      <c r="D131" s="107" t="s">
        <v>214</v>
      </c>
      <c r="E131" s="107" t="s">
        <v>215</v>
      </c>
      <c r="F131" s="107">
        <v>710</v>
      </c>
      <c r="G131" s="195">
        <v>9</v>
      </c>
      <c r="H131" s="107"/>
    </row>
    <row r="132" spans="1:8">
      <c r="A132" s="107">
        <v>7</v>
      </c>
      <c r="B132" s="107">
        <v>6</v>
      </c>
      <c r="C132" s="107">
        <v>3</v>
      </c>
      <c r="D132" s="107" t="s">
        <v>214</v>
      </c>
      <c r="E132" s="107" t="s">
        <v>215</v>
      </c>
      <c r="F132" s="107">
        <v>410</v>
      </c>
      <c r="G132" s="195">
        <v>7</v>
      </c>
      <c r="H132" s="107"/>
    </row>
    <row r="133" spans="1:8">
      <c r="A133" s="107">
        <v>8</v>
      </c>
      <c r="B133" s="107">
        <v>1</v>
      </c>
      <c r="C133" s="107">
        <v>1</v>
      </c>
      <c r="D133" s="107" t="s">
        <v>216</v>
      </c>
      <c r="E133" s="107" t="s">
        <v>217</v>
      </c>
      <c r="F133" s="107">
        <v>1210</v>
      </c>
      <c r="G133" s="195">
        <v>9</v>
      </c>
      <c r="H133" s="107">
        <v>1380</v>
      </c>
    </row>
    <row r="134" spans="1:8">
      <c r="A134" s="107">
        <v>8</v>
      </c>
      <c r="B134" s="107">
        <v>1</v>
      </c>
      <c r="C134" s="107">
        <v>2</v>
      </c>
      <c r="D134" s="107" t="s">
        <v>216</v>
      </c>
      <c r="E134" s="107" t="s">
        <v>217</v>
      </c>
      <c r="F134" s="107">
        <v>1130</v>
      </c>
      <c r="G134" s="195">
        <v>10</v>
      </c>
      <c r="H134" s="107"/>
    </row>
    <row r="135" spans="1:8">
      <c r="A135" s="107">
        <v>8</v>
      </c>
      <c r="B135" s="107">
        <v>1</v>
      </c>
      <c r="C135" s="107">
        <v>3</v>
      </c>
      <c r="D135" s="107" t="s">
        <v>216</v>
      </c>
      <c r="E135" s="107" t="s">
        <v>217</v>
      </c>
      <c r="F135" s="107">
        <v>1110</v>
      </c>
      <c r="G135" s="195">
        <v>11</v>
      </c>
      <c r="H135" s="107"/>
    </row>
    <row r="136" spans="1:8">
      <c r="A136" s="107">
        <v>8</v>
      </c>
      <c r="B136" s="107">
        <v>2</v>
      </c>
      <c r="C136" s="107">
        <v>1</v>
      </c>
      <c r="D136" s="107" t="s">
        <v>218</v>
      </c>
      <c r="E136" s="107" t="s">
        <v>219</v>
      </c>
      <c r="F136" s="107">
        <v>1150</v>
      </c>
      <c r="G136" s="195">
        <v>9</v>
      </c>
      <c r="H136" s="107">
        <v>1550</v>
      </c>
    </row>
    <row r="137" spans="1:8">
      <c r="A137" s="107">
        <v>8</v>
      </c>
      <c r="B137" s="107">
        <v>2</v>
      </c>
      <c r="C137" s="107">
        <v>2</v>
      </c>
      <c r="D137" s="107" t="s">
        <v>218</v>
      </c>
      <c r="E137" s="107" t="s">
        <v>219</v>
      </c>
      <c r="F137" s="107">
        <v>1370</v>
      </c>
      <c r="G137" s="195">
        <v>13</v>
      </c>
      <c r="H137" s="107"/>
    </row>
    <row r="138" spans="1:8">
      <c r="A138" s="107">
        <v>8</v>
      </c>
      <c r="B138" s="107">
        <v>2</v>
      </c>
      <c r="C138" s="107">
        <v>3</v>
      </c>
      <c r="D138" s="107" t="s">
        <v>218</v>
      </c>
      <c r="E138" s="107" t="s">
        <v>219</v>
      </c>
      <c r="F138" s="107">
        <v>1080</v>
      </c>
      <c r="G138" s="195">
        <v>13</v>
      </c>
      <c r="H138" s="107"/>
    </row>
    <row r="139" spans="1:8">
      <c r="A139" s="107">
        <v>8</v>
      </c>
      <c r="B139" s="107">
        <v>3</v>
      </c>
      <c r="C139" s="107">
        <v>1</v>
      </c>
      <c r="D139" s="107" t="s">
        <v>220</v>
      </c>
      <c r="E139" s="107" t="s">
        <v>221</v>
      </c>
      <c r="F139" s="107">
        <v>1130</v>
      </c>
      <c r="G139" s="195">
        <v>8</v>
      </c>
      <c r="H139" s="107">
        <v>1410</v>
      </c>
    </row>
    <row r="140" spans="1:8">
      <c r="A140" s="107">
        <v>8</v>
      </c>
      <c r="B140" s="107">
        <v>3</v>
      </c>
      <c r="C140" s="107">
        <v>2</v>
      </c>
      <c r="D140" s="107" t="s">
        <v>220</v>
      </c>
      <c r="E140" s="107" t="s">
        <v>221</v>
      </c>
      <c r="F140" s="107">
        <v>1120</v>
      </c>
      <c r="G140" s="195">
        <v>8</v>
      </c>
      <c r="H140" s="107"/>
    </row>
    <row r="141" spans="1:8">
      <c r="A141" s="107">
        <v>8</v>
      </c>
      <c r="B141" s="107">
        <v>3</v>
      </c>
      <c r="C141" s="107">
        <v>3</v>
      </c>
      <c r="D141" s="107" t="s">
        <v>220</v>
      </c>
      <c r="E141" s="107" t="s">
        <v>221</v>
      </c>
      <c r="F141" s="107">
        <v>1220</v>
      </c>
      <c r="G141" s="195">
        <v>12</v>
      </c>
      <c r="H141" s="107"/>
    </row>
    <row r="142" spans="1:8">
      <c r="A142" s="107">
        <v>8</v>
      </c>
      <c r="B142" s="107">
        <v>4</v>
      </c>
      <c r="C142" s="107">
        <v>1</v>
      </c>
      <c r="D142" s="107" t="s">
        <v>222</v>
      </c>
      <c r="E142" s="107" t="s">
        <v>223</v>
      </c>
      <c r="F142" s="107">
        <v>1230</v>
      </c>
      <c r="G142" s="195">
        <v>10</v>
      </c>
      <c r="H142" s="107">
        <v>1490</v>
      </c>
    </row>
    <row r="143" spans="1:8">
      <c r="A143" s="107">
        <v>8</v>
      </c>
      <c r="B143" s="107">
        <v>4</v>
      </c>
      <c r="C143" s="107">
        <v>2</v>
      </c>
      <c r="D143" s="107" t="s">
        <v>222</v>
      </c>
      <c r="E143" s="107" t="s">
        <v>223</v>
      </c>
      <c r="F143" s="107">
        <v>1340</v>
      </c>
      <c r="G143" s="195">
        <v>10</v>
      </c>
      <c r="H143" s="107"/>
    </row>
    <row r="144" spans="1:8">
      <c r="A144" s="107">
        <v>8</v>
      </c>
      <c r="B144" s="107">
        <v>4</v>
      </c>
      <c r="C144" s="107">
        <v>3</v>
      </c>
      <c r="D144" s="107" t="s">
        <v>222</v>
      </c>
      <c r="E144" s="107" t="s">
        <v>223</v>
      </c>
      <c r="F144" s="107">
        <v>1190</v>
      </c>
      <c r="G144" s="195">
        <v>8</v>
      </c>
      <c r="H144" s="107"/>
    </row>
    <row r="145" spans="1:8">
      <c r="A145" s="107">
        <v>8</v>
      </c>
      <c r="B145" s="107">
        <v>5</v>
      </c>
      <c r="C145" s="107">
        <v>1</v>
      </c>
      <c r="D145" s="107" t="s">
        <v>224</v>
      </c>
      <c r="E145" s="107" t="s">
        <v>225</v>
      </c>
      <c r="F145" s="107">
        <v>1230</v>
      </c>
      <c r="G145" s="195">
        <v>10</v>
      </c>
      <c r="H145" s="107">
        <v>1540</v>
      </c>
    </row>
    <row r="146" spans="1:8">
      <c r="A146" s="107">
        <v>8</v>
      </c>
      <c r="B146" s="107">
        <v>5</v>
      </c>
      <c r="C146" s="107">
        <v>2</v>
      </c>
      <c r="D146" s="107" t="s">
        <v>224</v>
      </c>
      <c r="E146" s="107" t="s">
        <v>225</v>
      </c>
      <c r="F146" s="107">
        <v>1090</v>
      </c>
      <c r="G146" s="195">
        <v>9</v>
      </c>
      <c r="H146" s="107"/>
    </row>
    <row r="147" spans="1:8">
      <c r="A147" s="107">
        <v>8</v>
      </c>
      <c r="B147" s="107">
        <v>5</v>
      </c>
      <c r="C147" s="107">
        <v>3</v>
      </c>
      <c r="D147" s="107" t="s">
        <v>224</v>
      </c>
      <c r="E147" s="107" t="s">
        <v>225</v>
      </c>
      <c r="F147" s="107">
        <v>1330</v>
      </c>
      <c r="G147" s="195">
        <v>12</v>
      </c>
      <c r="H147" s="107"/>
    </row>
    <row r="148" spans="1:8">
      <c r="A148" s="107">
        <v>8</v>
      </c>
      <c r="B148" s="107">
        <v>6</v>
      </c>
      <c r="C148" s="107">
        <v>1</v>
      </c>
      <c r="D148" s="107" t="s">
        <v>226</v>
      </c>
      <c r="E148" s="107" t="s">
        <v>227</v>
      </c>
      <c r="F148" s="107">
        <v>930</v>
      </c>
      <c r="G148" s="195">
        <v>9</v>
      </c>
      <c r="H148" s="107">
        <v>1800</v>
      </c>
    </row>
    <row r="149" spans="1:8">
      <c r="A149" s="107">
        <v>8</v>
      </c>
      <c r="B149" s="107">
        <v>6</v>
      </c>
      <c r="C149" s="107">
        <v>2</v>
      </c>
      <c r="D149" s="107" t="s">
        <v>226</v>
      </c>
      <c r="E149" s="107" t="s">
        <v>227</v>
      </c>
      <c r="F149" s="107">
        <v>1020</v>
      </c>
      <c r="G149" s="195">
        <v>9</v>
      </c>
      <c r="H149" s="107"/>
    </row>
    <row r="150" spans="1:8">
      <c r="A150" s="107">
        <v>8</v>
      </c>
      <c r="B150" s="107">
        <v>6</v>
      </c>
      <c r="C150" s="107">
        <v>3</v>
      </c>
      <c r="D150" s="107" t="s">
        <v>226</v>
      </c>
      <c r="E150" s="107" t="s">
        <v>227</v>
      </c>
      <c r="F150" s="107">
        <v>1340</v>
      </c>
      <c r="G150" s="195">
        <v>12</v>
      </c>
      <c r="H150" s="107"/>
    </row>
    <row r="152" spans="1:8">
      <c r="A152" s="107">
        <v>9</v>
      </c>
      <c r="B152" s="107">
        <v>1</v>
      </c>
      <c r="C152" s="107">
        <v>1</v>
      </c>
      <c r="D152" s="107" t="s">
        <v>228</v>
      </c>
      <c r="E152" s="107" t="s">
        <v>229</v>
      </c>
      <c r="F152" s="107">
        <v>890</v>
      </c>
      <c r="G152" s="195">
        <v>9</v>
      </c>
      <c r="H152" s="107">
        <v>1450</v>
      </c>
    </row>
    <row r="153" spans="1:8">
      <c r="A153" s="107">
        <v>9</v>
      </c>
      <c r="B153" s="107">
        <v>1</v>
      </c>
      <c r="C153" s="107">
        <v>2</v>
      </c>
      <c r="D153" s="107" t="s">
        <v>228</v>
      </c>
      <c r="E153" s="107" t="s">
        <v>229</v>
      </c>
      <c r="F153" s="107">
        <v>810</v>
      </c>
      <c r="G153" s="195">
        <v>11</v>
      </c>
      <c r="H153" s="107"/>
    </row>
    <row r="154" spans="1:8">
      <c r="A154" s="107">
        <v>9</v>
      </c>
      <c r="B154" s="107">
        <v>1</v>
      </c>
      <c r="C154" s="107">
        <v>3</v>
      </c>
      <c r="D154" s="107" t="s">
        <v>228</v>
      </c>
      <c r="E154" s="107" t="s">
        <v>229</v>
      </c>
      <c r="F154" s="107">
        <v>810</v>
      </c>
      <c r="G154" s="195">
        <v>10</v>
      </c>
      <c r="H154" s="107"/>
    </row>
    <row r="155" spans="1:8">
      <c r="A155" s="107">
        <v>9</v>
      </c>
      <c r="B155" s="107">
        <v>2</v>
      </c>
      <c r="C155" s="107">
        <v>1</v>
      </c>
      <c r="D155" s="107" t="s">
        <v>230</v>
      </c>
      <c r="E155" s="107" t="s">
        <v>231</v>
      </c>
      <c r="F155" s="107">
        <v>940</v>
      </c>
      <c r="G155" s="195">
        <v>11</v>
      </c>
      <c r="H155" s="107">
        <v>1520</v>
      </c>
    </row>
    <row r="156" spans="1:8">
      <c r="A156" s="107">
        <v>9</v>
      </c>
      <c r="B156" s="107">
        <v>2</v>
      </c>
      <c r="C156" s="107">
        <v>2</v>
      </c>
      <c r="D156" s="107" t="s">
        <v>230</v>
      </c>
      <c r="E156" s="107" t="s">
        <v>231</v>
      </c>
      <c r="F156" s="107">
        <v>920</v>
      </c>
      <c r="G156" s="195">
        <v>12</v>
      </c>
      <c r="H156" s="107"/>
    </row>
    <row r="157" spans="1:8">
      <c r="A157" s="107">
        <v>9</v>
      </c>
      <c r="B157" s="107">
        <v>2</v>
      </c>
      <c r="C157" s="107">
        <v>3</v>
      </c>
      <c r="D157" s="107" t="s">
        <v>230</v>
      </c>
      <c r="E157" s="107" t="s">
        <v>231</v>
      </c>
      <c r="F157" s="196">
        <v>990</v>
      </c>
      <c r="G157" s="195">
        <v>12</v>
      </c>
      <c r="H157" s="107"/>
    </row>
    <row r="158" spans="1:8">
      <c r="A158" s="107">
        <v>9</v>
      </c>
      <c r="B158" s="107">
        <v>3</v>
      </c>
      <c r="C158" s="107">
        <v>1</v>
      </c>
      <c r="D158" s="107" t="s">
        <v>232</v>
      </c>
      <c r="E158" s="107" t="s">
        <v>233</v>
      </c>
      <c r="F158" s="107">
        <v>1220</v>
      </c>
      <c r="G158" s="195">
        <v>11</v>
      </c>
      <c r="H158" s="196">
        <v>1510</v>
      </c>
    </row>
    <row r="159" spans="1:8">
      <c r="A159" s="107">
        <v>9</v>
      </c>
      <c r="B159" s="107">
        <v>3</v>
      </c>
      <c r="C159" s="107">
        <v>2</v>
      </c>
      <c r="D159" s="107" t="s">
        <v>232</v>
      </c>
      <c r="E159" s="107" t="s">
        <v>233</v>
      </c>
      <c r="F159" s="107">
        <v>1000</v>
      </c>
      <c r="G159" s="195">
        <v>9</v>
      </c>
      <c r="H159" s="107"/>
    </row>
    <row r="160" spans="1:8">
      <c r="A160" s="107">
        <v>9</v>
      </c>
      <c r="B160" s="107">
        <v>3</v>
      </c>
      <c r="C160" s="107">
        <v>3</v>
      </c>
      <c r="D160" s="107" t="s">
        <v>232</v>
      </c>
      <c r="E160" s="107" t="s">
        <v>233</v>
      </c>
      <c r="F160" s="107">
        <v>850</v>
      </c>
      <c r="G160" s="195">
        <v>9</v>
      </c>
      <c r="H160" s="107"/>
    </row>
    <row r="161" spans="1:8">
      <c r="A161" s="107">
        <v>9</v>
      </c>
      <c r="B161" s="107">
        <v>4</v>
      </c>
      <c r="C161" s="107">
        <v>1</v>
      </c>
      <c r="D161" s="107" t="s">
        <v>234</v>
      </c>
      <c r="E161" s="107" t="s">
        <v>235</v>
      </c>
      <c r="F161" s="107">
        <v>1160</v>
      </c>
      <c r="G161" s="195">
        <v>11</v>
      </c>
      <c r="H161" s="107">
        <v>1510</v>
      </c>
    </row>
    <row r="162" spans="1:8">
      <c r="A162" s="107">
        <v>9</v>
      </c>
      <c r="B162" s="107">
        <v>4</v>
      </c>
      <c r="C162" s="107">
        <v>2</v>
      </c>
      <c r="D162" s="107" t="s">
        <v>234</v>
      </c>
      <c r="E162" s="107" t="s">
        <v>235</v>
      </c>
      <c r="F162" s="107">
        <v>980</v>
      </c>
      <c r="G162" s="195">
        <v>10</v>
      </c>
      <c r="H162" s="107"/>
    </row>
    <row r="163" spans="1:8">
      <c r="A163" s="107">
        <v>9</v>
      </c>
      <c r="B163" s="107">
        <v>4</v>
      </c>
      <c r="C163" s="107">
        <v>3</v>
      </c>
      <c r="D163" s="107" t="s">
        <v>234</v>
      </c>
      <c r="E163" s="107" t="s">
        <v>235</v>
      </c>
      <c r="F163" s="107">
        <v>970</v>
      </c>
      <c r="G163" s="195">
        <v>9</v>
      </c>
      <c r="H163" s="107"/>
    </row>
    <row r="164" spans="1:8">
      <c r="A164" s="107">
        <v>9</v>
      </c>
      <c r="B164" s="107">
        <v>5</v>
      </c>
      <c r="C164" s="107">
        <v>1</v>
      </c>
      <c r="D164" s="107" t="s">
        <v>236</v>
      </c>
      <c r="E164" s="107" t="s">
        <v>237</v>
      </c>
      <c r="F164" s="107">
        <v>290</v>
      </c>
      <c r="G164" s="195">
        <v>7</v>
      </c>
      <c r="H164" s="107">
        <v>1500</v>
      </c>
    </row>
    <row r="165" spans="1:8">
      <c r="A165" s="107">
        <v>9</v>
      </c>
      <c r="B165" s="107">
        <v>5</v>
      </c>
      <c r="C165" s="107">
        <v>2</v>
      </c>
      <c r="D165" s="107" t="s">
        <v>236</v>
      </c>
      <c r="E165" s="107" t="s">
        <v>237</v>
      </c>
      <c r="F165" s="107">
        <v>460</v>
      </c>
      <c r="G165" s="195">
        <v>9</v>
      </c>
      <c r="H165" s="107"/>
    </row>
    <row r="166" spans="1:8">
      <c r="A166" s="107">
        <v>9</v>
      </c>
      <c r="B166" s="107">
        <v>5</v>
      </c>
      <c r="C166" s="107">
        <v>3</v>
      </c>
      <c r="D166" s="107" t="s">
        <v>236</v>
      </c>
      <c r="E166" s="107" t="s">
        <v>237</v>
      </c>
      <c r="F166" s="107">
        <v>380</v>
      </c>
      <c r="G166" s="195">
        <v>9</v>
      </c>
      <c r="H166" s="107"/>
    </row>
    <row r="167" spans="1:8">
      <c r="A167" s="107">
        <v>9</v>
      </c>
      <c r="B167" s="107">
        <v>6</v>
      </c>
      <c r="C167" s="107">
        <v>1</v>
      </c>
      <c r="D167" s="107" t="s">
        <v>238</v>
      </c>
      <c r="E167" s="107" t="s">
        <v>239</v>
      </c>
      <c r="F167" s="107">
        <v>890</v>
      </c>
      <c r="G167" s="195">
        <v>10</v>
      </c>
      <c r="H167" s="107">
        <v>1950</v>
      </c>
    </row>
    <row r="168" spans="1:8">
      <c r="A168" s="107">
        <v>9</v>
      </c>
      <c r="B168" s="107">
        <v>6</v>
      </c>
      <c r="C168" s="107">
        <v>2</v>
      </c>
      <c r="D168" s="107" t="s">
        <v>238</v>
      </c>
      <c r="E168" s="107" t="s">
        <v>239</v>
      </c>
      <c r="F168" s="107">
        <v>1100</v>
      </c>
      <c r="G168" s="195">
        <v>11</v>
      </c>
      <c r="H168" s="107"/>
    </row>
    <row r="169" spans="1:8">
      <c r="A169" s="107">
        <v>9</v>
      </c>
      <c r="B169" s="107">
        <v>6</v>
      </c>
      <c r="C169" s="107">
        <v>3</v>
      </c>
      <c r="D169" s="107" t="s">
        <v>238</v>
      </c>
      <c r="E169" s="107" t="s">
        <v>239</v>
      </c>
      <c r="F169" s="107">
        <v>1090</v>
      </c>
      <c r="G169" s="195">
        <v>15</v>
      </c>
      <c r="H169" s="107"/>
    </row>
    <row r="170" spans="1:8">
      <c r="A170" s="107">
        <v>10</v>
      </c>
      <c r="B170" s="107">
        <v>1</v>
      </c>
      <c r="C170" s="107">
        <v>1</v>
      </c>
      <c r="D170" s="107" t="s">
        <v>240</v>
      </c>
      <c r="E170" s="107" t="s">
        <v>241</v>
      </c>
      <c r="F170" s="107">
        <v>960</v>
      </c>
      <c r="G170" s="195">
        <v>10</v>
      </c>
      <c r="H170" s="107">
        <v>1360</v>
      </c>
    </row>
    <row r="171" spans="1:8">
      <c r="A171" s="107">
        <v>10</v>
      </c>
      <c r="B171" s="107">
        <v>1</v>
      </c>
      <c r="C171" s="107">
        <v>2</v>
      </c>
      <c r="D171" s="107" t="s">
        <v>240</v>
      </c>
      <c r="E171" s="107" t="s">
        <v>241</v>
      </c>
      <c r="F171" s="107">
        <v>580</v>
      </c>
      <c r="G171" s="195">
        <v>11</v>
      </c>
      <c r="H171" s="107"/>
    </row>
    <row r="172" spans="1:8">
      <c r="A172" s="107">
        <v>10</v>
      </c>
      <c r="B172" s="107">
        <v>1</v>
      </c>
      <c r="C172" s="107">
        <v>3</v>
      </c>
      <c r="D172" s="107" t="s">
        <v>240</v>
      </c>
      <c r="E172" s="107" t="s">
        <v>241</v>
      </c>
      <c r="F172" s="107">
        <v>990</v>
      </c>
      <c r="G172" s="195">
        <v>12</v>
      </c>
      <c r="H172" s="107"/>
    </row>
    <row r="173" spans="1:8">
      <c r="A173" s="107">
        <v>10</v>
      </c>
      <c r="B173" s="107">
        <v>2</v>
      </c>
      <c r="C173" s="107">
        <v>1</v>
      </c>
      <c r="D173" s="107" t="s">
        <v>242</v>
      </c>
      <c r="E173" s="107" t="s">
        <v>243</v>
      </c>
      <c r="F173" s="107">
        <v>970</v>
      </c>
      <c r="G173" s="195">
        <v>13</v>
      </c>
      <c r="H173" s="107">
        <v>1630</v>
      </c>
    </row>
    <row r="174" spans="1:8">
      <c r="A174" s="107">
        <v>10</v>
      </c>
      <c r="B174" s="107">
        <v>2</v>
      </c>
      <c r="C174" s="107">
        <v>2</v>
      </c>
      <c r="D174" s="107" t="s">
        <v>242</v>
      </c>
      <c r="E174" s="107" t="s">
        <v>243</v>
      </c>
      <c r="F174" s="107">
        <v>930</v>
      </c>
      <c r="G174" s="195">
        <v>12</v>
      </c>
      <c r="H174" s="107"/>
    </row>
    <row r="175" spans="1:8">
      <c r="A175" s="107">
        <v>10</v>
      </c>
      <c r="B175" s="107">
        <v>2</v>
      </c>
      <c r="C175" s="107">
        <v>3</v>
      </c>
      <c r="D175" s="107" t="s">
        <v>242</v>
      </c>
      <c r="E175" s="107" t="s">
        <v>243</v>
      </c>
      <c r="F175" s="107">
        <v>740</v>
      </c>
      <c r="G175" s="195">
        <v>13</v>
      </c>
      <c r="H175" s="107"/>
    </row>
    <row r="176" spans="1:8">
      <c r="A176" s="107">
        <v>10</v>
      </c>
      <c r="B176" s="107">
        <v>3</v>
      </c>
      <c r="C176" s="107">
        <v>1</v>
      </c>
      <c r="D176" s="107" t="s">
        <v>244</v>
      </c>
      <c r="E176" s="107" t="s">
        <v>245</v>
      </c>
      <c r="F176" s="107">
        <v>1000</v>
      </c>
      <c r="G176" s="195">
        <v>12</v>
      </c>
      <c r="H176" s="107">
        <v>1250</v>
      </c>
    </row>
    <row r="177" spans="1:8">
      <c r="A177" s="107">
        <v>10</v>
      </c>
      <c r="B177" s="107">
        <v>3</v>
      </c>
      <c r="C177" s="107">
        <v>2</v>
      </c>
      <c r="D177" s="107" t="s">
        <v>244</v>
      </c>
      <c r="E177" s="107" t="s">
        <v>245</v>
      </c>
      <c r="F177" s="107">
        <v>910</v>
      </c>
      <c r="G177" s="195">
        <v>10</v>
      </c>
      <c r="H177" s="107"/>
    </row>
    <row r="178" spans="1:8">
      <c r="A178" s="107">
        <v>10</v>
      </c>
      <c r="B178" s="107">
        <v>3</v>
      </c>
      <c r="C178" s="107">
        <v>3</v>
      </c>
      <c r="D178" s="107" t="s">
        <v>244</v>
      </c>
      <c r="E178" s="107" t="s">
        <v>245</v>
      </c>
      <c r="F178" s="107">
        <v>850</v>
      </c>
      <c r="G178" s="195">
        <v>11</v>
      </c>
      <c r="H178" s="107"/>
    </row>
    <row r="179" spans="1:8">
      <c r="A179" s="107">
        <v>10</v>
      </c>
      <c r="B179" s="107">
        <v>4</v>
      </c>
      <c r="C179" s="107">
        <v>1</v>
      </c>
      <c r="D179" s="107" t="s">
        <v>246</v>
      </c>
      <c r="E179" s="107" t="s">
        <v>247</v>
      </c>
      <c r="F179" s="107">
        <v>810</v>
      </c>
      <c r="G179" s="195">
        <v>13</v>
      </c>
      <c r="H179" s="107">
        <v>1440</v>
      </c>
    </row>
    <row r="180" spans="1:8">
      <c r="A180" s="107">
        <v>10</v>
      </c>
      <c r="B180" s="107">
        <v>4</v>
      </c>
      <c r="C180" s="107">
        <v>2</v>
      </c>
      <c r="D180" s="107" t="s">
        <v>246</v>
      </c>
      <c r="E180" s="107" t="s">
        <v>247</v>
      </c>
      <c r="F180" s="107">
        <v>1130</v>
      </c>
      <c r="G180" s="195">
        <v>12</v>
      </c>
      <c r="H180" s="107"/>
    </row>
    <row r="181" spans="1:8">
      <c r="A181" s="107">
        <v>10</v>
      </c>
      <c r="B181" s="107">
        <v>4</v>
      </c>
      <c r="C181" s="107">
        <v>3</v>
      </c>
      <c r="D181" s="107" t="s">
        <v>246</v>
      </c>
      <c r="E181" s="107" t="s">
        <v>247</v>
      </c>
      <c r="F181" s="107">
        <v>950</v>
      </c>
      <c r="G181" s="195">
        <v>8</v>
      </c>
      <c r="H181" s="107"/>
    </row>
    <row r="182" spans="1:8">
      <c r="A182" s="107">
        <v>10</v>
      </c>
      <c r="B182" s="107">
        <v>5</v>
      </c>
      <c r="C182" s="107">
        <v>1</v>
      </c>
      <c r="D182" s="107" t="s">
        <v>248</v>
      </c>
      <c r="E182" s="107" t="s">
        <v>249</v>
      </c>
      <c r="F182" s="107">
        <v>1260</v>
      </c>
      <c r="G182" s="195">
        <v>11</v>
      </c>
      <c r="H182" s="107">
        <v>1600</v>
      </c>
    </row>
    <row r="183" spans="1:8">
      <c r="A183" s="107">
        <v>10</v>
      </c>
      <c r="B183" s="107">
        <v>5</v>
      </c>
      <c r="C183" s="107">
        <v>2</v>
      </c>
      <c r="D183" s="107" t="s">
        <v>248</v>
      </c>
      <c r="E183" s="107" t="s">
        <v>249</v>
      </c>
      <c r="F183" s="107">
        <v>1030</v>
      </c>
      <c r="G183" s="195">
        <v>10</v>
      </c>
      <c r="H183" s="107"/>
    </row>
    <row r="184" spans="1:8">
      <c r="A184" s="107">
        <v>10</v>
      </c>
      <c r="B184" s="107">
        <v>5</v>
      </c>
      <c r="C184" s="107">
        <v>3</v>
      </c>
      <c r="D184" s="107" t="s">
        <v>248</v>
      </c>
      <c r="E184" s="107" t="s">
        <v>249</v>
      </c>
      <c r="F184" s="107">
        <v>1150</v>
      </c>
      <c r="G184" s="195">
        <v>10</v>
      </c>
      <c r="H184" s="107"/>
    </row>
    <row r="185" spans="1:8">
      <c r="A185" s="107">
        <v>10</v>
      </c>
      <c r="B185" s="107">
        <v>6</v>
      </c>
      <c r="C185" s="107">
        <v>1</v>
      </c>
      <c r="D185" s="107" t="s">
        <v>250</v>
      </c>
      <c r="E185" s="107" t="s">
        <v>251</v>
      </c>
      <c r="F185" s="107">
        <v>760</v>
      </c>
      <c r="G185" s="195">
        <v>12</v>
      </c>
      <c r="H185" s="107">
        <v>1540</v>
      </c>
    </row>
    <row r="186" spans="1:8">
      <c r="A186" s="107">
        <v>10</v>
      </c>
      <c r="B186" s="107">
        <v>6</v>
      </c>
      <c r="C186" s="107">
        <v>2</v>
      </c>
      <c r="D186" s="107" t="s">
        <v>250</v>
      </c>
      <c r="E186" s="107" t="s">
        <v>251</v>
      </c>
      <c r="F186" s="107">
        <v>1050</v>
      </c>
      <c r="G186" s="195">
        <v>11</v>
      </c>
      <c r="H186" s="107"/>
    </row>
    <row r="187" spans="1:8">
      <c r="A187" s="107">
        <v>10</v>
      </c>
      <c r="B187" s="107">
        <v>6</v>
      </c>
      <c r="C187" s="107">
        <v>3</v>
      </c>
      <c r="D187" s="107" t="s">
        <v>250</v>
      </c>
      <c r="E187" s="107" t="s">
        <v>251</v>
      </c>
      <c r="F187" s="107">
        <v>1050</v>
      </c>
      <c r="G187" s="195">
        <v>13</v>
      </c>
      <c r="H187" s="107"/>
    </row>
    <row r="188" spans="1:8">
      <c r="A188" s="107">
        <v>11</v>
      </c>
      <c r="B188" s="107">
        <v>1</v>
      </c>
      <c r="C188" s="107">
        <v>1</v>
      </c>
      <c r="D188" s="107" t="s">
        <v>252</v>
      </c>
      <c r="E188" s="107" t="s">
        <v>253</v>
      </c>
      <c r="F188" s="107">
        <v>870</v>
      </c>
      <c r="G188" s="195">
        <v>8</v>
      </c>
      <c r="H188" s="107">
        <v>1290</v>
      </c>
    </row>
    <row r="189" spans="1:8">
      <c r="A189" s="107">
        <v>11</v>
      </c>
      <c r="B189" s="107">
        <v>1</v>
      </c>
      <c r="C189" s="107">
        <v>2</v>
      </c>
      <c r="D189" s="107" t="s">
        <v>252</v>
      </c>
      <c r="E189" s="107" t="s">
        <v>253</v>
      </c>
      <c r="F189" s="107">
        <v>940</v>
      </c>
      <c r="G189" s="195">
        <v>9</v>
      </c>
      <c r="H189" s="107"/>
    </row>
    <row r="190" spans="1:8">
      <c r="A190" s="107">
        <v>11</v>
      </c>
      <c r="B190" s="107">
        <v>1</v>
      </c>
      <c r="C190" s="107">
        <v>3</v>
      </c>
      <c r="D190" s="107" t="s">
        <v>252</v>
      </c>
      <c r="E190" s="107" t="s">
        <v>253</v>
      </c>
      <c r="F190" s="107">
        <v>760</v>
      </c>
      <c r="G190" s="195">
        <v>10</v>
      </c>
      <c r="H190" s="107"/>
    </row>
    <row r="191" spans="1:8">
      <c r="A191" s="107">
        <v>11</v>
      </c>
      <c r="B191" s="107">
        <v>2</v>
      </c>
      <c r="C191" s="107">
        <v>1</v>
      </c>
      <c r="D191" s="107" t="s">
        <v>254</v>
      </c>
      <c r="E191" s="107" t="s">
        <v>255</v>
      </c>
      <c r="F191" s="107">
        <v>520</v>
      </c>
      <c r="G191" s="195">
        <v>8</v>
      </c>
      <c r="H191" s="107">
        <v>1280</v>
      </c>
    </row>
    <row r="192" spans="1:8">
      <c r="A192" s="107">
        <v>11</v>
      </c>
      <c r="B192" s="107">
        <v>2</v>
      </c>
      <c r="C192" s="107">
        <v>2</v>
      </c>
      <c r="D192" s="107" t="s">
        <v>254</v>
      </c>
      <c r="E192" s="107" t="s">
        <v>255</v>
      </c>
      <c r="F192" s="107">
        <v>760</v>
      </c>
      <c r="G192" s="195">
        <v>11</v>
      </c>
      <c r="H192" s="107"/>
    </row>
    <row r="193" spans="1:8">
      <c r="A193" s="107">
        <v>11</v>
      </c>
      <c r="B193" s="107">
        <v>2</v>
      </c>
      <c r="C193" s="107">
        <v>3</v>
      </c>
      <c r="D193" s="107" t="s">
        <v>254</v>
      </c>
      <c r="E193" s="107" t="s">
        <v>255</v>
      </c>
      <c r="F193" s="107">
        <v>770</v>
      </c>
      <c r="G193" s="195">
        <v>10</v>
      </c>
      <c r="H193" s="107"/>
    </row>
    <row r="194" spans="1:8">
      <c r="A194" s="107">
        <v>11</v>
      </c>
      <c r="B194" s="107">
        <v>3</v>
      </c>
      <c r="C194" s="107">
        <v>1</v>
      </c>
      <c r="D194" s="107" t="s">
        <v>256</v>
      </c>
      <c r="E194" s="107" t="s">
        <v>257</v>
      </c>
      <c r="F194" s="107">
        <v>510</v>
      </c>
      <c r="G194" s="195">
        <v>11</v>
      </c>
      <c r="H194" s="107">
        <v>1430</v>
      </c>
    </row>
    <row r="195" spans="1:8">
      <c r="A195" s="107">
        <v>11</v>
      </c>
      <c r="B195" s="107">
        <v>3</v>
      </c>
      <c r="C195" s="107">
        <v>2</v>
      </c>
      <c r="D195" s="107" t="s">
        <v>256</v>
      </c>
      <c r="E195" s="107" t="s">
        <v>257</v>
      </c>
      <c r="F195" s="107">
        <v>560</v>
      </c>
      <c r="G195" s="195">
        <v>11</v>
      </c>
      <c r="H195" s="107"/>
    </row>
    <row r="196" spans="1:8">
      <c r="A196" s="107">
        <v>11</v>
      </c>
      <c r="B196" s="107">
        <v>3</v>
      </c>
      <c r="C196" s="107">
        <v>3</v>
      </c>
      <c r="D196" s="107" t="s">
        <v>256</v>
      </c>
      <c r="E196" s="107" t="s">
        <v>257</v>
      </c>
      <c r="F196" s="107">
        <v>780</v>
      </c>
      <c r="G196" s="195">
        <v>14</v>
      </c>
      <c r="H196" s="107"/>
    </row>
    <row r="197" spans="1:8">
      <c r="A197" s="107">
        <v>11</v>
      </c>
      <c r="B197" s="107">
        <v>4</v>
      </c>
      <c r="C197" s="107">
        <v>1</v>
      </c>
      <c r="D197" s="107" t="s">
        <v>258</v>
      </c>
      <c r="E197" s="107" t="s">
        <v>259</v>
      </c>
      <c r="F197" s="107">
        <v>760</v>
      </c>
      <c r="G197" s="195">
        <v>12</v>
      </c>
      <c r="H197" s="107">
        <v>1240</v>
      </c>
    </row>
    <row r="198" spans="1:8">
      <c r="A198" s="107">
        <v>11</v>
      </c>
      <c r="B198" s="107">
        <v>4</v>
      </c>
      <c r="C198" s="107">
        <v>2</v>
      </c>
      <c r="D198" s="107" t="s">
        <v>258</v>
      </c>
      <c r="E198" s="107" t="s">
        <v>259</v>
      </c>
      <c r="F198" s="107">
        <v>310</v>
      </c>
      <c r="G198" s="195">
        <v>9</v>
      </c>
      <c r="H198" s="107"/>
    </row>
    <row r="199" spans="1:8">
      <c r="A199" s="107">
        <v>11</v>
      </c>
      <c r="B199" s="107">
        <v>4</v>
      </c>
      <c r="C199" s="107">
        <v>3</v>
      </c>
      <c r="D199" s="107" t="s">
        <v>258</v>
      </c>
      <c r="E199" s="107" t="s">
        <v>259</v>
      </c>
      <c r="F199" s="107">
        <v>800</v>
      </c>
      <c r="G199" s="195">
        <v>13</v>
      </c>
      <c r="H199" s="107"/>
    </row>
    <row r="201" spans="1:8">
      <c r="A201" s="107">
        <v>11</v>
      </c>
      <c r="B201" s="107">
        <v>5</v>
      </c>
      <c r="C201" s="107">
        <v>1</v>
      </c>
      <c r="D201" s="107" t="s">
        <v>260</v>
      </c>
      <c r="E201" s="107" t="s">
        <v>261</v>
      </c>
      <c r="F201" s="107">
        <v>170</v>
      </c>
      <c r="G201" s="195">
        <v>10</v>
      </c>
      <c r="H201" s="107">
        <v>1580</v>
      </c>
    </row>
    <row r="202" spans="1:8">
      <c r="A202" s="107">
        <v>11</v>
      </c>
      <c r="B202" s="107">
        <v>5</v>
      </c>
      <c r="C202" s="107">
        <v>2</v>
      </c>
      <c r="D202" s="107" t="s">
        <v>260</v>
      </c>
      <c r="E202" s="107" t="s">
        <v>261</v>
      </c>
      <c r="F202" s="107">
        <v>50</v>
      </c>
      <c r="G202" s="195">
        <v>5</v>
      </c>
      <c r="H202" s="107"/>
    </row>
    <row r="203" spans="1:8">
      <c r="A203" s="107">
        <v>11</v>
      </c>
      <c r="B203" s="107">
        <v>5</v>
      </c>
      <c r="C203" s="107">
        <v>3</v>
      </c>
      <c r="D203" s="107" t="s">
        <v>260</v>
      </c>
      <c r="E203" s="107" t="s">
        <v>261</v>
      </c>
      <c r="F203" s="107">
        <v>330</v>
      </c>
      <c r="G203" s="195">
        <v>10</v>
      </c>
      <c r="H203" s="107"/>
    </row>
    <row r="204" spans="1:8">
      <c r="A204" s="107">
        <v>11</v>
      </c>
      <c r="B204" s="107">
        <v>6</v>
      </c>
      <c r="C204" s="107">
        <v>1</v>
      </c>
      <c r="D204" s="107" t="s">
        <v>262</v>
      </c>
      <c r="E204" s="107" t="s">
        <v>263</v>
      </c>
      <c r="F204" s="107">
        <v>490</v>
      </c>
      <c r="G204" s="195">
        <v>10</v>
      </c>
      <c r="H204" s="107">
        <v>1700</v>
      </c>
    </row>
    <row r="205" spans="1:8">
      <c r="A205" s="107">
        <v>11</v>
      </c>
      <c r="B205" s="107">
        <v>6</v>
      </c>
      <c r="C205" s="107">
        <v>2</v>
      </c>
      <c r="D205" s="107" t="s">
        <v>262</v>
      </c>
      <c r="E205" s="107" t="s">
        <v>263</v>
      </c>
      <c r="F205" s="107">
        <v>500</v>
      </c>
      <c r="G205" s="195">
        <v>11</v>
      </c>
      <c r="H205" s="107"/>
    </row>
    <row r="206" spans="1:8">
      <c r="A206" s="107">
        <v>11</v>
      </c>
      <c r="B206" s="107">
        <v>6</v>
      </c>
      <c r="C206" s="107">
        <v>3</v>
      </c>
      <c r="D206" s="107" t="s">
        <v>262</v>
      </c>
      <c r="E206" s="107" t="s">
        <v>263</v>
      </c>
      <c r="F206" s="196">
        <v>370</v>
      </c>
      <c r="G206" s="195">
        <v>11</v>
      </c>
      <c r="H206" s="107"/>
    </row>
    <row r="207" spans="1:8">
      <c r="A207" s="107">
        <v>12</v>
      </c>
      <c r="B207" s="107">
        <v>1</v>
      </c>
      <c r="C207" s="107">
        <v>1</v>
      </c>
      <c r="D207" s="107" t="s">
        <v>264</v>
      </c>
      <c r="E207" s="107" t="s">
        <v>265</v>
      </c>
      <c r="F207" s="107">
        <v>1200</v>
      </c>
      <c r="G207" s="195">
        <v>11</v>
      </c>
      <c r="H207" s="196">
        <v>1780</v>
      </c>
    </row>
    <row r="208" spans="1:8">
      <c r="A208" s="107">
        <v>12</v>
      </c>
      <c r="B208" s="107">
        <v>1</v>
      </c>
      <c r="C208" s="107">
        <v>2</v>
      </c>
      <c r="D208" s="107" t="s">
        <v>264</v>
      </c>
      <c r="E208" s="107" t="s">
        <v>265</v>
      </c>
      <c r="F208" s="107">
        <v>1500</v>
      </c>
      <c r="G208" s="195">
        <v>10</v>
      </c>
      <c r="H208" s="107"/>
    </row>
    <row r="209" spans="1:8">
      <c r="A209" s="107">
        <v>12</v>
      </c>
      <c r="B209" s="107">
        <v>1</v>
      </c>
      <c r="C209" s="107">
        <v>3</v>
      </c>
      <c r="D209" s="107" t="s">
        <v>264</v>
      </c>
      <c r="E209" s="107" t="s">
        <v>265</v>
      </c>
      <c r="F209" s="107">
        <v>1320</v>
      </c>
      <c r="G209" s="195">
        <v>10</v>
      </c>
      <c r="H209" s="107"/>
    </row>
    <row r="210" spans="1:8">
      <c r="A210" s="107">
        <v>12</v>
      </c>
      <c r="B210" s="107">
        <v>2</v>
      </c>
      <c r="C210" s="107">
        <v>1</v>
      </c>
      <c r="D210" s="107" t="s">
        <v>266</v>
      </c>
      <c r="E210" s="107" t="s">
        <v>267</v>
      </c>
      <c r="F210" s="107">
        <v>400</v>
      </c>
      <c r="G210" s="195">
        <v>6</v>
      </c>
      <c r="H210" s="107">
        <v>280</v>
      </c>
    </row>
    <row r="211" spans="1:8">
      <c r="A211" s="107">
        <v>12</v>
      </c>
      <c r="B211" s="107">
        <v>2</v>
      </c>
      <c r="C211" s="107">
        <v>2</v>
      </c>
      <c r="D211" s="107" t="s">
        <v>266</v>
      </c>
      <c r="E211" s="107" t="s">
        <v>267</v>
      </c>
      <c r="F211" s="107">
        <v>280</v>
      </c>
      <c r="G211" s="195">
        <v>7</v>
      </c>
      <c r="H211" s="107"/>
    </row>
    <row r="212" spans="1:8">
      <c r="A212" s="107">
        <v>12</v>
      </c>
      <c r="B212" s="107">
        <v>2</v>
      </c>
      <c r="C212" s="107">
        <v>3</v>
      </c>
      <c r="D212" s="107" t="s">
        <v>266</v>
      </c>
      <c r="E212" s="107" t="s">
        <v>267</v>
      </c>
      <c r="F212" s="107">
        <v>250</v>
      </c>
      <c r="G212" s="195">
        <v>5</v>
      </c>
      <c r="H212" s="107"/>
    </row>
    <row r="213" spans="1:8">
      <c r="A213" s="107">
        <v>12</v>
      </c>
      <c r="B213" s="107">
        <v>3</v>
      </c>
      <c r="C213" s="107">
        <v>1</v>
      </c>
      <c r="D213" s="107" t="s">
        <v>268</v>
      </c>
      <c r="E213" s="107" t="s">
        <v>161</v>
      </c>
      <c r="F213" s="107">
        <v>1160</v>
      </c>
      <c r="G213" s="195">
        <v>15</v>
      </c>
      <c r="H213" s="107">
        <v>1860</v>
      </c>
    </row>
    <row r="214" spans="1:8">
      <c r="A214" s="107">
        <v>12</v>
      </c>
      <c r="B214" s="107">
        <v>3</v>
      </c>
      <c r="C214" s="107">
        <v>2</v>
      </c>
      <c r="D214" s="107" t="s">
        <v>268</v>
      </c>
      <c r="E214" s="107" t="s">
        <v>161</v>
      </c>
      <c r="F214" s="107">
        <v>1240</v>
      </c>
      <c r="G214" s="195">
        <v>13</v>
      </c>
      <c r="H214" s="107"/>
    </row>
    <row r="215" spans="1:8">
      <c r="A215" s="107">
        <v>12</v>
      </c>
      <c r="B215" s="107">
        <v>3</v>
      </c>
      <c r="C215" s="107">
        <v>3</v>
      </c>
      <c r="D215" s="107" t="s">
        <v>268</v>
      </c>
      <c r="E215" s="107" t="s">
        <v>161</v>
      </c>
      <c r="F215" s="107">
        <v>1150</v>
      </c>
      <c r="G215" s="195">
        <v>10</v>
      </c>
      <c r="H215" s="107"/>
    </row>
    <row r="216" spans="1:8">
      <c r="A216" s="107">
        <v>12</v>
      </c>
      <c r="B216" s="107">
        <v>4</v>
      </c>
      <c r="C216" s="107">
        <v>1</v>
      </c>
      <c r="D216" s="107" t="s">
        <v>269</v>
      </c>
      <c r="E216" s="107" t="s">
        <v>187</v>
      </c>
      <c r="F216" s="107">
        <v>1140</v>
      </c>
      <c r="G216" s="195">
        <v>12</v>
      </c>
      <c r="H216" s="107">
        <v>1960</v>
      </c>
    </row>
    <row r="217" spans="1:8">
      <c r="A217" s="107">
        <v>12</v>
      </c>
      <c r="B217" s="107">
        <v>4</v>
      </c>
      <c r="C217" s="107">
        <v>2</v>
      </c>
      <c r="D217" s="107" t="s">
        <v>269</v>
      </c>
      <c r="E217" s="107" t="s">
        <v>187</v>
      </c>
      <c r="F217" s="107">
        <v>1260</v>
      </c>
      <c r="G217" s="195">
        <v>10</v>
      </c>
      <c r="H217" s="107"/>
    </row>
    <row r="218" spans="1:8">
      <c r="A218" s="107">
        <v>12</v>
      </c>
      <c r="B218" s="107">
        <v>4</v>
      </c>
      <c r="C218" s="107">
        <v>3</v>
      </c>
      <c r="D218" s="107" t="s">
        <v>269</v>
      </c>
      <c r="E218" s="107" t="s">
        <v>187</v>
      </c>
      <c r="F218" s="107">
        <v>1130</v>
      </c>
      <c r="G218" s="195">
        <v>12</v>
      </c>
      <c r="H218" s="107"/>
    </row>
    <row r="219" spans="1:8">
      <c r="A219" s="107">
        <v>12</v>
      </c>
      <c r="B219" s="107">
        <v>5</v>
      </c>
      <c r="C219" s="107">
        <v>1</v>
      </c>
      <c r="D219" s="107" t="s">
        <v>270</v>
      </c>
      <c r="E219" s="107" t="s">
        <v>163</v>
      </c>
      <c r="F219" s="107">
        <v>1250</v>
      </c>
      <c r="G219" s="195">
        <v>10</v>
      </c>
      <c r="H219" s="107">
        <v>1490</v>
      </c>
    </row>
    <row r="220" spans="1:8">
      <c r="A220" s="107">
        <v>12</v>
      </c>
      <c r="B220" s="107">
        <v>5</v>
      </c>
      <c r="C220" s="107">
        <v>2</v>
      </c>
      <c r="D220" s="107" t="s">
        <v>270</v>
      </c>
      <c r="E220" s="107" t="s">
        <v>163</v>
      </c>
      <c r="F220" s="107">
        <v>1230</v>
      </c>
      <c r="G220" s="195">
        <v>10</v>
      </c>
      <c r="H220" s="107"/>
    </row>
    <row r="221" spans="1:8">
      <c r="A221" s="107">
        <v>12</v>
      </c>
      <c r="B221" s="107">
        <v>5</v>
      </c>
      <c r="C221" s="107">
        <v>3</v>
      </c>
      <c r="D221" s="107" t="s">
        <v>270</v>
      </c>
      <c r="E221" s="107" t="s">
        <v>163</v>
      </c>
      <c r="F221" s="107">
        <v>1080</v>
      </c>
      <c r="G221" s="195">
        <v>9</v>
      </c>
      <c r="H221" s="107"/>
    </row>
    <row r="222" spans="1:8">
      <c r="A222" s="107">
        <v>12</v>
      </c>
      <c r="B222" s="107">
        <v>6</v>
      </c>
      <c r="C222" s="107">
        <v>1</v>
      </c>
      <c r="D222" s="107" t="s">
        <v>271</v>
      </c>
      <c r="E222" s="107" t="s">
        <v>272</v>
      </c>
      <c r="F222" s="107">
        <v>1320</v>
      </c>
      <c r="G222" s="195">
        <v>10</v>
      </c>
      <c r="H222" s="107">
        <v>1640</v>
      </c>
    </row>
    <row r="223" spans="1:8">
      <c r="A223" s="107">
        <v>12</v>
      </c>
      <c r="B223" s="107">
        <v>6</v>
      </c>
      <c r="C223" s="107">
        <v>2</v>
      </c>
      <c r="D223" s="107" t="s">
        <v>271</v>
      </c>
      <c r="E223" s="107" t="s">
        <v>272</v>
      </c>
      <c r="F223" s="107">
        <v>1310</v>
      </c>
      <c r="G223" s="195">
        <v>11</v>
      </c>
      <c r="H223" s="107"/>
    </row>
    <row r="224" spans="1:8">
      <c r="A224" s="107">
        <v>12</v>
      </c>
      <c r="B224" s="107">
        <v>6</v>
      </c>
      <c r="C224" s="107">
        <v>3</v>
      </c>
      <c r="D224" s="107" t="s">
        <v>271</v>
      </c>
      <c r="E224" s="107" t="s">
        <v>272</v>
      </c>
      <c r="F224" s="107">
        <v>1310</v>
      </c>
      <c r="G224" s="195">
        <v>10</v>
      </c>
      <c r="H224" s="107"/>
    </row>
    <row r="225" spans="1:8">
      <c r="A225" s="107">
        <v>13</v>
      </c>
      <c r="B225" s="107">
        <v>1</v>
      </c>
      <c r="C225" s="107">
        <v>1</v>
      </c>
      <c r="D225" s="107" t="s">
        <v>273</v>
      </c>
      <c r="E225" s="107" t="s">
        <v>274</v>
      </c>
      <c r="F225" s="107">
        <v>1380</v>
      </c>
      <c r="G225" s="195">
        <v>9</v>
      </c>
      <c r="H225" s="107">
        <v>1810</v>
      </c>
    </row>
    <row r="226" spans="1:8">
      <c r="A226" s="107">
        <v>13</v>
      </c>
      <c r="B226" s="107">
        <v>1</v>
      </c>
      <c r="C226" s="107">
        <v>2</v>
      </c>
      <c r="D226" s="107" t="s">
        <v>273</v>
      </c>
      <c r="E226" s="107" t="s">
        <v>274</v>
      </c>
      <c r="F226" s="107">
        <v>1300</v>
      </c>
      <c r="G226" s="195">
        <v>11</v>
      </c>
      <c r="H226" s="107"/>
    </row>
    <row r="227" spans="1:8">
      <c r="A227" s="107">
        <v>13</v>
      </c>
      <c r="B227" s="107">
        <v>1</v>
      </c>
      <c r="C227" s="107">
        <v>3</v>
      </c>
      <c r="D227" s="107" t="s">
        <v>273</v>
      </c>
      <c r="E227" s="107" t="s">
        <v>274</v>
      </c>
      <c r="F227" s="107">
        <v>1250</v>
      </c>
      <c r="G227" s="195">
        <v>10</v>
      </c>
      <c r="H227" s="107"/>
    </row>
    <row r="228" spans="1:8">
      <c r="A228" s="107">
        <v>13</v>
      </c>
      <c r="B228" s="107">
        <v>2</v>
      </c>
      <c r="C228" s="107">
        <v>1</v>
      </c>
      <c r="D228" s="107" t="s">
        <v>275</v>
      </c>
      <c r="E228" s="107" t="s">
        <v>276</v>
      </c>
      <c r="F228" s="107">
        <v>1240</v>
      </c>
      <c r="G228" s="195">
        <v>7</v>
      </c>
      <c r="H228" s="107">
        <v>1440</v>
      </c>
    </row>
    <row r="229" spans="1:8">
      <c r="A229" s="107">
        <v>13</v>
      </c>
      <c r="B229" s="107">
        <v>2</v>
      </c>
      <c r="C229" s="107">
        <v>2</v>
      </c>
      <c r="D229" s="107" t="s">
        <v>275</v>
      </c>
      <c r="E229" s="107" t="s">
        <v>276</v>
      </c>
      <c r="F229" s="107">
        <v>1240</v>
      </c>
      <c r="G229" s="195">
        <v>6</v>
      </c>
      <c r="H229" s="107"/>
    </row>
    <row r="230" spans="1:8">
      <c r="A230" s="107">
        <v>13</v>
      </c>
      <c r="B230" s="107">
        <v>2</v>
      </c>
      <c r="C230" s="107">
        <v>3</v>
      </c>
      <c r="D230" s="107" t="s">
        <v>275</v>
      </c>
      <c r="E230" s="107" t="s">
        <v>276</v>
      </c>
      <c r="F230" s="107">
        <v>1070</v>
      </c>
      <c r="G230" s="195">
        <v>8</v>
      </c>
      <c r="H230" s="107"/>
    </row>
    <row r="231" spans="1:8">
      <c r="A231" s="107">
        <v>13</v>
      </c>
      <c r="B231" s="107">
        <v>3</v>
      </c>
      <c r="C231" s="107">
        <v>1</v>
      </c>
      <c r="D231" s="107" t="s">
        <v>277</v>
      </c>
      <c r="E231" s="107" t="s">
        <v>278</v>
      </c>
      <c r="F231" s="107">
        <v>1270</v>
      </c>
      <c r="G231" s="195">
        <v>12</v>
      </c>
      <c r="H231" s="107">
        <v>1550</v>
      </c>
    </row>
    <row r="232" spans="1:8">
      <c r="A232" s="107">
        <v>13</v>
      </c>
      <c r="B232" s="107">
        <v>3</v>
      </c>
      <c r="C232" s="107">
        <v>2</v>
      </c>
      <c r="D232" s="107" t="s">
        <v>277</v>
      </c>
      <c r="E232" s="107" t="s">
        <v>278</v>
      </c>
      <c r="F232" s="107">
        <v>1130</v>
      </c>
      <c r="G232" s="195">
        <v>12</v>
      </c>
      <c r="H232" s="107"/>
    </row>
    <row r="233" spans="1:8">
      <c r="A233" s="107">
        <v>13</v>
      </c>
      <c r="B233" s="107">
        <v>3</v>
      </c>
      <c r="C233" s="107">
        <v>3</v>
      </c>
      <c r="D233" s="107" t="s">
        <v>277</v>
      </c>
      <c r="E233" s="107" t="s">
        <v>278</v>
      </c>
      <c r="F233" s="107">
        <v>1180</v>
      </c>
      <c r="G233" s="195">
        <v>10</v>
      </c>
      <c r="H233" s="107"/>
    </row>
    <row r="234" spans="1:8">
      <c r="A234" s="107">
        <v>13</v>
      </c>
      <c r="B234" s="107">
        <v>4</v>
      </c>
      <c r="C234" s="107">
        <v>1</v>
      </c>
      <c r="D234" s="107" t="s">
        <v>279</v>
      </c>
      <c r="E234" s="107" t="s">
        <v>280</v>
      </c>
      <c r="F234" s="107">
        <v>1030</v>
      </c>
      <c r="G234" s="195">
        <v>9</v>
      </c>
      <c r="H234" s="107">
        <v>1700</v>
      </c>
    </row>
    <row r="235" spans="1:8">
      <c r="A235" s="107">
        <v>13</v>
      </c>
      <c r="B235" s="107">
        <v>4</v>
      </c>
      <c r="C235" s="107">
        <v>2</v>
      </c>
      <c r="D235" s="107" t="s">
        <v>279</v>
      </c>
      <c r="E235" s="107" t="s">
        <v>280</v>
      </c>
      <c r="F235" s="107">
        <v>1330</v>
      </c>
      <c r="G235" s="195">
        <v>8</v>
      </c>
      <c r="H235" s="107"/>
    </row>
    <row r="236" spans="1:8">
      <c r="A236" s="107">
        <v>13</v>
      </c>
      <c r="B236" s="107">
        <v>4</v>
      </c>
      <c r="C236" s="107">
        <v>3</v>
      </c>
      <c r="D236" s="107" t="s">
        <v>279</v>
      </c>
      <c r="E236" s="107" t="s">
        <v>280</v>
      </c>
      <c r="F236" s="107">
        <v>1020</v>
      </c>
      <c r="G236" s="195">
        <v>10</v>
      </c>
      <c r="H236" s="107"/>
    </row>
    <row r="237" spans="1:8">
      <c r="A237" s="107">
        <v>13</v>
      </c>
      <c r="B237" s="107">
        <v>5</v>
      </c>
      <c r="C237" s="107">
        <v>1</v>
      </c>
      <c r="D237" s="107" t="s">
        <v>281</v>
      </c>
      <c r="E237" s="107" t="s">
        <v>282</v>
      </c>
      <c r="F237" s="107">
        <v>980</v>
      </c>
      <c r="G237" s="195">
        <v>13</v>
      </c>
      <c r="H237" s="107">
        <v>1620</v>
      </c>
    </row>
    <row r="238" spans="1:8">
      <c r="A238" s="107">
        <v>13</v>
      </c>
      <c r="B238" s="107">
        <v>5</v>
      </c>
      <c r="C238" s="107">
        <v>2</v>
      </c>
      <c r="D238" s="107" t="s">
        <v>281</v>
      </c>
      <c r="E238" s="107" t="s">
        <v>282</v>
      </c>
      <c r="F238" s="107">
        <v>970</v>
      </c>
      <c r="G238" s="195">
        <v>14</v>
      </c>
      <c r="H238" s="107"/>
    </row>
    <row r="239" spans="1:8">
      <c r="A239" s="107">
        <v>13</v>
      </c>
      <c r="B239" s="107">
        <v>5</v>
      </c>
      <c r="C239" s="107">
        <v>3</v>
      </c>
      <c r="D239" s="107" t="s">
        <v>281</v>
      </c>
      <c r="E239" s="107" t="s">
        <v>282</v>
      </c>
      <c r="F239" s="107">
        <v>1000</v>
      </c>
      <c r="G239" s="195">
        <v>14</v>
      </c>
      <c r="H239" s="107"/>
    </row>
    <row r="240" spans="1:8">
      <c r="A240" s="107">
        <v>13</v>
      </c>
      <c r="B240" s="107">
        <v>6</v>
      </c>
      <c r="C240" s="107">
        <v>1</v>
      </c>
      <c r="D240" s="107" t="s">
        <v>283</v>
      </c>
      <c r="E240" s="107" t="s">
        <v>284</v>
      </c>
      <c r="F240" s="107">
        <v>780</v>
      </c>
      <c r="G240" s="195">
        <v>10</v>
      </c>
      <c r="H240" s="107">
        <v>1240</v>
      </c>
    </row>
    <row r="241" spans="1:8">
      <c r="A241" s="107">
        <v>13</v>
      </c>
      <c r="B241" s="107">
        <v>6</v>
      </c>
      <c r="C241" s="107">
        <v>2</v>
      </c>
      <c r="D241" s="107" t="s">
        <v>283</v>
      </c>
      <c r="E241" s="107" t="s">
        <v>284</v>
      </c>
      <c r="F241" s="107">
        <v>1090</v>
      </c>
      <c r="G241" s="195">
        <v>10</v>
      </c>
      <c r="H241" s="107"/>
    </row>
    <row r="242" spans="1:8">
      <c r="A242" s="107">
        <v>13</v>
      </c>
      <c r="B242" s="107">
        <v>6</v>
      </c>
      <c r="C242" s="107">
        <v>3</v>
      </c>
      <c r="D242" s="107" t="s">
        <v>283</v>
      </c>
      <c r="E242" s="107" t="s">
        <v>284</v>
      </c>
      <c r="F242" s="107">
        <v>930</v>
      </c>
      <c r="G242" s="195">
        <v>10</v>
      </c>
      <c r="H242" s="107"/>
    </row>
    <row r="243" spans="1:8">
      <c r="A243" s="107">
        <v>14</v>
      </c>
      <c r="B243" s="107">
        <v>1</v>
      </c>
      <c r="C243" s="107">
        <v>1</v>
      </c>
      <c r="D243" s="107" t="s">
        <v>285</v>
      </c>
      <c r="E243" s="107" t="s">
        <v>286</v>
      </c>
      <c r="F243" s="107">
        <v>760</v>
      </c>
      <c r="G243" s="195">
        <v>13</v>
      </c>
      <c r="H243" s="107">
        <v>1200</v>
      </c>
    </row>
    <row r="244" spans="1:8">
      <c r="A244" s="107">
        <v>14</v>
      </c>
      <c r="B244" s="107">
        <v>1</v>
      </c>
      <c r="C244" s="107">
        <v>2</v>
      </c>
      <c r="D244" s="107" t="s">
        <v>285</v>
      </c>
      <c r="E244" s="107" t="s">
        <v>286</v>
      </c>
      <c r="F244" s="107">
        <v>710</v>
      </c>
      <c r="G244" s="195">
        <v>14</v>
      </c>
      <c r="H244" s="107"/>
    </row>
    <row r="245" spans="1:8">
      <c r="A245" s="107">
        <v>14</v>
      </c>
      <c r="B245" s="107">
        <v>1</v>
      </c>
      <c r="C245" s="107">
        <v>3</v>
      </c>
      <c r="D245" s="107" t="s">
        <v>285</v>
      </c>
      <c r="E245" s="107" t="s">
        <v>286</v>
      </c>
      <c r="F245" s="107">
        <v>710</v>
      </c>
      <c r="G245" s="195">
        <v>12</v>
      </c>
      <c r="H245" s="107"/>
    </row>
    <row r="246" spans="1:8">
      <c r="A246" s="107">
        <v>14</v>
      </c>
      <c r="B246" s="107">
        <v>2</v>
      </c>
      <c r="C246" s="107">
        <v>1</v>
      </c>
      <c r="D246" s="107" t="s">
        <v>287</v>
      </c>
      <c r="E246" s="107" t="s">
        <v>288</v>
      </c>
      <c r="F246" s="107">
        <v>890</v>
      </c>
      <c r="G246" s="195">
        <v>12</v>
      </c>
      <c r="H246" s="107">
        <v>1250</v>
      </c>
    </row>
    <row r="247" spans="1:8">
      <c r="A247" s="107">
        <v>14</v>
      </c>
      <c r="B247" s="107">
        <v>2</v>
      </c>
      <c r="C247" s="107">
        <v>2</v>
      </c>
      <c r="D247" s="107" t="s">
        <v>287</v>
      </c>
      <c r="E247" s="107" t="s">
        <v>288</v>
      </c>
      <c r="F247" s="107">
        <v>860</v>
      </c>
      <c r="G247" s="195">
        <v>11</v>
      </c>
      <c r="H247" s="107"/>
    </row>
    <row r="248" spans="1:8">
      <c r="A248" s="107">
        <v>14</v>
      </c>
      <c r="B248" s="107">
        <v>2</v>
      </c>
      <c r="C248" s="107">
        <v>3</v>
      </c>
      <c r="D248" s="107" t="s">
        <v>287</v>
      </c>
      <c r="E248" s="107" t="s">
        <v>288</v>
      </c>
      <c r="F248" s="107">
        <v>970</v>
      </c>
      <c r="G248" s="195">
        <v>12</v>
      </c>
      <c r="H248" s="107"/>
    </row>
    <row r="250" spans="1:8">
      <c r="A250" s="107">
        <v>14</v>
      </c>
      <c r="B250" s="107">
        <v>3</v>
      </c>
      <c r="C250" s="107">
        <v>1</v>
      </c>
      <c r="D250" s="107" t="s">
        <v>289</v>
      </c>
      <c r="E250" s="107" t="s">
        <v>290</v>
      </c>
      <c r="F250" s="107">
        <v>1230</v>
      </c>
      <c r="G250" s="195">
        <v>11</v>
      </c>
      <c r="H250" s="107">
        <v>1680</v>
      </c>
    </row>
    <row r="251" spans="1:8">
      <c r="A251" s="107">
        <v>14</v>
      </c>
      <c r="B251" s="107">
        <v>3</v>
      </c>
      <c r="C251" s="107">
        <v>2</v>
      </c>
      <c r="D251" s="107" t="s">
        <v>289</v>
      </c>
      <c r="E251" s="107" t="s">
        <v>290</v>
      </c>
      <c r="F251" s="107">
        <v>940</v>
      </c>
      <c r="G251" s="195">
        <v>11</v>
      </c>
      <c r="H251" s="107"/>
    </row>
    <row r="252" spans="1:8">
      <c r="A252" s="107">
        <v>14</v>
      </c>
      <c r="B252" s="107">
        <v>3</v>
      </c>
      <c r="C252" s="107">
        <v>3</v>
      </c>
      <c r="D252" s="107" t="s">
        <v>289</v>
      </c>
      <c r="E252" s="107" t="s">
        <v>290</v>
      </c>
      <c r="F252" s="107">
        <v>1060</v>
      </c>
      <c r="G252" s="195">
        <v>11</v>
      </c>
      <c r="H252" s="107"/>
    </row>
    <row r="253" spans="1:8">
      <c r="A253" s="107">
        <v>14</v>
      </c>
      <c r="B253" s="107">
        <v>4</v>
      </c>
      <c r="C253" s="107">
        <v>1</v>
      </c>
      <c r="D253" s="107" t="s">
        <v>291</v>
      </c>
      <c r="E253" s="107" t="s">
        <v>292</v>
      </c>
      <c r="F253" s="107">
        <v>1040</v>
      </c>
      <c r="G253" s="195">
        <v>11</v>
      </c>
      <c r="H253" s="107">
        <v>1500</v>
      </c>
    </row>
    <row r="254" spans="1:8">
      <c r="A254" s="107">
        <v>14</v>
      </c>
      <c r="B254" s="107">
        <v>4</v>
      </c>
      <c r="C254" s="107">
        <v>2</v>
      </c>
      <c r="D254" s="107" t="s">
        <v>291</v>
      </c>
      <c r="E254" s="107" t="s">
        <v>292</v>
      </c>
      <c r="F254" s="107">
        <v>1050</v>
      </c>
      <c r="G254" s="195">
        <v>12</v>
      </c>
      <c r="H254" s="107"/>
    </row>
    <row r="255" spans="1:8">
      <c r="A255" s="107">
        <v>14</v>
      </c>
      <c r="B255" s="107">
        <v>4</v>
      </c>
      <c r="C255" s="107">
        <v>3</v>
      </c>
      <c r="D255" s="107" t="s">
        <v>291</v>
      </c>
      <c r="E255" s="107" t="s">
        <v>292</v>
      </c>
      <c r="F255" s="196">
        <v>1180</v>
      </c>
      <c r="G255" s="195">
        <v>9</v>
      </c>
      <c r="H255" s="107"/>
    </row>
    <row r="256" spans="1:8">
      <c r="A256" s="107">
        <v>14</v>
      </c>
      <c r="B256" s="107">
        <v>5</v>
      </c>
      <c r="C256" s="107">
        <v>1</v>
      </c>
      <c r="D256" s="107" t="s">
        <v>293</v>
      </c>
      <c r="E256" s="107" t="s">
        <v>294</v>
      </c>
      <c r="F256" s="107">
        <v>1220</v>
      </c>
      <c r="G256" s="195">
        <v>11</v>
      </c>
      <c r="H256" s="107">
        <v>1730</v>
      </c>
    </row>
    <row r="257" spans="1:8">
      <c r="A257" s="107">
        <v>14</v>
      </c>
      <c r="B257" s="107">
        <v>5</v>
      </c>
      <c r="C257" s="107">
        <v>2</v>
      </c>
      <c r="D257" s="107" t="s">
        <v>293</v>
      </c>
      <c r="E257" s="107" t="s">
        <v>294</v>
      </c>
      <c r="F257" s="107">
        <v>990</v>
      </c>
      <c r="G257" s="195">
        <v>13</v>
      </c>
      <c r="H257" s="196"/>
    </row>
    <row r="258" spans="1:8">
      <c r="A258" s="107">
        <v>14</v>
      </c>
      <c r="B258" s="107">
        <v>5</v>
      </c>
      <c r="C258" s="107">
        <v>3</v>
      </c>
      <c r="D258" s="107" t="s">
        <v>293</v>
      </c>
      <c r="E258" s="107" t="s">
        <v>294</v>
      </c>
      <c r="F258" s="107">
        <v>1230</v>
      </c>
      <c r="G258" s="195">
        <v>14</v>
      </c>
      <c r="H258" s="107"/>
    </row>
    <row r="259" spans="1:8">
      <c r="A259" s="107">
        <v>14</v>
      </c>
      <c r="B259" s="107">
        <v>6</v>
      </c>
      <c r="C259" s="107">
        <v>1</v>
      </c>
      <c r="D259" s="107" t="s">
        <v>295</v>
      </c>
      <c r="E259" s="107" t="s">
        <v>296</v>
      </c>
      <c r="F259" s="107">
        <v>1260</v>
      </c>
      <c r="G259" s="195">
        <v>12</v>
      </c>
      <c r="H259" s="107">
        <v>1480</v>
      </c>
    </row>
    <row r="260" spans="1:8">
      <c r="A260" s="107">
        <v>14</v>
      </c>
      <c r="B260" s="107">
        <v>6</v>
      </c>
      <c r="C260" s="107">
        <v>2</v>
      </c>
      <c r="D260" s="107" t="s">
        <v>295</v>
      </c>
      <c r="E260" s="107" t="s">
        <v>296</v>
      </c>
      <c r="F260" s="107">
        <v>1220</v>
      </c>
      <c r="G260" s="195">
        <v>13</v>
      </c>
      <c r="H260" s="107"/>
    </row>
    <row r="261" spans="1:8">
      <c r="A261" s="107">
        <v>14</v>
      </c>
      <c r="B261" s="107">
        <v>6</v>
      </c>
      <c r="C261" s="107">
        <v>3</v>
      </c>
      <c r="D261" s="107" t="s">
        <v>295</v>
      </c>
      <c r="E261" s="107" t="s">
        <v>296</v>
      </c>
      <c r="F261" s="107">
        <v>1110</v>
      </c>
      <c r="G261" s="195">
        <v>10</v>
      </c>
      <c r="H261" s="107"/>
    </row>
    <row r="262" spans="1:8">
      <c r="A262" s="107">
        <v>15</v>
      </c>
      <c r="B262" s="107">
        <v>1</v>
      </c>
      <c r="C262" s="107">
        <v>1</v>
      </c>
      <c r="D262" s="107" t="s">
        <v>297</v>
      </c>
      <c r="E262" s="107" t="s">
        <v>298</v>
      </c>
      <c r="F262" s="107">
        <v>920</v>
      </c>
      <c r="G262" s="195">
        <v>12</v>
      </c>
      <c r="H262" s="107">
        <v>1570</v>
      </c>
    </row>
    <row r="263" spans="1:8">
      <c r="A263" s="107">
        <v>15</v>
      </c>
      <c r="B263" s="107">
        <v>1</v>
      </c>
      <c r="C263" s="107">
        <v>2</v>
      </c>
      <c r="D263" s="107" t="s">
        <v>297</v>
      </c>
      <c r="E263" s="107" t="s">
        <v>298</v>
      </c>
      <c r="F263" s="107">
        <v>1020</v>
      </c>
      <c r="G263" s="195">
        <v>13</v>
      </c>
      <c r="H263" s="107"/>
    </row>
    <row r="264" spans="1:8">
      <c r="A264" s="107">
        <v>15</v>
      </c>
      <c r="B264" s="107">
        <v>1</v>
      </c>
      <c r="C264" s="107">
        <v>3</v>
      </c>
      <c r="D264" s="107" t="s">
        <v>297</v>
      </c>
      <c r="E264" s="107" t="s">
        <v>298</v>
      </c>
      <c r="F264" s="107">
        <v>990</v>
      </c>
      <c r="G264" s="195">
        <v>12</v>
      </c>
      <c r="H264" s="107"/>
    </row>
    <row r="265" spans="1:8">
      <c r="A265" s="107">
        <v>15</v>
      </c>
      <c r="B265" s="107">
        <v>2</v>
      </c>
      <c r="C265" s="107">
        <v>1</v>
      </c>
      <c r="D265" s="107" t="s">
        <v>299</v>
      </c>
      <c r="E265" s="107" t="s">
        <v>300</v>
      </c>
      <c r="F265" s="107">
        <v>1100</v>
      </c>
      <c r="G265" s="195">
        <v>10</v>
      </c>
      <c r="H265" s="107">
        <v>1710</v>
      </c>
    </row>
    <row r="266" spans="1:8">
      <c r="A266" s="107">
        <v>15</v>
      </c>
      <c r="B266" s="107">
        <v>2</v>
      </c>
      <c r="C266" s="107">
        <v>2</v>
      </c>
      <c r="D266" s="107" t="s">
        <v>299</v>
      </c>
      <c r="E266" s="107" t="s">
        <v>300</v>
      </c>
      <c r="F266" s="107">
        <v>1200</v>
      </c>
      <c r="G266" s="195">
        <v>14</v>
      </c>
      <c r="H266" s="107"/>
    </row>
    <row r="267" spans="1:8">
      <c r="A267" s="107">
        <v>15</v>
      </c>
      <c r="B267" s="107">
        <v>2</v>
      </c>
      <c r="C267" s="107">
        <v>3</v>
      </c>
      <c r="D267" s="107" t="s">
        <v>299</v>
      </c>
      <c r="E267" s="107" t="s">
        <v>300</v>
      </c>
      <c r="F267" s="107">
        <v>970</v>
      </c>
      <c r="G267" s="195">
        <v>13</v>
      </c>
      <c r="H267" s="107"/>
    </row>
    <row r="268" spans="1:8">
      <c r="A268" s="107">
        <v>15</v>
      </c>
      <c r="B268" s="107">
        <v>3</v>
      </c>
      <c r="C268" s="107">
        <v>1</v>
      </c>
      <c r="D268" s="107" t="s">
        <v>301</v>
      </c>
      <c r="E268" s="107" t="s">
        <v>302</v>
      </c>
      <c r="F268" s="107">
        <v>440</v>
      </c>
      <c r="G268" s="195">
        <v>10</v>
      </c>
      <c r="H268" s="107">
        <v>2040</v>
      </c>
    </row>
    <row r="269" spans="1:8">
      <c r="A269" s="107">
        <v>15</v>
      </c>
      <c r="B269" s="107">
        <v>3</v>
      </c>
      <c r="C269" s="107">
        <v>2</v>
      </c>
      <c r="D269" s="107" t="s">
        <v>301</v>
      </c>
      <c r="E269" s="107" t="s">
        <v>302</v>
      </c>
      <c r="F269" s="107">
        <v>440</v>
      </c>
      <c r="G269" s="195">
        <v>11</v>
      </c>
      <c r="H269" s="107"/>
    </row>
    <row r="270" spans="1:8">
      <c r="A270" s="107">
        <v>15</v>
      </c>
      <c r="B270" s="107">
        <v>3</v>
      </c>
      <c r="C270" s="107">
        <v>3</v>
      </c>
      <c r="D270" s="107" t="s">
        <v>301</v>
      </c>
      <c r="E270" s="107" t="s">
        <v>302</v>
      </c>
      <c r="F270" s="107">
        <v>350</v>
      </c>
      <c r="G270" s="195">
        <v>10</v>
      </c>
      <c r="H270" s="107"/>
    </row>
    <row r="271" spans="1:8">
      <c r="A271" s="107">
        <v>15</v>
      </c>
      <c r="B271" s="107">
        <v>4</v>
      </c>
      <c r="C271" s="107">
        <v>1</v>
      </c>
      <c r="D271" s="107" t="s">
        <v>303</v>
      </c>
      <c r="E271" s="107" t="s">
        <v>304</v>
      </c>
      <c r="F271" s="107">
        <v>1250</v>
      </c>
      <c r="G271" s="195">
        <v>13</v>
      </c>
      <c r="H271" s="107">
        <v>1670</v>
      </c>
    </row>
    <row r="272" spans="1:8">
      <c r="A272" s="107">
        <v>15</v>
      </c>
      <c r="B272" s="107">
        <v>4</v>
      </c>
      <c r="C272" s="107">
        <v>2</v>
      </c>
      <c r="D272" s="107" t="s">
        <v>303</v>
      </c>
      <c r="E272" s="107" t="s">
        <v>304</v>
      </c>
      <c r="F272" s="107">
        <v>1030</v>
      </c>
      <c r="G272" s="195">
        <v>12</v>
      </c>
      <c r="H272" s="107"/>
    </row>
    <row r="273" spans="1:8">
      <c r="A273" s="107">
        <v>15</v>
      </c>
      <c r="B273" s="107">
        <v>4</v>
      </c>
      <c r="C273" s="107">
        <v>3</v>
      </c>
      <c r="D273" s="107" t="s">
        <v>303</v>
      </c>
      <c r="E273" s="107" t="s">
        <v>304</v>
      </c>
      <c r="F273" s="107">
        <v>1130</v>
      </c>
      <c r="G273" s="195">
        <v>12</v>
      </c>
      <c r="H273" s="107"/>
    </row>
    <row r="274" spans="1:8">
      <c r="A274" s="107">
        <v>15</v>
      </c>
      <c r="B274" s="107">
        <v>5</v>
      </c>
      <c r="C274" s="107">
        <v>1</v>
      </c>
      <c r="D274" s="107" t="s">
        <v>305</v>
      </c>
      <c r="E274" s="107" t="s">
        <v>306</v>
      </c>
      <c r="F274" s="107">
        <v>930</v>
      </c>
      <c r="G274" s="195">
        <v>12</v>
      </c>
      <c r="H274" s="107">
        <v>1470</v>
      </c>
    </row>
    <row r="275" spans="1:8">
      <c r="A275" s="107">
        <v>15</v>
      </c>
      <c r="B275" s="107">
        <v>5</v>
      </c>
      <c r="C275" s="107">
        <v>2</v>
      </c>
      <c r="D275" s="107" t="s">
        <v>305</v>
      </c>
      <c r="E275" s="107" t="s">
        <v>306</v>
      </c>
      <c r="F275" s="107">
        <v>560</v>
      </c>
      <c r="G275" s="195">
        <v>11</v>
      </c>
      <c r="H275" s="107"/>
    </row>
    <row r="276" spans="1:8">
      <c r="A276" s="107">
        <v>15</v>
      </c>
      <c r="B276" s="107">
        <v>5</v>
      </c>
      <c r="C276" s="107">
        <v>3</v>
      </c>
      <c r="D276" s="107" t="s">
        <v>305</v>
      </c>
      <c r="E276" s="107" t="s">
        <v>306</v>
      </c>
      <c r="F276" s="107">
        <v>820</v>
      </c>
      <c r="G276" s="195">
        <v>13</v>
      </c>
      <c r="H276" s="107"/>
    </row>
    <row r="277" spans="1:8">
      <c r="A277" s="107">
        <v>15</v>
      </c>
      <c r="B277" s="107">
        <v>6</v>
      </c>
      <c r="C277" s="107">
        <v>1</v>
      </c>
      <c r="D277" s="107" t="s">
        <v>307</v>
      </c>
      <c r="E277" s="107" t="s">
        <v>308</v>
      </c>
      <c r="F277" s="107">
        <v>1230</v>
      </c>
      <c r="G277" s="195">
        <v>11</v>
      </c>
      <c r="H277" s="107">
        <v>1660</v>
      </c>
    </row>
    <row r="278" spans="1:8">
      <c r="A278" s="107">
        <v>15</v>
      </c>
      <c r="B278" s="107">
        <v>6</v>
      </c>
      <c r="C278" s="107">
        <v>2</v>
      </c>
      <c r="D278" s="107" t="s">
        <v>307</v>
      </c>
      <c r="E278" s="107" t="s">
        <v>308</v>
      </c>
      <c r="F278" s="107">
        <v>990</v>
      </c>
      <c r="G278" s="195">
        <v>10</v>
      </c>
      <c r="H278" s="107"/>
    </row>
    <row r="279" spans="1:8">
      <c r="A279" s="107">
        <v>15</v>
      </c>
      <c r="B279" s="107">
        <v>6</v>
      </c>
      <c r="C279" s="107">
        <v>3</v>
      </c>
      <c r="D279" s="107" t="s">
        <v>307</v>
      </c>
      <c r="E279" s="107" t="s">
        <v>308</v>
      </c>
      <c r="F279" s="107">
        <v>960</v>
      </c>
      <c r="G279" s="195">
        <v>14</v>
      </c>
      <c r="H279" s="107"/>
    </row>
    <row r="280" spans="1:8">
      <c r="A280" s="107">
        <v>16</v>
      </c>
      <c r="B280" s="107">
        <v>1</v>
      </c>
      <c r="C280" s="107">
        <v>1</v>
      </c>
      <c r="D280" s="107" t="s">
        <v>309</v>
      </c>
      <c r="E280" s="107" t="s">
        <v>310</v>
      </c>
      <c r="F280" s="107">
        <v>810</v>
      </c>
      <c r="G280" s="195">
        <v>15</v>
      </c>
      <c r="H280" s="107">
        <v>1530</v>
      </c>
    </row>
    <row r="281" spans="1:8">
      <c r="A281" s="107">
        <v>16</v>
      </c>
      <c r="B281" s="107">
        <v>1</v>
      </c>
      <c r="C281" s="107">
        <v>2</v>
      </c>
      <c r="D281" s="107" t="s">
        <v>309</v>
      </c>
      <c r="E281" s="107" t="s">
        <v>310</v>
      </c>
      <c r="F281" s="107">
        <v>1120</v>
      </c>
      <c r="G281" s="195">
        <v>15</v>
      </c>
      <c r="H281" s="107"/>
    </row>
    <row r="282" spans="1:8">
      <c r="A282" s="107">
        <v>16</v>
      </c>
      <c r="B282" s="107">
        <v>1</v>
      </c>
      <c r="C282" s="107">
        <v>3</v>
      </c>
      <c r="D282" s="107" t="s">
        <v>309</v>
      </c>
      <c r="E282" s="107" t="s">
        <v>310</v>
      </c>
      <c r="F282" s="107">
        <v>900</v>
      </c>
      <c r="G282" s="195">
        <v>13</v>
      </c>
      <c r="H282" s="107"/>
    </row>
    <row r="283" spans="1:8">
      <c r="A283" s="107">
        <v>16</v>
      </c>
      <c r="B283" s="107">
        <v>2</v>
      </c>
      <c r="C283" s="107">
        <v>1</v>
      </c>
      <c r="D283" s="107" t="s">
        <v>311</v>
      </c>
      <c r="E283" s="107" t="s">
        <v>312</v>
      </c>
      <c r="F283" s="107">
        <v>1110</v>
      </c>
      <c r="G283" s="195">
        <v>14</v>
      </c>
      <c r="H283" s="107">
        <v>1530</v>
      </c>
    </row>
    <row r="284" spans="1:8">
      <c r="A284" s="107">
        <v>16</v>
      </c>
      <c r="B284" s="107">
        <v>2</v>
      </c>
      <c r="C284" s="107">
        <v>2</v>
      </c>
      <c r="D284" s="107" t="s">
        <v>311</v>
      </c>
      <c r="E284" s="107" t="s">
        <v>312</v>
      </c>
      <c r="F284" s="107">
        <v>1150</v>
      </c>
      <c r="G284" s="195">
        <v>12</v>
      </c>
      <c r="H284" s="107"/>
    </row>
    <row r="285" spans="1:8">
      <c r="A285" s="107">
        <v>16</v>
      </c>
      <c r="B285" s="107">
        <v>2</v>
      </c>
      <c r="C285" s="107">
        <v>3</v>
      </c>
      <c r="D285" s="107" t="s">
        <v>311</v>
      </c>
      <c r="E285" s="107" t="s">
        <v>312</v>
      </c>
      <c r="F285" s="107">
        <v>930</v>
      </c>
      <c r="G285" s="195">
        <v>12</v>
      </c>
      <c r="H285" s="107"/>
    </row>
    <row r="286" spans="1:8">
      <c r="A286" s="107">
        <v>16</v>
      </c>
      <c r="B286" s="107">
        <v>3</v>
      </c>
      <c r="C286" s="107">
        <v>1</v>
      </c>
      <c r="D286" s="107" t="s">
        <v>313</v>
      </c>
      <c r="E286" s="107" t="s">
        <v>314</v>
      </c>
      <c r="F286" s="107">
        <v>1270</v>
      </c>
      <c r="G286" s="195">
        <v>11</v>
      </c>
      <c r="H286" s="107">
        <v>1460</v>
      </c>
    </row>
    <row r="287" spans="1:8">
      <c r="A287" s="107">
        <v>16</v>
      </c>
      <c r="B287" s="107">
        <v>3</v>
      </c>
      <c r="C287" s="107">
        <v>2</v>
      </c>
      <c r="D287" s="107" t="s">
        <v>313</v>
      </c>
      <c r="E287" s="107" t="s">
        <v>314</v>
      </c>
      <c r="F287" s="107">
        <v>1170</v>
      </c>
      <c r="G287" s="195">
        <v>10</v>
      </c>
      <c r="H287" s="107"/>
    </row>
    <row r="288" spans="1:8">
      <c r="A288" s="107">
        <v>16</v>
      </c>
      <c r="B288" s="107">
        <v>3</v>
      </c>
      <c r="C288" s="107">
        <v>3</v>
      </c>
      <c r="D288" s="107" t="s">
        <v>313</v>
      </c>
      <c r="E288" s="107" t="s">
        <v>314</v>
      </c>
      <c r="F288" s="107">
        <v>1060</v>
      </c>
      <c r="G288" s="195">
        <v>8</v>
      </c>
      <c r="H288" s="107"/>
    </row>
    <row r="289" spans="1:8">
      <c r="A289" s="107">
        <v>16</v>
      </c>
      <c r="B289" s="107">
        <v>4</v>
      </c>
      <c r="C289" s="107">
        <v>1</v>
      </c>
      <c r="D289" s="107" t="s">
        <v>315</v>
      </c>
      <c r="E289" s="107" t="s">
        <v>316</v>
      </c>
      <c r="F289" s="107">
        <v>1110</v>
      </c>
      <c r="G289" s="195">
        <v>14</v>
      </c>
      <c r="H289" s="107">
        <v>1540</v>
      </c>
    </row>
    <row r="290" spans="1:8">
      <c r="A290" s="107">
        <v>16</v>
      </c>
      <c r="B290" s="107">
        <v>4</v>
      </c>
      <c r="C290" s="107">
        <v>2</v>
      </c>
      <c r="D290" s="107" t="s">
        <v>315</v>
      </c>
      <c r="E290" s="107" t="s">
        <v>316</v>
      </c>
      <c r="F290" s="107">
        <v>1100</v>
      </c>
      <c r="G290" s="195">
        <v>12</v>
      </c>
      <c r="H290" s="107"/>
    </row>
    <row r="291" spans="1:8">
      <c r="A291" s="107">
        <v>16</v>
      </c>
      <c r="B291" s="107">
        <v>4</v>
      </c>
      <c r="C291" s="107">
        <v>3</v>
      </c>
      <c r="D291" s="107" t="s">
        <v>315</v>
      </c>
      <c r="E291" s="107" t="s">
        <v>316</v>
      </c>
      <c r="F291" s="107">
        <v>990</v>
      </c>
      <c r="G291" s="195">
        <v>11</v>
      </c>
      <c r="H291" s="107"/>
    </row>
    <row r="292" spans="1:8">
      <c r="A292" s="107">
        <v>16</v>
      </c>
      <c r="B292" s="107">
        <v>5</v>
      </c>
      <c r="C292" s="107">
        <v>1</v>
      </c>
      <c r="D292" s="107" t="s">
        <v>317</v>
      </c>
      <c r="E292" s="107" t="s">
        <v>318</v>
      </c>
      <c r="F292" s="107">
        <v>1140</v>
      </c>
      <c r="G292" s="195">
        <v>12</v>
      </c>
      <c r="H292" s="107">
        <v>1630</v>
      </c>
    </row>
    <row r="293" spans="1:8">
      <c r="A293" s="107">
        <v>16</v>
      </c>
      <c r="B293" s="107">
        <v>5</v>
      </c>
      <c r="C293" s="107">
        <v>2</v>
      </c>
      <c r="D293" s="107" t="s">
        <v>317</v>
      </c>
      <c r="E293" s="107" t="s">
        <v>318</v>
      </c>
      <c r="F293" s="107">
        <v>790</v>
      </c>
      <c r="G293" s="195">
        <v>9</v>
      </c>
      <c r="H293" s="107"/>
    </row>
    <row r="294" spans="1:8">
      <c r="A294" s="107">
        <v>16</v>
      </c>
      <c r="B294" s="107">
        <v>5</v>
      </c>
      <c r="C294" s="107">
        <v>3</v>
      </c>
      <c r="D294" s="107" t="s">
        <v>317</v>
      </c>
      <c r="E294" s="107" t="s">
        <v>318</v>
      </c>
      <c r="F294" s="107">
        <v>940</v>
      </c>
      <c r="G294" s="195">
        <v>14</v>
      </c>
      <c r="H294" s="107"/>
    </row>
    <row r="295" spans="1:8">
      <c r="A295" s="107">
        <v>16</v>
      </c>
      <c r="B295" s="107">
        <v>6</v>
      </c>
      <c r="C295" s="107">
        <v>1</v>
      </c>
      <c r="D295" s="107" t="s">
        <v>319</v>
      </c>
      <c r="E295" s="107" t="s">
        <v>320</v>
      </c>
      <c r="F295" s="107">
        <v>980</v>
      </c>
      <c r="G295" s="195">
        <v>12</v>
      </c>
      <c r="H295" s="107">
        <v>1350</v>
      </c>
    </row>
    <row r="296" spans="1:8">
      <c r="A296" s="107">
        <v>16</v>
      </c>
      <c r="B296" s="107">
        <v>6</v>
      </c>
      <c r="C296" s="107">
        <v>2</v>
      </c>
      <c r="D296" s="107" t="s">
        <v>319</v>
      </c>
      <c r="E296" s="107" t="s">
        <v>320</v>
      </c>
      <c r="F296" s="107">
        <v>940</v>
      </c>
      <c r="G296" s="195">
        <v>13</v>
      </c>
      <c r="H296" s="107"/>
    </row>
    <row r="297" spans="1:8">
      <c r="A297" s="107">
        <v>16</v>
      </c>
      <c r="B297" s="107">
        <v>6</v>
      </c>
      <c r="C297" s="107">
        <v>3</v>
      </c>
      <c r="D297" s="107" t="s">
        <v>319</v>
      </c>
      <c r="E297" s="107" t="s">
        <v>320</v>
      </c>
      <c r="F297" s="107">
        <v>880</v>
      </c>
      <c r="G297" s="195">
        <v>13</v>
      </c>
      <c r="H297" s="107"/>
    </row>
    <row r="299" spans="1:8">
      <c r="A299" s="107">
        <v>17</v>
      </c>
      <c r="B299" s="107">
        <v>1</v>
      </c>
      <c r="C299" s="107">
        <v>1</v>
      </c>
      <c r="D299" s="107" t="s">
        <v>321</v>
      </c>
      <c r="E299" s="107" t="s">
        <v>322</v>
      </c>
      <c r="F299" s="107">
        <v>1130</v>
      </c>
      <c r="G299" s="195">
        <v>13</v>
      </c>
      <c r="H299" s="107">
        <v>1570</v>
      </c>
    </row>
    <row r="300" spans="1:8">
      <c r="A300" s="107">
        <v>17</v>
      </c>
      <c r="B300" s="107">
        <v>1</v>
      </c>
      <c r="C300" s="107">
        <v>2</v>
      </c>
      <c r="D300" s="107" t="s">
        <v>321</v>
      </c>
      <c r="E300" s="107" t="s">
        <v>322</v>
      </c>
      <c r="F300" s="107">
        <v>530</v>
      </c>
      <c r="G300" s="195">
        <v>12</v>
      </c>
      <c r="H300" s="107"/>
    </row>
    <row r="301" spans="1:8">
      <c r="A301" s="107">
        <v>17</v>
      </c>
      <c r="B301" s="107">
        <v>1</v>
      </c>
      <c r="C301" s="107">
        <v>3</v>
      </c>
      <c r="D301" s="107" t="s">
        <v>321</v>
      </c>
      <c r="E301" s="107" t="s">
        <v>322</v>
      </c>
      <c r="F301" s="107">
        <v>860</v>
      </c>
      <c r="G301" s="195">
        <v>11</v>
      </c>
      <c r="H301" s="107"/>
    </row>
    <row r="302" spans="1:8">
      <c r="A302" s="107">
        <v>17</v>
      </c>
      <c r="B302" s="107">
        <v>2</v>
      </c>
      <c r="C302" s="107">
        <v>1</v>
      </c>
      <c r="D302" s="107" t="s">
        <v>323</v>
      </c>
      <c r="E302" s="107" t="s">
        <v>324</v>
      </c>
      <c r="F302" s="107">
        <v>1120</v>
      </c>
      <c r="G302" s="195">
        <v>10</v>
      </c>
      <c r="H302" s="107">
        <v>1405</v>
      </c>
    </row>
    <row r="303" spans="1:8">
      <c r="A303" s="107">
        <v>17</v>
      </c>
      <c r="B303" s="107">
        <v>2</v>
      </c>
      <c r="C303" s="107">
        <v>2</v>
      </c>
      <c r="D303" s="107" t="s">
        <v>323</v>
      </c>
      <c r="E303" s="107" t="s">
        <v>324</v>
      </c>
      <c r="F303" s="107">
        <v>1160</v>
      </c>
      <c r="G303" s="195">
        <v>12</v>
      </c>
      <c r="H303" s="107"/>
    </row>
    <row r="304" spans="1:8">
      <c r="A304" s="107">
        <v>17</v>
      </c>
      <c r="B304" s="107">
        <v>2</v>
      </c>
      <c r="C304" s="107">
        <v>3</v>
      </c>
      <c r="D304" s="107" t="s">
        <v>323</v>
      </c>
      <c r="E304" s="107" t="s">
        <v>324</v>
      </c>
      <c r="F304" s="107">
        <v>900</v>
      </c>
      <c r="G304" s="195">
        <v>8</v>
      </c>
      <c r="H304" s="107"/>
    </row>
    <row r="305" spans="1:8">
      <c r="A305" s="107">
        <v>17</v>
      </c>
      <c r="B305" s="107">
        <v>3</v>
      </c>
      <c r="C305" s="107">
        <v>1</v>
      </c>
      <c r="D305" s="107" t="s">
        <v>325</v>
      </c>
      <c r="E305" s="107" t="s">
        <v>326</v>
      </c>
      <c r="F305" s="196">
        <v>1030</v>
      </c>
      <c r="G305" s="195">
        <v>13</v>
      </c>
      <c r="H305" s="107">
        <v>1740</v>
      </c>
    </row>
    <row r="306" spans="1:8">
      <c r="A306" s="107">
        <v>17</v>
      </c>
      <c r="B306" s="107">
        <v>3</v>
      </c>
      <c r="C306" s="107">
        <v>2</v>
      </c>
      <c r="D306" s="107" t="s">
        <v>325</v>
      </c>
      <c r="E306" s="107" t="s">
        <v>326</v>
      </c>
      <c r="F306" s="107">
        <v>1100</v>
      </c>
      <c r="G306" s="195">
        <v>13</v>
      </c>
      <c r="H306" s="107"/>
    </row>
    <row r="307" spans="1:8">
      <c r="A307" s="107">
        <v>17</v>
      </c>
      <c r="B307" s="107">
        <v>3</v>
      </c>
      <c r="C307" s="107">
        <v>3</v>
      </c>
      <c r="D307" s="107" t="s">
        <v>325</v>
      </c>
      <c r="E307" s="107" t="s">
        <v>326</v>
      </c>
      <c r="F307" s="107">
        <v>1000</v>
      </c>
      <c r="G307" s="195">
        <v>14</v>
      </c>
      <c r="H307" s="107"/>
    </row>
    <row r="308" spans="1:8">
      <c r="A308" s="107">
        <v>17</v>
      </c>
      <c r="B308" s="107">
        <v>4</v>
      </c>
      <c r="C308" s="107">
        <v>1</v>
      </c>
      <c r="D308" s="107" t="s">
        <v>327</v>
      </c>
      <c r="E308" s="107" t="s">
        <v>328</v>
      </c>
      <c r="F308" s="107">
        <v>1180</v>
      </c>
      <c r="G308" s="195">
        <v>11</v>
      </c>
      <c r="H308" s="107">
        <v>1560</v>
      </c>
    </row>
    <row r="309" spans="1:8">
      <c r="A309" s="107">
        <v>17</v>
      </c>
      <c r="B309" s="107">
        <v>4</v>
      </c>
      <c r="C309" s="107">
        <v>2</v>
      </c>
      <c r="D309" s="107" t="s">
        <v>327</v>
      </c>
      <c r="E309" s="107" t="s">
        <v>328</v>
      </c>
      <c r="F309" s="107">
        <v>1150</v>
      </c>
      <c r="G309" s="195">
        <v>12</v>
      </c>
      <c r="H309" s="196"/>
    </row>
    <row r="310" spans="1:8">
      <c r="A310" s="107">
        <v>17</v>
      </c>
      <c r="B310" s="107">
        <v>4</v>
      </c>
      <c r="C310" s="107">
        <v>3</v>
      </c>
      <c r="D310" s="107" t="s">
        <v>327</v>
      </c>
      <c r="E310" s="107" t="s">
        <v>328</v>
      </c>
      <c r="F310" s="107">
        <v>1170</v>
      </c>
      <c r="G310" s="195">
        <v>12</v>
      </c>
      <c r="H310" s="107"/>
    </row>
    <row r="311" spans="1:8">
      <c r="A311" s="107">
        <v>17</v>
      </c>
      <c r="B311" s="107">
        <v>5</v>
      </c>
      <c r="C311" s="107">
        <v>1</v>
      </c>
      <c r="D311" s="107" t="s">
        <v>329</v>
      </c>
      <c r="E311" s="107" t="s">
        <v>330</v>
      </c>
      <c r="F311" s="107">
        <v>870</v>
      </c>
      <c r="G311" s="195">
        <v>13</v>
      </c>
      <c r="H311" s="107">
        <v>1520</v>
      </c>
    </row>
    <row r="312" spans="1:8">
      <c r="A312" s="107">
        <v>17</v>
      </c>
      <c r="B312" s="107">
        <v>5</v>
      </c>
      <c r="C312" s="107">
        <v>2</v>
      </c>
      <c r="D312" s="107" t="s">
        <v>329</v>
      </c>
      <c r="E312" s="107" t="s">
        <v>330</v>
      </c>
      <c r="F312" s="107">
        <v>610</v>
      </c>
      <c r="G312" s="195">
        <v>12</v>
      </c>
      <c r="H312" s="107"/>
    </row>
    <row r="313" spans="1:8">
      <c r="A313" s="107">
        <v>17</v>
      </c>
      <c r="B313" s="107">
        <v>5</v>
      </c>
      <c r="C313" s="107">
        <v>3</v>
      </c>
      <c r="D313" s="107" t="s">
        <v>329</v>
      </c>
      <c r="E313" s="107" t="s">
        <v>330</v>
      </c>
      <c r="F313" s="107">
        <v>960</v>
      </c>
      <c r="G313" s="195">
        <v>14</v>
      </c>
      <c r="H313" s="107"/>
    </row>
    <row r="314" spans="1:8">
      <c r="A314" s="107">
        <v>17</v>
      </c>
      <c r="B314" s="107">
        <v>6</v>
      </c>
      <c r="C314" s="107">
        <v>1</v>
      </c>
      <c r="D314" s="107" t="s">
        <v>331</v>
      </c>
      <c r="E314" s="107" t="s">
        <v>332</v>
      </c>
      <c r="F314" s="107">
        <v>1030</v>
      </c>
      <c r="G314" s="195">
        <v>12</v>
      </c>
      <c r="H314" s="107">
        <v>1580</v>
      </c>
    </row>
    <row r="315" spans="1:8">
      <c r="A315" s="107">
        <v>17</v>
      </c>
      <c r="B315" s="107">
        <v>6</v>
      </c>
      <c r="C315" s="107">
        <v>2</v>
      </c>
      <c r="D315" s="107" t="s">
        <v>331</v>
      </c>
      <c r="E315" s="107" t="s">
        <v>332</v>
      </c>
      <c r="F315" s="107">
        <v>1130</v>
      </c>
      <c r="G315" s="195">
        <v>12</v>
      </c>
      <c r="H315" s="107"/>
    </row>
    <row r="316" spans="1:8">
      <c r="A316" s="107">
        <v>17</v>
      </c>
      <c r="B316" s="107">
        <v>6</v>
      </c>
      <c r="C316" s="107">
        <v>3</v>
      </c>
      <c r="D316" s="107" t="s">
        <v>331</v>
      </c>
      <c r="E316" s="107" t="s">
        <v>332</v>
      </c>
      <c r="F316" s="107">
        <v>1140</v>
      </c>
      <c r="G316" s="195">
        <v>12</v>
      </c>
      <c r="H316" s="107"/>
    </row>
    <row r="317" spans="1:8">
      <c r="A317" s="107">
        <v>18</v>
      </c>
      <c r="B317" s="107">
        <v>1</v>
      </c>
      <c r="C317" s="107">
        <v>1</v>
      </c>
      <c r="D317" s="107" t="s">
        <v>333</v>
      </c>
      <c r="E317" s="107" t="s">
        <v>334</v>
      </c>
      <c r="F317" s="107">
        <v>1350</v>
      </c>
      <c r="G317" s="195">
        <v>11</v>
      </c>
      <c r="H317" s="107">
        <v>1600</v>
      </c>
    </row>
    <row r="318" spans="1:8">
      <c r="A318" s="107">
        <v>18</v>
      </c>
      <c r="B318" s="107">
        <v>1</v>
      </c>
      <c r="C318" s="107">
        <v>2</v>
      </c>
      <c r="D318" s="107" t="s">
        <v>333</v>
      </c>
      <c r="E318" s="107" t="s">
        <v>334</v>
      </c>
      <c r="F318" s="107">
        <v>1330</v>
      </c>
      <c r="G318" s="195">
        <v>12</v>
      </c>
      <c r="H318" s="107"/>
    </row>
    <row r="319" spans="1:8">
      <c r="A319" s="107">
        <v>18</v>
      </c>
      <c r="B319" s="107">
        <v>1</v>
      </c>
      <c r="C319" s="107">
        <v>3</v>
      </c>
      <c r="D319" s="107" t="s">
        <v>333</v>
      </c>
      <c r="E319" s="107" t="s">
        <v>334</v>
      </c>
      <c r="F319" s="107">
        <v>1370</v>
      </c>
      <c r="G319" s="195">
        <v>11</v>
      </c>
      <c r="H319" s="107"/>
    </row>
    <row r="320" spans="1:8">
      <c r="A320" s="107">
        <v>18</v>
      </c>
      <c r="B320" s="107">
        <v>2</v>
      </c>
      <c r="C320" s="107">
        <v>1</v>
      </c>
      <c r="D320" s="107" t="s">
        <v>335</v>
      </c>
      <c r="E320" s="107" t="s">
        <v>336</v>
      </c>
      <c r="F320" s="107">
        <v>1160</v>
      </c>
      <c r="G320" s="195">
        <v>11</v>
      </c>
      <c r="H320" s="107">
        <v>1590</v>
      </c>
    </row>
    <row r="321" spans="1:8">
      <c r="A321" s="107">
        <v>18</v>
      </c>
      <c r="B321" s="107">
        <v>2</v>
      </c>
      <c r="C321" s="107">
        <v>2</v>
      </c>
      <c r="D321" s="107" t="s">
        <v>335</v>
      </c>
      <c r="E321" s="107" t="s">
        <v>336</v>
      </c>
      <c r="F321" s="107">
        <v>550</v>
      </c>
      <c r="G321" s="195">
        <v>11</v>
      </c>
      <c r="H321" s="107"/>
    </row>
    <row r="322" spans="1:8">
      <c r="A322" s="107">
        <v>18</v>
      </c>
      <c r="B322" s="107">
        <v>2</v>
      </c>
      <c r="C322" s="107">
        <v>3</v>
      </c>
      <c r="D322" s="107" t="s">
        <v>335</v>
      </c>
      <c r="E322" s="107" t="s">
        <v>336</v>
      </c>
      <c r="F322" s="107">
        <v>1270</v>
      </c>
      <c r="G322" s="195">
        <v>13</v>
      </c>
      <c r="H322" s="107"/>
    </row>
    <row r="323" spans="1:8">
      <c r="A323" s="107">
        <v>18</v>
      </c>
      <c r="B323" s="107">
        <v>3</v>
      </c>
      <c r="C323" s="107">
        <v>1</v>
      </c>
      <c r="D323" s="107" t="s">
        <v>337</v>
      </c>
      <c r="E323" s="107" t="s">
        <v>338</v>
      </c>
      <c r="F323" s="107">
        <v>1350</v>
      </c>
      <c r="G323" s="195">
        <v>11</v>
      </c>
      <c r="H323" s="107">
        <v>1570</v>
      </c>
    </row>
    <row r="324" spans="1:8">
      <c r="A324" s="107">
        <v>18</v>
      </c>
      <c r="B324" s="107">
        <v>3</v>
      </c>
      <c r="C324" s="107">
        <v>2</v>
      </c>
      <c r="D324" s="107" t="s">
        <v>337</v>
      </c>
      <c r="E324" s="107" t="s">
        <v>338</v>
      </c>
      <c r="F324" s="107">
        <v>1140</v>
      </c>
      <c r="G324" s="195">
        <v>11</v>
      </c>
      <c r="H324" s="107"/>
    </row>
    <row r="325" spans="1:8">
      <c r="A325" s="107">
        <v>18</v>
      </c>
      <c r="B325" s="107">
        <v>3</v>
      </c>
      <c r="C325" s="107">
        <v>3</v>
      </c>
      <c r="D325" s="107" t="s">
        <v>337</v>
      </c>
      <c r="E325" s="107" t="s">
        <v>338</v>
      </c>
      <c r="F325" s="107">
        <v>1250</v>
      </c>
      <c r="G325" s="195">
        <v>12</v>
      </c>
      <c r="H325" s="107"/>
    </row>
    <row r="326" spans="1:8">
      <c r="A326" s="107">
        <v>18</v>
      </c>
      <c r="B326" s="107">
        <v>4</v>
      </c>
      <c r="C326" s="107">
        <v>1</v>
      </c>
      <c r="D326" s="107" t="s">
        <v>339</v>
      </c>
      <c r="E326" s="107" t="s">
        <v>340</v>
      </c>
      <c r="F326" s="107">
        <v>1300</v>
      </c>
      <c r="G326" s="195">
        <v>10</v>
      </c>
      <c r="H326" s="107">
        <v>1610</v>
      </c>
    </row>
    <row r="327" spans="1:8">
      <c r="A327" s="107">
        <v>18</v>
      </c>
      <c r="B327" s="107">
        <v>4</v>
      </c>
      <c r="C327" s="107">
        <v>2</v>
      </c>
      <c r="D327" s="107" t="s">
        <v>339</v>
      </c>
      <c r="E327" s="107" t="s">
        <v>340</v>
      </c>
      <c r="F327" s="107">
        <v>1210</v>
      </c>
      <c r="G327" s="195">
        <v>12</v>
      </c>
      <c r="H327" s="107"/>
    </row>
    <row r="328" spans="1:8">
      <c r="A328" s="107">
        <v>18</v>
      </c>
      <c r="B328" s="107">
        <v>4</v>
      </c>
      <c r="C328" s="107">
        <v>3</v>
      </c>
      <c r="D328" s="107" t="s">
        <v>339</v>
      </c>
      <c r="E328" s="107" t="s">
        <v>340</v>
      </c>
      <c r="F328" s="107">
        <v>1260</v>
      </c>
      <c r="G328" s="195">
        <v>11</v>
      </c>
      <c r="H328" s="107"/>
    </row>
    <row r="329" spans="1:8">
      <c r="A329" s="107">
        <v>18</v>
      </c>
      <c r="B329" s="107">
        <v>5</v>
      </c>
      <c r="C329" s="107">
        <v>1</v>
      </c>
      <c r="D329" s="107" t="s">
        <v>341</v>
      </c>
      <c r="E329" s="107" t="s">
        <v>342</v>
      </c>
      <c r="F329" s="107">
        <v>1340</v>
      </c>
      <c r="G329" s="195">
        <v>13</v>
      </c>
      <c r="H329" s="107">
        <v>1870</v>
      </c>
    </row>
    <row r="330" spans="1:8">
      <c r="A330" s="107">
        <v>18</v>
      </c>
      <c r="B330" s="107">
        <v>5</v>
      </c>
      <c r="C330" s="107">
        <v>2</v>
      </c>
      <c r="D330" s="107" t="s">
        <v>341</v>
      </c>
      <c r="E330" s="107" t="s">
        <v>342</v>
      </c>
      <c r="F330" s="107">
        <v>1310</v>
      </c>
      <c r="G330" s="195">
        <v>13</v>
      </c>
      <c r="H330" s="107"/>
    </row>
    <row r="331" spans="1:8">
      <c r="A331" s="107">
        <v>18</v>
      </c>
      <c r="B331" s="107">
        <v>5</v>
      </c>
      <c r="C331" s="107">
        <v>3</v>
      </c>
      <c r="D331" s="107" t="s">
        <v>341</v>
      </c>
      <c r="E331" s="107" t="s">
        <v>342</v>
      </c>
      <c r="F331" s="107">
        <v>1280</v>
      </c>
      <c r="G331" s="195">
        <v>13</v>
      </c>
      <c r="H331" s="107"/>
    </row>
    <row r="332" spans="1:8">
      <c r="A332" s="107">
        <v>18</v>
      </c>
      <c r="B332" s="107">
        <v>6</v>
      </c>
      <c r="C332" s="107">
        <v>1</v>
      </c>
      <c r="D332" s="107" t="s">
        <v>343</v>
      </c>
      <c r="E332" s="107" t="s">
        <v>344</v>
      </c>
      <c r="F332" s="107">
        <v>1370</v>
      </c>
      <c r="G332" s="195">
        <v>13</v>
      </c>
      <c r="H332" s="107">
        <v>1680</v>
      </c>
    </row>
    <row r="333" spans="1:8">
      <c r="A333" s="107">
        <v>18</v>
      </c>
      <c r="B333" s="107">
        <v>6</v>
      </c>
      <c r="C333" s="107">
        <v>2</v>
      </c>
      <c r="D333" s="107" t="s">
        <v>343</v>
      </c>
      <c r="E333" s="107" t="s">
        <v>344</v>
      </c>
      <c r="F333" s="107">
        <v>1060</v>
      </c>
      <c r="G333" s="195">
        <v>11</v>
      </c>
      <c r="H333" s="107"/>
    </row>
    <row r="334" spans="1:8">
      <c r="A334" s="107">
        <v>18</v>
      </c>
      <c r="B334" s="107">
        <v>6</v>
      </c>
      <c r="C334" s="107">
        <v>3</v>
      </c>
      <c r="D334" s="107" t="s">
        <v>343</v>
      </c>
      <c r="E334" s="107" t="s">
        <v>344</v>
      </c>
      <c r="F334" s="107">
        <v>1060</v>
      </c>
      <c r="G334" s="195">
        <v>11</v>
      </c>
      <c r="H334" s="107"/>
    </row>
    <row r="335" spans="1:8">
      <c r="A335" s="107">
        <v>19</v>
      </c>
      <c r="B335" s="107">
        <v>1</v>
      </c>
      <c r="C335" s="107">
        <v>1</v>
      </c>
      <c r="D335" s="107" t="s">
        <v>345</v>
      </c>
      <c r="E335" s="107" t="s">
        <v>346</v>
      </c>
      <c r="F335" s="107">
        <v>1300</v>
      </c>
      <c r="G335" s="195">
        <v>11</v>
      </c>
      <c r="H335" s="107">
        <v>1750</v>
      </c>
    </row>
    <row r="336" spans="1:8">
      <c r="A336" s="107">
        <v>19</v>
      </c>
      <c r="B336" s="107">
        <v>1</v>
      </c>
      <c r="C336" s="107">
        <v>2</v>
      </c>
      <c r="D336" s="107" t="s">
        <v>345</v>
      </c>
      <c r="E336" s="107" t="s">
        <v>346</v>
      </c>
      <c r="F336" s="107">
        <v>1050</v>
      </c>
      <c r="G336" s="195">
        <v>13</v>
      </c>
      <c r="H336" s="107"/>
    </row>
    <row r="337" spans="1:8">
      <c r="A337" s="107">
        <v>19</v>
      </c>
      <c r="B337" s="107">
        <v>1</v>
      </c>
      <c r="C337" s="107">
        <v>3</v>
      </c>
      <c r="D337" s="107" t="s">
        <v>345</v>
      </c>
      <c r="E337" s="107" t="s">
        <v>346</v>
      </c>
      <c r="F337" s="107">
        <v>1180</v>
      </c>
      <c r="G337" s="195">
        <v>14</v>
      </c>
      <c r="H337" s="107"/>
    </row>
    <row r="338" spans="1:8">
      <c r="A338" s="107">
        <v>19</v>
      </c>
      <c r="B338" s="107">
        <v>2</v>
      </c>
      <c r="C338" s="107">
        <v>1</v>
      </c>
      <c r="D338" s="107" t="s">
        <v>347</v>
      </c>
      <c r="E338" s="107" t="s">
        <v>348</v>
      </c>
      <c r="F338" s="107">
        <v>1130</v>
      </c>
      <c r="G338" s="195">
        <v>12</v>
      </c>
      <c r="H338" s="107">
        <v>1720</v>
      </c>
    </row>
    <row r="339" spans="1:8">
      <c r="A339" s="107">
        <v>19</v>
      </c>
      <c r="B339" s="107">
        <v>2</v>
      </c>
      <c r="C339" s="107">
        <v>2</v>
      </c>
      <c r="D339" s="107" t="s">
        <v>347</v>
      </c>
      <c r="E339" s="107" t="s">
        <v>348</v>
      </c>
      <c r="F339" s="107">
        <v>1000</v>
      </c>
      <c r="G339" s="195">
        <v>11</v>
      </c>
      <c r="H339" s="107"/>
    </row>
    <row r="340" spans="1:8">
      <c r="A340" s="107">
        <v>19</v>
      </c>
      <c r="B340" s="107">
        <v>2</v>
      </c>
      <c r="C340" s="107">
        <v>3</v>
      </c>
      <c r="D340" s="107" t="s">
        <v>347</v>
      </c>
      <c r="E340" s="107" t="s">
        <v>348</v>
      </c>
      <c r="F340" s="107">
        <v>1030</v>
      </c>
      <c r="G340" s="195">
        <v>12</v>
      </c>
      <c r="H340" s="107"/>
    </row>
    <row r="341" spans="1:8">
      <c r="A341" s="107">
        <v>19</v>
      </c>
      <c r="B341" s="107">
        <v>3</v>
      </c>
      <c r="C341" s="107">
        <v>1</v>
      </c>
      <c r="D341" s="107" t="s">
        <v>349</v>
      </c>
      <c r="E341" s="107" t="s">
        <v>350</v>
      </c>
      <c r="F341" s="107">
        <v>800</v>
      </c>
      <c r="G341" s="195">
        <v>12</v>
      </c>
      <c r="H341" s="107">
        <v>1690</v>
      </c>
    </row>
    <row r="342" spans="1:8">
      <c r="A342" s="107">
        <v>19</v>
      </c>
      <c r="B342" s="107">
        <v>3</v>
      </c>
      <c r="C342" s="107">
        <v>2</v>
      </c>
      <c r="D342" s="107" t="s">
        <v>349</v>
      </c>
      <c r="E342" s="107" t="s">
        <v>350</v>
      </c>
      <c r="F342" s="107">
        <v>1160</v>
      </c>
      <c r="G342" s="195">
        <v>14</v>
      </c>
      <c r="H342" s="107"/>
    </row>
    <row r="343" spans="1:8">
      <c r="A343" s="107">
        <v>19</v>
      </c>
      <c r="B343" s="107">
        <v>3</v>
      </c>
      <c r="C343" s="107">
        <v>3</v>
      </c>
      <c r="D343" s="107" t="s">
        <v>349</v>
      </c>
      <c r="E343" s="107" t="s">
        <v>350</v>
      </c>
      <c r="F343" s="107">
        <v>620</v>
      </c>
      <c r="G343" s="195">
        <v>12</v>
      </c>
      <c r="H343" s="107"/>
    </row>
    <row r="344" spans="1:8">
      <c r="A344" s="107">
        <v>19</v>
      </c>
      <c r="B344" s="107">
        <v>4</v>
      </c>
      <c r="C344" s="107">
        <v>1</v>
      </c>
      <c r="D344" s="107" t="s">
        <v>351</v>
      </c>
      <c r="E344" s="107" t="s">
        <v>352</v>
      </c>
      <c r="F344" s="107">
        <v>1200</v>
      </c>
      <c r="G344" s="195">
        <v>12</v>
      </c>
      <c r="H344" s="107">
        <v>1810</v>
      </c>
    </row>
    <row r="345" spans="1:8">
      <c r="A345" s="107">
        <v>19</v>
      </c>
      <c r="B345" s="107">
        <v>4</v>
      </c>
      <c r="C345" s="107">
        <v>2</v>
      </c>
      <c r="D345" s="107" t="s">
        <v>351</v>
      </c>
      <c r="E345" s="107" t="s">
        <v>352</v>
      </c>
      <c r="F345" s="107">
        <v>1240</v>
      </c>
      <c r="G345" s="195">
        <v>13</v>
      </c>
      <c r="H345" s="107"/>
    </row>
    <row r="346" spans="1:8">
      <c r="A346" s="107">
        <v>19</v>
      </c>
      <c r="B346" s="107">
        <v>4</v>
      </c>
      <c r="C346" s="107">
        <v>3</v>
      </c>
      <c r="D346" s="107" t="s">
        <v>351</v>
      </c>
      <c r="E346" s="107" t="s">
        <v>352</v>
      </c>
      <c r="F346" s="107">
        <v>1090</v>
      </c>
      <c r="G346" s="195">
        <v>11</v>
      </c>
      <c r="H346" s="107"/>
    </row>
    <row r="348" spans="1:8">
      <c r="A348" s="107">
        <v>19</v>
      </c>
      <c r="B348" s="107">
        <v>5</v>
      </c>
      <c r="C348" s="107">
        <v>1</v>
      </c>
      <c r="D348" s="107" t="s">
        <v>353</v>
      </c>
      <c r="E348" s="107" t="s">
        <v>354</v>
      </c>
      <c r="F348" s="107">
        <v>1130</v>
      </c>
      <c r="G348" s="195">
        <v>12</v>
      </c>
      <c r="H348" s="107">
        <v>1640</v>
      </c>
    </row>
    <row r="349" spans="1:8">
      <c r="A349" s="107">
        <v>19</v>
      </c>
      <c r="B349" s="107">
        <v>5</v>
      </c>
      <c r="C349" s="107">
        <v>2</v>
      </c>
      <c r="D349" s="107" t="s">
        <v>353</v>
      </c>
      <c r="E349" s="107" t="s">
        <v>354</v>
      </c>
      <c r="F349" s="107">
        <v>1060</v>
      </c>
      <c r="G349" s="195">
        <v>12</v>
      </c>
      <c r="H349" s="107"/>
    </row>
    <row r="350" spans="1:8">
      <c r="A350" s="107">
        <v>19</v>
      </c>
      <c r="B350" s="107">
        <v>5</v>
      </c>
      <c r="C350" s="107">
        <v>3</v>
      </c>
      <c r="D350" s="107" t="s">
        <v>353</v>
      </c>
      <c r="E350" s="107" t="s">
        <v>354</v>
      </c>
      <c r="F350" s="107">
        <v>1040</v>
      </c>
      <c r="G350" s="195">
        <v>13</v>
      </c>
      <c r="H350" s="107"/>
    </row>
    <row r="351" spans="1:8">
      <c r="A351" s="107">
        <v>19</v>
      </c>
      <c r="B351" s="107">
        <v>6</v>
      </c>
      <c r="C351" s="107">
        <v>1</v>
      </c>
      <c r="D351" s="107" t="s">
        <v>355</v>
      </c>
      <c r="E351" s="107" t="s">
        <v>356</v>
      </c>
      <c r="F351" s="107">
        <v>940</v>
      </c>
      <c r="G351" s="195">
        <v>13</v>
      </c>
      <c r="H351" s="107">
        <v>1520</v>
      </c>
    </row>
    <row r="352" spans="1:8">
      <c r="A352" s="107">
        <v>19</v>
      </c>
      <c r="B352" s="107">
        <v>6</v>
      </c>
      <c r="C352" s="107">
        <v>2</v>
      </c>
      <c r="D352" s="107" t="s">
        <v>355</v>
      </c>
      <c r="E352" s="107" t="s">
        <v>356</v>
      </c>
      <c r="F352" s="107">
        <v>190</v>
      </c>
      <c r="G352" s="195">
        <v>8</v>
      </c>
      <c r="H352" s="107"/>
    </row>
    <row r="353" spans="1:8">
      <c r="A353" s="107">
        <v>19</v>
      </c>
      <c r="B353" s="107">
        <v>6</v>
      </c>
      <c r="C353" s="107">
        <v>3</v>
      </c>
      <c r="D353" s="107" t="s">
        <v>355</v>
      </c>
      <c r="E353" s="107" t="s">
        <v>356</v>
      </c>
      <c r="F353" s="107">
        <v>490</v>
      </c>
      <c r="G353" s="195">
        <v>13</v>
      </c>
      <c r="H353" s="107"/>
    </row>
    <row r="354" spans="1:8">
      <c r="A354" s="107">
        <v>20</v>
      </c>
      <c r="B354" s="107">
        <v>1</v>
      </c>
      <c r="C354" s="107">
        <v>1</v>
      </c>
      <c r="D354" s="107" t="s">
        <v>357</v>
      </c>
      <c r="E354" s="107" t="s">
        <v>358</v>
      </c>
      <c r="F354" s="107">
        <v>1200</v>
      </c>
      <c r="G354" s="195">
        <v>13</v>
      </c>
      <c r="H354" s="107">
        <v>1510</v>
      </c>
    </row>
    <row r="355" spans="1:8">
      <c r="A355" s="107">
        <v>20</v>
      </c>
      <c r="B355" s="107">
        <v>1</v>
      </c>
      <c r="C355" s="107">
        <v>2</v>
      </c>
      <c r="D355" s="107" t="s">
        <v>357</v>
      </c>
      <c r="E355" s="107" t="s">
        <v>358</v>
      </c>
      <c r="F355" s="196">
        <v>1170</v>
      </c>
      <c r="G355" s="195">
        <v>11</v>
      </c>
      <c r="H355" s="107"/>
    </row>
    <row r="356" spans="1:8">
      <c r="A356" s="107">
        <v>20</v>
      </c>
      <c r="B356" s="107">
        <v>1</v>
      </c>
      <c r="C356" s="107">
        <v>3</v>
      </c>
      <c r="D356" s="107" t="s">
        <v>357</v>
      </c>
      <c r="E356" s="107" t="s">
        <v>358</v>
      </c>
      <c r="F356" s="107">
        <v>1030</v>
      </c>
      <c r="G356" s="195">
        <v>10</v>
      </c>
      <c r="H356" s="107"/>
    </row>
    <row r="357" spans="1:8">
      <c r="A357" s="107">
        <v>20</v>
      </c>
      <c r="B357" s="107">
        <v>2</v>
      </c>
      <c r="C357" s="107">
        <v>1</v>
      </c>
      <c r="D357" s="107" t="s">
        <v>359</v>
      </c>
      <c r="E357" s="107" t="s">
        <v>360</v>
      </c>
      <c r="F357" s="107">
        <v>1050</v>
      </c>
      <c r="G357" s="195">
        <v>10</v>
      </c>
      <c r="H357" s="107">
        <v>1600</v>
      </c>
    </row>
    <row r="358" spans="1:8">
      <c r="A358" s="107">
        <v>20</v>
      </c>
      <c r="B358" s="107">
        <v>2</v>
      </c>
      <c r="C358" s="107">
        <v>2</v>
      </c>
      <c r="D358" s="107" t="s">
        <v>359</v>
      </c>
      <c r="E358" s="107" t="s">
        <v>360</v>
      </c>
      <c r="F358" s="107">
        <v>1060</v>
      </c>
      <c r="G358" s="195">
        <v>14</v>
      </c>
      <c r="H358" s="107"/>
    </row>
    <row r="359" spans="1:8">
      <c r="A359" s="107">
        <v>20</v>
      </c>
      <c r="B359" s="107">
        <v>2</v>
      </c>
      <c r="C359" s="107">
        <v>3</v>
      </c>
      <c r="D359" s="107" t="s">
        <v>359</v>
      </c>
      <c r="E359" s="107" t="s">
        <v>360</v>
      </c>
      <c r="F359" s="107">
        <v>1070</v>
      </c>
      <c r="G359" s="195">
        <v>11</v>
      </c>
      <c r="H359" s="107"/>
    </row>
    <row r="360" spans="1:8">
      <c r="A360" s="107">
        <v>20</v>
      </c>
      <c r="B360" s="107">
        <v>3</v>
      </c>
      <c r="C360" s="107">
        <v>1</v>
      </c>
      <c r="D360" s="107" t="s">
        <v>361</v>
      </c>
      <c r="E360" s="107" t="s">
        <v>362</v>
      </c>
      <c r="F360" s="107">
        <v>1280</v>
      </c>
      <c r="G360" s="195">
        <v>10</v>
      </c>
      <c r="H360" s="196">
        <v>1465</v>
      </c>
    </row>
    <row r="361" spans="1:8">
      <c r="A361" s="107">
        <v>20</v>
      </c>
      <c r="B361" s="107">
        <v>3</v>
      </c>
      <c r="C361" s="107">
        <v>2</v>
      </c>
      <c r="D361" s="107" t="s">
        <v>361</v>
      </c>
      <c r="E361" s="107" t="s">
        <v>362</v>
      </c>
      <c r="F361" s="107">
        <v>860</v>
      </c>
      <c r="G361" s="195">
        <v>13</v>
      </c>
      <c r="H361" s="107"/>
    </row>
    <row r="362" spans="1:8">
      <c r="A362" s="107">
        <v>20</v>
      </c>
      <c r="B362" s="107">
        <v>3</v>
      </c>
      <c r="C362" s="107">
        <v>3</v>
      </c>
      <c r="D362" s="107" t="s">
        <v>361</v>
      </c>
      <c r="E362" s="107" t="s">
        <v>362</v>
      </c>
      <c r="F362" s="107">
        <v>770</v>
      </c>
      <c r="G362" s="195">
        <v>14</v>
      </c>
      <c r="H362" s="107"/>
    </row>
    <row r="363" spans="1:8">
      <c r="A363" s="107">
        <v>20</v>
      </c>
      <c r="B363" s="107">
        <v>4</v>
      </c>
      <c r="C363" s="107">
        <v>1</v>
      </c>
      <c r="D363" s="107" t="s">
        <v>363</v>
      </c>
      <c r="E363" s="107" t="s">
        <v>364</v>
      </c>
      <c r="F363" s="107">
        <v>1290</v>
      </c>
      <c r="G363" s="195">
        <v>11</v>
      </c>
      <c r="H363" s="107">
        <v>1700</v>
      </c>
    </row>
    <row r="364" spans="1:8">
      <c r="A364" s="107">
        <v>20</v>
      </c>
      <c r="B364" s="107">
        <v>4</v>
      </c>
      <c r="C364" s="107">
        <v>2</v>
      </c>
      <c r="D364" s="107" t="s">
        <v>363</v>
      </c>
      <c r="E364" s="107" t="s">
        <v>364</v>
      </c>
      <c r="F364" s="107">
        <v>960</v>
      </c>
      <c r="G364" s="195">
        <v>12</v>
      </c>
      <c r="H364" s="107"/>
    </row>
    <row r="365" spans="1:8">
      <c r="A365" s="107">
        <v>20</v>
      </c>
      <c r="B365" s="107">
        <v>4</v>
      </c>
      <c r="C365" s="107">
        <v>3</v>
      </c>
      <c r="D365" s="107" t="s">
        <v>363</v>
      </c>
      <c r="E365" s="107" t="s">
        <v>364</v>
      </c>
      <c r="F365" s="107">
        <v>920</v>
      </c>
      <c r="G365" s="195">
        <v>11</v>
      </c>
      <c r="H365" s="107"/>
    </row>
    <row r="366" spans="1:8">
      <c r="A366" s="107">
        <v>20</v>
      </c>
      <c r="B366" s="107">
        <v>5</v>
      </c>
      <c r="C366" s="107">
        <v>1</v>
      </c>
      <c r="D366" s="107" t="s">
        <v>365</v>
      </c>
      <c r="E366" s="107" t="s">
        <v>366</v>
      </c>
      <c r="F366" s="107">
        <v>1230</v>
      </c>
      <c r="G366" s="195">
        <v>12</v>
      </c>
      <c r="H366" s="107">
        <v>1515</v>
      </c>
    </row>
    <row r="367" spans="1:8">
      <c r="A367" s="107">
        <v>20</v>
      </c>
      <c r="B367" s="107">
        <v>5</v>
      </c>
      <c r="C367" s="107">
        <v>2</v>
      </c>
      <c r="D367" s="107" t="s">
        <v>365</v>
      </c>
      <c r="E367" s="107" t="s">
        <v>366</v>
      </c>
      <c r="F367" s="107">
        <v>650</v>
      </c>
      <c r="G367" s="195">
        <v>12</v>
      </c>
      <c r="H367" s="107"/>
    </row>
    <row r="368" spans="1:8">
      <c r="A368" s="107">
        <v>20</v>
      </c>
      <c r="B368" s="107">
        <v>5</v>
      </c>
      <c r="C368" s="107">
        <v>3</v>
      </c>
      <c r="D368" s="107" t="s">
        <v>365</v>
      </c>
      <c r="E368" s="107" t="s">
        <v>366</v>
      </c>
      <c r="F368" s="107">
        <v>1160</v>
      </c>
      <c r="G368" s="195">
        <v>13</v>
      </c>
      <c r="H368" s="107"/>
    </row>
    <row r="369" spans="1:8">
      <c r="A369" s="107">
        <v>20</v>
      </c>
      <c r="B369" s="107">
        <v>6</v>
      </c>
      <c r="C369" s="107">
        <v>1</v>
      </c>
      <c r="D369" s="107" t="s">
        <v>367</v>
      </c>
      <c r="E369" s="107" t="s">
        <v>368</v>
      </c>
      <c r="F369" s="107">
        <v>1280</v>
      </c>
      <c r="G369" s="195">
        <v>11</v>
      </c>
      <c r="H369" s="107">
        <v>1485</v>
      </c>
    </row>
    <row r="370" spans="1:8">
      <c r="A370" s="107">
        <v>20</v>
      </c>
      <c r="B370" s="107">
        <v>6</v>
      </c>
      <c r="C370" s="107">
        <v>2</v>
      </c>
      <c r="D370" s="107" t="s">
        <v>367</v>
      </c>
      <c r="E370" s="107" t="s">
        <v>368</v>
      </c>
      <c r="F370" s="107">
        <v>960</v>
      </c>
      <c r="G370" s="195">
        <v>13</v>
      </c>
      <c r="H370" s="107"/>
    </row>
    <row r="371" spans="1:8">
      <c r="A371" s="107">
        <v>20</v>
      </c>
      <c r="B371" s="107">
        <v>6</v>
      </c>
      <c r="C371" s="107">
        <v>3</v>
      </c>
      <c r="D371" s="107" t="s">
        <v>367</v>
      </c>
      <c r="E371" s="107" t="s">
        <v>368</v>
      </c>
      <c r="F371" s="107">
        <v>1110</v>
      </c>
      <c r="G371" s="195">
        <v>11</v>
      </c>
      <c r="H371" s="107"/>
    </row>
    <row r="372" spans="1:8">
      <c r="A372" s="107">
        <v>21</v>
      </c>
      <c r="B372" s="107">
        <v>1</v>
      </c>
      <c r="C372" s="107">
        <v>1</v>
      </c>
      <c r="D372" s="107" t="s">
        <v>369</v>
      </c>
      <c r="E372" s="107" t="s">
        <v>370</v>
      </c>
      <c r="F372" s="107">
        <v>1050</v>
      </c>
      <c r="G372" s="195">
        <v>14</v>
      </c>
      <c r="H372" s="107">
        <v>1650</v>
      </c>
    </row>
    <row r="373" spans="1:8">
      <c r="A373" s="107">
        <v>21</v>
      </c>
      <c r="B373" s="107">
        <v>1</v>
      </c>
      <c r="C373" s="107">
        <v>2</v>
      </c>
      <c r="D373" s="107" t="s">
        <v>369</v>
      </c>
      <c r="E373" s="107" t="s">
        <v>370</v>
      </c>
      <c r="F373" s="107">
        <v>940</v>
      </c>
      <c r="G373" s="195">
        <v>12</v>
      </c>
      <c r="H373" s="107"/>
    </row>
    <row r="374" spans="1:8">
      <c r="A374" s="107">
        <v>21</v>
      </c>
      <c r="B374" s="107">
        <v>1</v>
      </c>
      <c r="C374" s="107">
        <v>3</v>
      </c>
      <c r="D374" s="107" t="s">
        <v>369</v>
      </c>
      <c r="E374" s="107" t="s">
        <v>370</v>
      </c>
      <c r="F374" s="107">
        <v>460</v>
      </c>
      <c r="G374" s="195">
        <v>13</v>
      </c>
      <c r="H374" s="107"/>
    </row>
    <row r="375" spans="1:8">
      <c r="A375" s="107">
        <v>21</v>
      </c>
      <c r="B375" s="107">
        <v>2</v>
      </c>
      <c r="C375" s="107">
        <v>1</v>
      </c>
      <c r="D375" s="107" t="s">
        <v>371</v>
      </c>
      <c r="E375" s="107" t="s">
        <v>372</v>
      </c>
      <c r="F375" s="107">
        <v>910</v>
      </c>
      <c r="G375" s="195">
        <v>14</v>
      </c>
      <c r="H375" s="107">
        <v>1550</v>
      </c>
    </row>
    <row r="376" spans="1:8">
      <c r="A376" s="107">
        <v>21</v>
      </c>
      <c r="B376" s="107">
        <v>2</v>
      </c>
      <c r="C376" s="107">
        <v>2</v>
      </c>
      <c r="D376" s="107" t="s">
        <v>371</v>
      </c>
      <c r="E376" s="107" t="s">
        <v>372</v>
      </c>
      <c r="F376" s="107">
        <v>1380</v>
      </c>
      <c r="G376" s="195">
        <v>12</v>
      </c>
      <c r="H376" s="107"/>
    </row>
    <row r="377" spans="1:8">
      <c r="A377" s="107">
        <v>21</v>
      </c>
      <c r="B377" s="107">
        <v>2</v>
      </c>
      <c r="C377" s="107">
        <v>3</v>
      </c>
      <c r="D377" s="107" t="s">
        <v>371</v>
      </c>
      <c r="E377" s="107" t="s">
        <v>372</v>
      </c>
      <c r="F377" s="107">
        <v>1130</v>
      </c>
      <c r="G377" s="195">
        <v>10</v>
      </c>
      <c r="H377" s="107"/>
    </row>
    <row r="378" spans="1:8">
      <c r="A378" s="107">
        <v>21</v>
      </c>
      <c r="B378" s="107">
        <v>3</v>
      </c>
      <c r="C378" s="107">
        <v>1</v>
      </c>
      <c r="D378" s="107" t="s">
        <v>373</v>
      </c>
      <c r="E378" s="107" t="s">
        <v>374</v>
      </c>
      <c r="F378" s="107">
        <v>850</v>
      </c>
      <c r="G378" s="195">
        <v>12</v>
      </c>
      <c r="H378" s="107">
        <v>1100</v>
      </c>
    </row>
    <row r="379" spans="1:8">
      <c r="A379" s="107">
        <v>21</v>
      </c>
      <c r="B379" s="107">
        <v>3</v>
      </c>
      <c r="C379" s="107">
        <v>2</v>
      </c>
      <c r="D379" s="107" t="s">
        <v>373</v>
      </c>
      <c r="E379" s="107" t="s">
        <v>374</v>
      </c>
      <c r="F379" s="107">
        <v>810</v>
      </c>
      <c r="G379" s="195">
        <v>10</v>
      </c>
      <c r="H379" s="107"/>
    </row>
    <row r="380" spans="1:8">
      <c r="A380" s="107">
        <v>21</v>
      </c>
      <c r="B380" s="107">
        <v>3</v>
      </c>
      <c r="C380" s="107">
        <v>3</v>
      </c>
      <c r="D380" s="107" t="s">
        <v>373</v>
      </c>
      <c r="E380" s="107" t="s">
        <v>374</v>
      </c>
      <c r="F380" s="107">
        <v>1060</v>
      </c>
      <c r="G380" s="195">
        <v>9</v>
      </c>
      <c r="H380" s="107"/>
    </row>
    <row r="381" spans="1:8">
      <c r="A381" s="107">
        <v>21</v>
      </c>
      <c r="B381" s="107">
        <v>4</v>
      </c>
      <c r="C381" s="107">
        <v>1</v>
      </c>
      <c r="D381" s="107" t="s">
        <v>375</v>
      </c>
      <c r="E381" s="107" t="s">
        <v>376</v>
      </c>
      <c r="F381" s="107">
        <v>1110</v>
      </c>
      <c r="G381" s="195">
        <v>11</v>
      </c>
      <c r="H381" s="107">
        <v>1570</v>
      </c>
    </row>
    <row r="382" spans="1:8">
      <c r="A382" s="107">
        <v>21</v>
      </c>
      <c r="B382" s="107">
        <v>4</v>
      </c>
      <c r="C382" s="107">
        <v>2</v>
      </c>
      <c r="D382" s="107" t="s">
        <v>375</v>
      </c>
      <c r="E382" s="107" t="s">
        <v>376</v>
      </c>
      <c r="F382" s="107">
        <v>1210</v>
      </c>
      <c r="G382" s="195">
        <v>9</v>
      </c>
      <c r="H382" s="107"/>
    </row>
    <row r="383" spans="1:8">
      <c r="A383" s="107">
        <v>21</v>
      </c>
      <c r="B383" s="107">
        <v>4</v>
      </c>
      <c r="C383" s="107">
        <v>3</v>
      </c>
      <c r="D383" s="107" t="s">
        <v>375</v>
      </c>
      <c r="E383" s="107" t="s">
        <v>376</v>
      </c>
      <c r="F383" s="107">
        <v>970</v>
      </c>
      <c r="G383" s="195">
        <v>12</v>
      </c>
      <c r="H383" s="107"/>
    </row>
    <row r="384" spans="1:8">
      <c r="A384" s="107">
        <v>21</v>
      </c>
      <c r="B384" s="107">
        <v>5</v>
      </c>
      <c r="C384" s="107">
        <v>1</v>
      </c>
      <c r="D384" s="107" t="s">
        <v>377</v>
      </c>
      <c r="E384" s="107" t="s">
        <v>378</v>
      </c>
      <c r="F384" s="107">
        <v>1120</v>
      </c>
      <c r="G384" s="195">
        <v>12</v>
      </c>
      <c r="H384" s="107">
        <v>1520</v>
      </c>
    </row>
    <row r="385" spans="1:8">
      <c r="A385" s="107">
        <v>21</v>
      </c>
      <c r="B385" s="107">
        <v>5</v>
      </c>
      <c r="C385" s="107">
        <v>2</v>
      </c>
      <c r="D385" s="107" t="s">
        <v>377</v>
      </c>
      <c r="E385" s="107" t="s">
        <v>378</v>
      </c>
      <c r="F385" s="107">
        <v>760</v>
      </c>
      <c r="G385" s="195">
        <v>14</v>
      </c>
      <c r="H385" s="107"/>
    </row>
    <row r="386" spans="1:8">
      <c r="A386" s="107">
        <v>21</v>
      </c>
      <c r="B386" s="107">
        <v>5</v>
      </c>
      <c r="C386" s="107">
        <v>3</v>
      </c>
      <c r="D386" s="107" t="s">
        <v>377</v>
      </c>
      <c r="E386" s="107" t="s">
        <v>378</v>
      </c>
      <c r="F386" s="107">
        <v>1110</v>
      </c>
      <c r="G386" s="195">
        <v>13</v>
      </c>
      <c r="H386" s="107"/>
    </row>
    <row r="387" spans="1:8">
      <c r="A387" s="107">
        <v>21</v>
      </c>
      <c r="B387" s="107">
        <v>6</v>
      </c>
      <c r="C387" s="107">
        <v>1</v>
      </c>
      <c r="D387" s="107" t="s">
        <v>379</v>
      </c>
      <c r="E387" s="107" t="s">
        <v>380</v>
      </c>
      <c r="F387" s="107">
        <v>1180</v>
      </c>
      <c r="G387" s="195">
        <v>13</v>
      </c>
      <c r="H387" s="107">
        <v>1640</v>
      </c>
    </row>
    <row r="388" spans="1:8">
      <c r="A388" s="107">
        <v>21</v>
      </c>
      <c r="B388" s="107">
        <v>6</v>
      </c>
      <c r="C388" s="107">
        <v>2</v>
      </c>
      <c r="D388" s="107" t="s">
        <v>379</v>
      </c>
      <c r="E388" s="107" t="s">
        <v>380</v>
      </c>
      <c r="F388" s="107">
        <v>1100</v>
      </c>
      <c r="G388" s="195">
        <v>11</v>
      </c>
      <c r="H388" s="107"/>
    </row>
    <row r="389" spans="1:8">
      <c r="A389" s="107">
        <v>21</v>
      </c>
      <c r="B389" s="107">
        <v>6</v>
      </c>
      <c r="C389" s="107">
        <v>3</v>
      </c>
      <c r="D389" s="107" t="s">
        <v>379</v>
      </c>
      <c r="E389" s="107" t="s">
        <v>380</v>
      </c>
      <c r="F389" s="107">
        <v>1180</v>
      </c>
      <c r="G389" s="195">
        <v>14</v>
      </c>
      <c r="H389" s="107"/>
    </row>
    <row r="390" spans="1:8">
      <c r="A390" s="107">
        <v>22</v>
      </c>
      <c r="B390" s="107">
        <v>1</v>
      </c>
      <c r="C390" s="107">
        <v>1</v>
      </c>
      <c r="D390" s="107" t="s">
        <v>381</v>
      </c>
      <c r="E390" s="107" t="s">
        <v>382</v>
      </c>
      <c r="F390" s="107">
        <v>540</v>
      </c>
      <c r="G390" s="195">
        <v>11</v>
      </c>
      <c r="H390" s="107">
        <v>1610</v>
      </c>
    </row>
    <row r="391" spans="1:8">
      <c r="A391" s="107">
        <v>22</v>
      </c>
      <c r="B391" s="107">
        <v>1</v>
      </c>
      <c r="C391" s="107">
        <v>2</v>
      </c>
      <c r="D391" s="107" t="s">
        <v>381</v>
      </c>
      <c r="E391" s="107" t="s">
        <v>382</v>
      </c>
      <c r="F391" s="107">
        <v>980</v>
      </c>
      <c r="G391" s="195">
        <v>13</v>
      </c>
      <c r="H391" s="107"/>
    </row>
    <row r="392" spans="1:8">
      <c r="A392" s="107">
        <v>22</v>
      </c>
      <c r="B392" s="107">
        <v>1</v>
      </c>
      <c r="C392" s="107">
        <v>3</v>
      </c>
      <c r="D392" s="107" t="s">
        <v>381</v>
      </c>
      <c r="E392" s="107" t="s">
        <v>382</v>
      </c>
      <c r="F392" s="107">
        <v>930</v>
      </c>
      <c r="G392" s="195">
        <v>13</v>
      </c>
      <c r="H392" s="107"/>
    </row>
    <row r="393" spans="1:8">
      <c r="A393" s="107">
        <v>22</v>
      </c>
      <c r="B393" s="107">
        <v>2</v>
      </c>
      <c r="C393" s="107">
        <v>1</v>
      </c>
      <c r="D393" s="107" t="s">
        <v>383</v>
      </c>
      <c r="E393" s="107" t="s">
        <v>384</v>
      </c>
      <c r="F393" s="107">
        <v>530</v>
      </c>
      <c r="G393" s="195">
        <v>10</v>
      </c>
      <c r="H393" s="107">
        <v>1260</v>
      </c>
    </row>
    <row r="394" spans="1:8">
      <c r="A394" s="107">
        <v>22</v>
      </c>
      <c r="B394" s="107">
        <v>2</v>
      </c>
      <c r="C394" s="107">
        <v>2</v>
      </c>
      <c r="D394" s="107" t="s">
        <v>383</v>
      </c>
      <c r="E394" s="107" t="s">
        <v>384</v>
      </c>
      <c r="F394" s="107">
        <v>1000</v>
      </c>
      <c r="G394" s="195">
        <v>10</v>
      </c>
      <c r="H394" s="107"/>
    </row>
    <row r="395" spans="1:8">
      <c r="A395" s="107">
        <v>22</v>
      </c>
      <c r="B395" s="107">
        <v>2</v>
      </c>
      <c r="C395" s="107">
        <v>3</v>
      </c>
      <c r="D395" s="107" t="s">
        <v>383</v>
      </c>
      <c r="E395" s="107" t="s">
        <v>384</v>
      </c>
      <c r="F395" s="107">
        <v>1000</v>
      </c>
      <c r="G395" s="195">
        <v>11</v>
      </c>
      <c r="H395" s="107"/>
    </row>
    <row r="397" spans="1:8">
      <c r="A397" s="107">
        <v>22</v>
      </c>
      <c r="B397" s="107">
        <v>3</v>
      </c>
      <c r="C397" s="107">
        <v>1</v>
      </c>
      <c r="D397" s="107" t="s">
        <v>385</v>
      </c>
      <c r="E397" s="107" t="s">
        <v>386</v>
      </c>
      <c r="F397" s="107">
        <v>1010</v>
      </c>
      <c r="G397" s="107">
        <v>12</v>
      </c>
      <c r="H397" s="107">
        <v>1600</v>
      </c>
    </row>
    <row r="398" spans="1:8">
      <c r="A398" s="107">
        <v>22</v>
      </c>
      <c r="B398" s="107">
        <v>3</v>
      </c>
      <c r="C398" s="107">
        <v>2</v>
      </c>
      <c r="D398" s="107" t="s">
        <v>385</v>
      </c>
      <c r="E398" s="107" t="s">
        <v>386</v>
      </c>
      <c r="F398" s="107">
        <v>960</v>
      </c>
      <c r="G398" s="195">
        <v>12</v>
      </c>
      <c r="H398" s="107"/>
    </row>
    <row r="399" spans="1:8">
      <c r="A399" s="107">
        <v>22</v>
      </c>
      <c r="B399" s="107">
        <v>3</v>
      </c>
      <c r="C399" s="107">
        <v>3</v>
      </c>
      <c r="D399" s="107" t="s">
        <v>385</v>
      </c>
      <c r="E399" s="107" t="s">
        <v>386</v>
      </c>
      <c r="F399" s="107">
        <v>1000</v>
      </c>
      <c r="G399" s="195">
        <v>11</v>
      </c>
      <c r="H399" s="107"/>
    </row>
    <row r="400" spans="1:8">
      <c r="A400" s="107">
        <v>22</v>
      </c>
      <c r="B400" s="107">
        <v>4</v>
      </c>
      <c r="C400" s="107">
        <v>1</v>
      </c>
      <c r="D400" s="107" t="s">
        <v>387</v>
      </c>
      <c r="E400" s="107" t="s">
        <v>388</v>
      </c>
      <c r="F400" s="107">
        <v>910</v>
      </c>
      <c r="G400" s="195">
        <v>9</v>
      </c>
      <c r="H400" s="107">
        <v>1245</v>
      </c>
    </row>
    <row r="401" spans="1:8">
      <c r="A401" s="107">
        <v>22</v>
      </c>
      <c r="B401" s="107">
        <v>4</v>
      </c>
      <c r="C401" s="107">
        <v>2</v>
      </c>
      <c r="D401" s="107" t="s">
        <v>387</v>
      </c>
      <c r="E401" s="107" t="s">
        <v>388</v>
      </c>
      <c r="F401" s="107">
        <v>1030</v>
      </c>
      <c r="G401" s="195">
        <v>8</v>
      </c>
      <c r="H401" s="107"/>
    </row>
    <row r="402" spans="1:8">
      <c r="A402" s="107">
        <v>22</v>
      </c>
      <c r="B402" s="107">
        <v>4</v>
      </c>
      <c r="C402" s="107">
        <v>3</v>
      </c>
      <c r="D402" s="107" t="s">
        <v>387</v>
      </c>
      <c r="E402" s="107" t="s">
        <v>388</v>
      </c>
      <c r="F402" s="107">
        <v>960</v>
      </c>
      <c r="G402" s="195">
        <v>9</v>
      </c>
      <c r="H402" s="107"/>
    </row>
    <row r="403" spans="1:8">
      <c r="A403" s="107">
        <v>22</v>
      </c>
      <c r="B403" s="107">
        <v>5</v>
      </c>
      <c r="C403" s="107">
        <v>1</v>
      </c>
      <c r="D403" s="107" t="s">
        <v>389</v>
      </c>
      <c r="E403" s="107" t="s">
        <v>390</v>
      </c>
      <c r="F403" s="107">
        <v>1030</v>
      </c>
      <c r="G403" s="195">
        <v>9</v>
      </c>
      <c r="H403" s="107">
        <v>1380</v>
      </c>
    </row>
    <row r="404" spans="1:8">
      <c r="A404" s="107">
        <v>22</v>
      </c>
      <c r="B404" s="107">
        <v>5</v>
      </c>
      <c r="C404" s="107">
        <v>2</v>
      </c>
      <c r="D404" s="107" t="s">
        <v>389</v>
      </c>
      <c r="E404" s="107" t="s">
        <v>390</v>
      </c>
      <c r="F404" s="196">
        <v>1010</v>
      </c>
      <c r="G404" s="195">
        <v>9</v>
      </c>
      <c r="H404" s="107"/>
    </row>
    <row r="405" spans="1:8">
      <c r="A405" s="107">
        <v>22</v>
      </c>
      <c r="B405" s="107">
        <v>5</v>
      </c>
      <c r="C405" s="107">
        <v>3</v>
      </c>
      <c r="D405" s="107" t="s">
        <v>389</v>
      </c>
      <c r="E405" s="107" t="s">
        <v>390</v>
      </c>
      <c r="F405" s="107">
        <v>800</v>
      </c>
      <c r="G405" s="195">
        <v>9</v>
      </c>
      <c r="H405" s="107"/>
    </row>
    <row r="406" spans="1:8">
      <c r="A406" s="107">
        <v>22</v>
      </c>
      <c r="B406" s="107">
        <v>6</v>
      </c>
      <c r="C406" s="107">
        <v>1</v>
      </c>
      <c r="D406" s="107" t="s">
        <v>391</v>
      </c>
      <c r="E406" s="107" t="s">
        <v>392</v>
      </c>
      <c r="F406" s="107">
        <v>1020</v>
      </c>
      <c r="G406" s="195">
        <v>12</v>
      </c>
      <c r="H406" s="107">
        <v>1580</v>
      </c>
    </row>
    <row r="407" spans="1:8">
      <c r="A407" s="107">
        <v>22</v>
      </c>
      <c r="B407" s="107">
        <v>6</v>
      </c>
      <c r="C407" s="107">
        <v>2</v>
      </c>
      <c r="D407" s="107" t="s">
        <v>391</v>
      </c>
      <c r="E407" s="107" t="s">
        <v>392</v>
      </c>
      <c r="F407" s="107">
        <v>1010</v>
      </c>
      <c r="G407" s="195">
        <v>11</v>
      </c>
      <c r="H407" s="107"/>
    </row>
    <row r="408" spans="1:8">
      <c r="A408" s="107">
        <v>22</v>
      </c>
      <c r="B408" s="107">
        <v>6</v>
      </c>
      <c r="C408" s="107">
        <v>3</v>
      </c>
      <c r="D408" s="107" t="s">
        <v>391</v>
      </c>
      <c r="E408" s="107" t="s">
        <v>392</v>
      </c>
      <c r="F408" s="107">
        <v>1240</v>
      </c>
      <c r="G408" s="195">
        <v>13</v>
      </c>
      <c r="H408" s="107"/>
    </row>
    <row r="409" spans="1:8">
      <c r="A409" s="107">
        <v>23</v>
      </c>
      <c r="B409" s="107">
        <v>1</v>
      </c>
      <c r="C409" s="107">
        <v>1</v>
      </c>
      <c r="D409" s="107" t="s">
        <v>393</v>
      </c>
      <c r="E409" s="107" t="s">
        <v>394</v>
      </c>
      <c r="F409" s="107">
        <v>1330</v>
      </c>
      <c r="G409" s="195">
        <v>10</v>
      </c>
      <c r="H409" s="107">
        <v>1420</v>
      </c>
    </row>
    <row r="410" spans="1:8">
      <c r="A410" s="107">
        <v>23</v>
      </c>
      <c r="B410" s="107">
        <v>1</v>
      </c>
      <c r="C410" s="107">
        <v>2</v>
      </c>
      <c r="D410" s="107" t="s">
        <v>393</v>
      </c>
      <c r="E410" s="107" t="s">
        <v>394</v>
      </c>
      <c r="F410" s="107">
        <v>900</v>
      </c>
      <c r="G410" s="195">
        <v>19</v>
      </c>
      <c r="H410" s="196"/>
    </row>
    <row r="411" spans="1:8">
      <c r="A411" s="107">
        <v>23</v>
      </c>
      <c r="B411" s="107">
        <v>1</v>
      </c>
      <c r="C411" s="107">
        <v>3</v>
      </c>
      <c r="D411" s="107" t="s">
        <v>393</v>
      </c>
      <c r="E411" s="107" t="s">
        <v>394</v>
      </c>
      <c r="F411" s="107">
        <v>1220</v>
      </c>
      <c r="G411" s="195">
        <v>12</v>
      </c>
      <c r="H411" s="107"/>
    </row>
    <row r="412" spans="1:8">
      <c r="A412" s="107">
        <v>23</v>
      </c>
      <c r="B412" s="107">
        <v>2</v>
      </c>
      <c r="C412" s="107">
        <v>1</v>
      </c>
      <c r="D412" s="107" t="s">
        <v>395</v>
      </c>
      <c r="E412" s="107" t="s">
        <v>396</v>
      </c>
      <c r="F412" s="107">
        <v>1040</v>
      </c>
      <c r="G412" s="195">
        <v>12</v>
      </c>
      <c r="H412" s="107">
        <v>1485</v>
      </c>
    </row>
    <row r="413" spans="1:8">
      <c r="A413" s="107">
        <v>23</v>
      </c>
      <c r="B413" s="107">
        <v>2</v>
      </c>
      <c r="C413" s="107">
        <v>2</v>
      </c>
      <c r="D413" s="107" t="s">
        <v>395</v>
      </c>
      <c r="E413" s="107" t="s">
        <v>396</v>
      </c>
      <c r="F413" s="107">
        <v>1100</v>
      </c>
      <c r="G413" s="195">
        <v>12</v>
      </c>
      <c r="H413" s="107"/>
    </row>
    <row r="414" spans="1:8">
      <c r="A414" s="107">
        <v>23</v>
      </c>
      <c r="B414" s="107">
        <v>2</v>
      </c>
      <c r="C414" s="107">
        <v>3</v>
      </c>
      <c r="D414" s="107" t="s">
        <v>395</v>
      </c>
      <c r="E414" s="107" t="s">
        <v>396</v>
      </c>
      <c r="F414" s="107">
        <v>1200</v>
      </c>
      <c r="G414" s="195">
        <v>13</v>
      </c>
      <c r="H414" s="107"/>
    </row>
    <row r="415" spans="1:8">
      <c r="A415" s="107">
        <v>23</v>
      </c>
      <c r="B415" s="107">
        <v>3</v>
      </c>
      <c r="C415" s="107">
        <v>1</v>
      </c>
      <c r="D415" s="107" t="s">
        <v>397</v>
      </c>
      <c r="E415" s="107" t="s">
        <v>398</v>
      </c>
      <c r="F415" s="107">
        <v>170</v>
      </c>
      <c r="G415" s="195">
        <v>9</v>
      </c>
      <c r="H415" s="107">
        <v>1530</v>
      </c>
    </row>
    <row r="416" spans="1:8">
      <c r="A416" s="107">
        <v>23</v>
      </c>
      <c r="B416" s="107">
        <v>3</v>
      </c>
      <c r="C416" s="107">
        <v>2</v>
      </c>
      <c r="D416" s="107" t="s">
        <v>397</v>
      </c>
      <c r="E416" s="107" t="s">
        <v>398</v>
      </c>
      <c r="F416" s="107">
        <v>1010</v>
      </c>
      <c r="G416" s="195">
        <v>13</v>
      </c>
      <c r="H416" s="107"/>
    </row>
    <row r="417" spans="1:8">
      <c r="A417" s="107">
        <v>23</v>
      </c>
      <c r="B417" s="107">
        <v>3</v>
      </c>
      <c r="C417" s="107">
        <v>3</v>
      </c>
      <c r="D417" s="107" t="s">
        <v>397</v>
      </c>
      <c r="E417" s="107" t="s">
        <v>398</v>
      </c>
      <c r="F417" s="107">
        <v>980</v>
      </c>
      <c r="G417" s="195">
        <v>14</v>
      </c>
      <c r="H417" s="107"/>
    </row>
    <row r="418" spans="1:8">
      <c r="A418" s="107">
        <v>23</v>
      </c>
      <c r="B418" s="107">
        <v>4</v>
      </c>
      <c r="C418" s="107">
        <v>1</v>
      </c>
      <c r="D418" s="107" t="s">
        <v>399</v>
      </c>
      <c r="E418" s="107" t="s">
        <v>400</v>
      </c>
      <c r="F418" s="107">
        <v>1080</v>
      </c>
      <c r="G418" s="195">
        <v>10</v>
      </c>
      <c r="H418" s="107">
        <v>1516</v>
      </c>
    </row>
    <row r="419" spans="1:8">
      <c r="A419" s="107">
        <v>23</v>
      </c>
      <c r="B419" s="107">
        <v>4</v>
      </c>
      <c r="C419" s="107">
        <v>2</v>
      </c>
      <c r="D419" s="107" t="s">
        <v>399</v>
      </c>
      <c r="E419" s="107" t="s">
        <v>400</v>
      </c>
      <c r="F419" s="107">
        <v>1330</v>
      </c>
      <c r="G419" s="195">
        <v>12</v>
      </c>
      <c r="H419" s="107"/>
    </row>
    <row r="420" spans="1:8">
      <c r="A420" s="107">
        <v>23</v>
      </c>
      <c r="B420" s="107">
        <v>4</v>
      </c>
      <c r="C420" s="107">
        <v>3</v>
      </c>
      <c r="D420" s="107" t="s">
        <v>399</v>
      </c>
      <c r="E420" s="107" t="s">
        <v>400</v>
      </c>
      <c r="F420" s="107">
        <v>1230</v>
      </c>
      <c r="G420" s="195">
        <v>12</v>
      </c>
      <c r="H420" s="107"/>
    </row>
    <row r="421" spans="1:8">
      <c r="A421" s="107">
        <v>23</v>
      </c>
      <c r="B421" s="107">
        <v>5</v>
      </c>
      <c r="C421" s="107">
        <v>1</v>
      </c>
      <c r="D421" s="107" t="s">
        <v>401</v>
      </c>
      <c r="E421" s="107" t="s">
        <v>402</v>
      </c>
      <c r="F421" s="107">
        <v>1150</v>
      </c>
      <c r="G421" s="195">
        <v>12</v>
      </c>
      <c r="H421" s="107">
        <v>1440</v>
      </c>
    </row>
    <row r="422" spans="1:8">
      <c r="A422" s="107">
        <v>23</v>
      </c>
      <c r="B422" s="107">
        <v>5</v>
      </c>
      <c r="C422" s="107">
        <v>2</v>
      </c>
      <c r="D422" s="107" t="s">
        <v>401</v>
      </c>
      <c r="E422" s="107" t="s">
        <v>402</v>
      </c>
      <c r="F422" s="107">
        <v>990</v>
      </c>
      <c r="G422" s="195">
        <v>12</v>
      </c>
      <c r="H422" s="107"/>
    </row>
    <row r="423" spans="1:8">
      <c r="A423" s="107">
        <v>23</v>
      </c>
      <c r="B423" s="107">
        <v>5</v>
      </c>
      <c r="C423" s="107">
        <v>3</v>
      </c>
      <c r="D423" s="107" t="s">
        <v>401</v>
      </c>
      <c r="E423" s="107" t="s">
        <v>402</v>
      </c>
      <c r="F423" s="107">
        <v>1200</v>
      </c>
      <c r="G423" s="195">
        <v>12</v>
      </c>
      <c r="H423" s="107"/>
    </row>
    <row r="424" spans="1:8">
      <c r="A424" s="107">
        <v>23</v>
      </c>
      <c r="B424" s="107">
        <v>6</v>
      </c>
      <c r="C424" s="107">
        <v>1</v>
      </c>
      <c r="D424" s="107" t="s">
        <v>403</v>
      </c>
      <c r="E424" s="107" t="s">
        <v>404</v>
      </c>
      <c r="F424" s="107">
        <v>930</v>
      </c>
      <c r="G424" s="195">
        <v>14</v>
      </c>
      <c r="H424" s="107">
        <v>1490</v>
      </c>
    </row>
    <row r="425" spans="1:8">
      <c r="A425" s="107">
        <v>23</v>
      </c>
      <c r="B425" s="107">
        <v>6</v>
      </c>
      <c r="C425" s="107">
        <v>2</v>
      </c>
      <c r="D425" s="107" t="s">
        <v>403</v>
      </c>
      <c r="E425" s="107" t="s">
        <v>404</v>
      </c>
      <c r="F425" s="107">
        <v>990</v>
      </c>
      <c r="G425" s="195">
        <v>9</v>
      </c>
      <c r="H425" s="107"/>
    </row>
    <row r="426" spans="1:8">
      <c r="A426" s="107">
        <v>23</v>
      </c>
      <c r="B426" s="107">
        <v>6</v>
      </c>
      <c r="C426" s="107">
        <v>3</v>
      </c>
      <c r="D426" s="107" t="s">
        <v>403</v>
      </c>
      <c r="E426" s="107" t="s">
        <v>404</v>
      </c>
      <c r="F426" s="107">
        <v>890</v>
      </c>
      <c r="G426" s="195">
        <v>10</v>
      </c>
      <c r="H426" s="107"/>
    </row>
    <row r="427" spans="1:8">
      <c r="A427" s="107">
        <v>24</v>
      </c>
      <c r="B427" s="107">
        <v>1</v>
      </c>
      <c r="C427" s="107">
        <v>1</v>
      </c>
      <c r="D427" s="107" t="s">
        <v>405</v>
      </c>
      <c r="E427" s="107" t="s">
        <v>406</v>
      </c>
      <c r="F427" s="107">
        <v>900</v>
      </c>
      <c r="G427" s="195">
        <v>15</v>
      </c>
      <c r="H427" s="107">
        <v>1730</v>
      </c>
    </row>
    <row r="428" spans="1:8">
      <c r="A428" s="107">
        <v>24</v>
      </c>
      <c r="B428" s="107">
        <v>1</v>
      </c>
      <c r="C428" s="107">
        <v>2</v>
      </c>
      <c r="D428" s="107" t="s">
        <v>405</v>
      </c>
      <c r="E428" s="107" t="s">
        <v>406</v>
      </c>
      <c r="F428" s="107">
        <v>970</v>
      </c>
      <c r="G428" s="195">
        <v>11</v>
      </c>
      <c r="H428" s="107"/>
    </row>
    <row r="429" spans="1:8">
      <c r="A429" s="107">
        <v>24</v>
      </c>
      <c r="B429" s="107">
        <v>1</v>
      </c>
      <c r="C429" s="107">
        <v>3</v>
      </c>
      <c r="D429" s="107" t="s">
        <v>405</v>
      </c>
      <c r="E429" s="107" t="s">
        <v>406</v>
      </c>
      <c r="F429" s="107">
        <v>1070</v>
      </c>
      <c r="G429" s="195">
        <v>13</v>
      </c>
      <c r="H429" s="107"/>
    </row>
    <row r="430" spans="1:8">
      <c r="A430" s="107">
        <v>24</v>
      </c>
      <c r="B430" s="107">
        <v>2</v>
      </c>
      <c r="C430" s="107">
        <v>1</v>
      </c>
      <c r="D430" s="107" t="s">
        <v>407</v>
      </c>
      <c r="E430" s="107" t="s">
        <v>408</v>
      </c>
      <c r="F430" s="107">
        <v>1240</v>
      </c>
      <c r="G430" s="195">
        <v>12</v>
      </c>
      <c r="H430" s="107">
        <v>1500</v>
      </c>
    </row>
    <row r="431" spans="1:8">
      <c r="A431" s="107">
        <v>24</v>
      </c>
      <c r="B431" s="107">
        <v>2</v>
      </c>
      <c r="C431" s="107">
        <v>2</v>
      </c>
      <c r="D431" s="107" t="s">
        <v>407</v>
      </c>
      <c r="E431" s="107" t="s">
        <v>408</v>
      </c>
      <c r="F431" s="107">
        <v>1090</v>
      </c>
      <c r="G431" s="195">
        <v>9</v>
      </c>
      <c r="H431" s="107"/>
    </row>
    <row r="432" spans="1:8">
      <c r="A432" s="107">
        <v>24</v>
      </c>
      <c r="B432" s="107">
        <v>2</v>
      </c>
      <c r="C432" s="107">
        <v>3</v>
      </c>
      <c r="D432" s="107" t="s">
        <v>407</v>
      </c>
      <c r="E432" s="107" t="s">
        <v>408</v>
      </c>
      <c r="F432" s="107">
        <v>1140</v>
      </c>
      <c r="G432" s="195">
        <v>10</v>
      </c>
      <c r="H432" s="107"/>
    </row>
    <row r="433" spans="1:8">
      <c r="A433" s="107">
        <v>24</v>
      </c>
      <c r="B433" s="107">
        <v>3</v>
      </c>
      <c r="C433" s="107">
        <v>1</v>
      </c>
      <c r="D433" s="107" t="s">
        <v>409</v>
      </c>
      <c r="E433" s="107" t="s">
        <v>410</v>
      </c>
      <c r="F433" s="107">
        <v>980</v>
      </c>
      <c r="G433" s="195">
        <v>12</v>
      </c>
      <c r="H433" s="107">
        <v>1310</v>
      </c>
    </row>
    <row r="434" spans="1:8">
      <c r="A434" s="107">
        <v>24</v>
      </c>
      <c r="B434" s="107">
        <v>3</v>
      </c>
      <c r="C434" s="107">
        <v>2</v>
      </c>
      <c r="D434" s="107" t="s">
        <v>409</v>
      </c>
      <c r="E434" s="107" t="s">
        <v>410</v>
      </c>
      <c r="F434" s="107">
        <v>1090</v>
      </c>
      <c r="G434" s="195">
        <v>10</v>
      </c>
      <c r="H434" s="107"/>
    </row>
    <row r="435" spans="1:8">
      <c r="A435" s="107">
        <v>24</v>
      </c>
      <c r="B435" s="107">
        <v>3</v>
      </c>
      <c r="C435" s="107">
        <v>3</v>
      </c>
      <c r="D435" s="107" t="s">
        <v>409</v>
      </c>
      <c r="E435" s="107" t="s">
        <v>410</v>
      </c>
      <c r="F435" s="107">
        <v>1140</v>
      </c>
      <c r="G435" s="195">
        <v>13</v>
      </c>
      <c r="H435" s="107"/>
    </row>
    <row r="436" spans="1:8">
      <c r="A436" s="107">
        <v>24</v>
      </c>
      <c r="B436" s="107">
        <v>4</v>
      </c>
      <c r="C436" s="107">
        <v>1</v>
      </c>
      <c r="D436" s="107" t="s">
        <v>411</v>
      </c>
      <c r="E436" s="107" t="s">
        <v>412</v>
      </c>
      <c r="F436" s="107">
        <v>1210</v>
      </c>
      <c r="G436" s="195">
        <v>13</v>
      </c>
      <c r="H436" s="107">
        <v>1630</v>
      </c>
    </row>
    <row r="437" spans="1:8">
      <c r="A437" s="107">
        <v>24</v>
      </c>
      <c r="B437" s="107">
        <v>4</v>
      </c>
      <c r="C437" s="107">
        <v>2</v>
      </c>
      <c r="D437" s="107" t="s">
        <v>411</v>
      </c>
      <c r="E437" s="107" t="s">
        <v>412</v>
      </c>
      <c r="F437" s="107">
        <v>1210</v>
      </c>
      <c r="G437" s="195">
        <v>13</v>
      </c>
      <c r="H437" s="107"/>
    </row>
    <row r="438" spans="1:8">
      <c r="A438" s="107">
        <v>24</v>
      </c>
      <c r="B438" s="107">
        <v>4</v>
      </c>
      <c r="C438" s="107">
        <v>3</v>
      </c>
      <c r="D438" s="107" t="s">
        <v>411</v>
      </c>
      <c r="E438" s="107" t="s">
        <v>412</v>
      </c>
      <c r="F438" s="107">
        <v>1150</v>
      </c>
      <c r="G438" s="195">
        <v>12</v>
      </c>
      <c r="H438" s="107"/>
    </row>
    <row r="439" spans="1:8">
      <c r="A439" s="107">
        <v>24</v>
      </c>
      <c r="B439" s="107">
        <v>5</v>
      </c>
      <c r="C439" s="107">
        <v>1</v>
      </c>
      <c r="D439" s="107" t="s">
        <v>413</v>
      </c>
      <c r="E439" s="107" t="s">
        <v>414</v>
      </c>
      <c r="F439" s="107">
        <v>1020</v>
      </c>
      <c r="G439" s="195">
        <v>11</v>
      </c>
      <c r="H439" s="107">
        <v>1385</v>
      </c>
    </row>
    <row r="440" spans="1:8">
      <c r="A440" s="107">
        <v>24</v>
      </c>
      <c r="B440" s="107">
        <v>5</v>
      </c>
      <c r="C440" s="107">
        <v>2</v>
      </c>
      <c r="D440" s="107" t="s">
        <v>413</v>
      </c>
      <c r="E440" s="107" t="s">
        <v>414</v>
      </c>
      <c r="F440" s="107">
        <v>1140</v>
      </c>
      <c r="G440" s="195">
        <v>11</v>
      </c>
      <c r="H440" s="107"/>
    </row>
    <row r="441" spans="1:8">
      <c r="A441" s="107">
        <v>24</v>
      </c>
      <c r="B441" s="107">
        <v>5</v>
      </c>
      <c r="C441" s="107">
        <v>3</v>
      </c>
      <c r="D441" s="107" t="s">
        <v>413</v>
      </c>
      <c r="E441" s="107" t="s">
        <v>414</v>
      </c>
      <c r="F441" s="107">
        <v>830</v>
      </c>
      <c r="G441" s="195">
        <v>13</v>
      </c>
      <c r="H441" s="107"/>
    </row>
    <row r="442" spans="1:8">
      <c r="A442" s="107">
        <v>24</v>
      </c>
      <c r="B442" s="107">
        <v>6</v>
      </c>
      <c r="C442" s="107">
        <v>1</v>
      </c>
      <c r="D442" s="107" t="s">
        <v>415</v>
      </c>
      <c r="E442" s="107" t="s">
        <v>416</v>
      </c>
      <c r="F442" s="107">
        <v>780</v>
      </c>
      <c r="G442" s="195">
        <v>12</v>
      </c>
      <c r="H442" s="107">
        <v>1550</v>
      </c>
    </row>
    <row r="443" spans="1:8">
      <c r="A443" s="107">
        <v>24</v>
      </c>
      <c r="B443" s="107">
        <v>6</v>
      </c>
      <c r="C443" s="107">
        <v>2</v>
      </c>
      <c r="D443" s="107" t="s">
        <v>415</v>
      </c>
      <c r="E443" s="107" t="s">
        <v>416</v>
      </c>
      <c r="F443" s="107">
        <v>990</v>
      </c>
      <c r="G443" s="195">
        <v>11</v>
      </c>
      <c r="H443" s="107"/>
    </row>
    <row r="444" spans="1:8">
      <c r="A444" s="107">
        <v>24</v>
      </c>
      <c r="B444" s="107">
        <v>6</v>
      </c>
      <c r="C444" s="107">
        <v>3</v>
      </c>
      <c r="D444" s="107" t="s">
        <v>415</v>
      </c>
      <c r="E444" s="107" t="s">
        <v>416</v>
      </c>
      <c r="F444" s="107">
        <v>740</v>
      </c>
      <c r="G444" s="195">
        <v>12</v>
      </c>
      <c r="H444" s="107"/>
    </row>
    <row r="446" spans="1:8">
      <c r="A446" s="107">
        <v>25</v>
      </c>
      <c r="B446" s="107">
        <v>1</v>
      </c>
      <c r="C446" s="107">
        <v>1</v>
      </c>
      <c r="D446" s="107" t="s">
        <v>417</v>
      </c>
      <c r="E446" s="107" t="s">
        <v>418</v>
      </c>
      <c r="F446" s="107">
        <v>1090</v>
      </c>
      <c r="G446" s="107">
        <v>10</v>
      </c>
      <c r="H446" s="107">
        <v>1565</v>
      </c>
    </row>
    <row r="447" spans="1:8">
      <c r="A447" s="107">
        <v>25</v>
      </c>
      <c r="B447" s="107">
        <v>1</v>
      </c>
      <c r="C447" s="107">
        <v>2</v>
      </c>
      <c r="D447" s="107" t="s">
        <v>417</v>
      </c>
      <c r="E447" s="107" t="s">
        <v>418</v>
      </c>
      <c r="F447" s="107">
        <v>1180</v>
      </c>
      <c r="G447" s="195">
        <v>13</v>
      </c>
      <c r="H447" s="107"/>
    </row>
    <row r="448" spans="1:8">
      <c r="A448" s="107">
        <v>25</v>
      </c>
      <c r="B448" s="107">
        <v>1</v>
      </c>
      <c r="C448" s="107">
        <v>3</v>
      </c>
      <c r="D448" s="107" t="s">
        <v>417</v>
      </c>
      <c r="E448" s="107" t="s">
        <v>418</v>
      </c>
      <c r="F448" s="107">
        <v>1060</v>
      </c>
      <c r="G448" s="195">
        <v>9</v>
      </c>
      <c r="H448" s="107"/>
    </row>
    <row r="449" spans="1:8">
      <c r="A449" s="107">
        <v>25</v>
      </c>
      <c r="B449" s="107">
        <v>2</v>
      </c>
      <c r="C449" s="107">
        <v>1</v>
      </c>
      <c r="D449" s="107" t="s">
        <v>419</v>
      </c>
      <c r="E449" s="107" t="s">
        <v>420</v>
      </c>
      <c r="F449" s="107">
        <v>1320</v>
      </c>
      <c r="G449" s="195">
        <v>12</v>
      </c>
      <c r="H449" s="107">
        <v>1540</v>
      </c>
    </row>
    <row r="450" spans="1:8">
      <c r="A450" s="107">
        <v>25</v>
      </c>
      <c r="B450" s="107">
        <v>2</v>
      </c>
      <c r="C450" s="107">
        <v>2</v>
      </c>
      <c r="D450" s="107" t="s">
        <v>419</v>
      </c>
      <c r="E450" s="107" t="s">
        <v>420</v>
      </c>
      <c r="F450" s="107">
        <v>1140</v>
      </c>
      <c r="G450" s="195">
        <v>15</v>
      </c>
      <c r="H450" s="107"/>
    </row>
    <row r="451" spans="1:8">
      <c r="A451" s="107">
        <v>25</v>
      </c>
      <c r="B451" s="107">
        <v>2</v>
      </c>
      <c r="C451" s="107">
        <v>3</v>
      </c>
      <c r="D451" s="107" t="s">
        <v>419</v>
      </c>
      <c r="E451" s="107" t="s">
        <v>420</v>
      </c>
      <c r="F451" s="107">
        <v>1220</v>
      </c>
      <c r="G451" s="195">
        <v>12</v>
      </c>
      <c r="H451" s="107"/>
    </row>
    <row r="452" spans="1:8">
      <c r="A452" s="107">
        <v>25</v>
      </c>
      <c r="B452" s="107">
        <v>3</v>
      </c>
      <c r="C452" s="107">
        <v>1</v>
      </c>
      <c r="D452" s="107" t="s">
        <v>421</v>
      </c>
      <c r="E452" s="107" t="s">
        <v>422</v>
      </c>
      <c r="F452" s="107">
        <v>1440</v>
      </c>
      <c r="G452" s="195">
        <v>13</v>
      </c>
      <c r="H452" s="107">
        <v>1940</v>
      </c>
    </row>
    <row r="453" spans="1:8">
      <c r="A453" s="107">
        <v>25</v>
      </c>
      <c r="B453" s="107">
        <v>3</v>
      </c>
      <c r="C453" s="107">
        <v>2</v>
      </c>
      <c r="D453" s="107" t="s">
        <v>421</v>
      </c>
      <c r="E453" s="107" t="s">
        <v>422</v>
      </c>
      <c r="F453" s="196">
        <v>1250</v>
      </c>
      <c r="G453" s="195">
        <v>13</v>
      </c>
      <c r="H453" s="107"/>
    </row>
    <row r="454" spans="1:8">
      <c r="A454" s="107">
        <v>25</v>
      </c>
      <c r="B454" s="107">
        <v>3</v>
      </c>
      <c r="C454" s="107">
        <v>3</v>
      </c>
      <c r="D454" s="107" t="s">
        <v>421</v>
      </c>
      <c r="E454" s="107" t="s">
        <v>422</v>
      </c>
      <c r="F454" s="107">
        <v>1280</v>
      </c>
      <c r="G454" s="195">
        <v>13</v>
      </c>
      <c r="H454" s="107"/>
    </row>
    <row r="455" spans="1:8">
      <c r="A455" s="107">
        <v>25</v>
      </c>
      <c r="B455" s="107">
        <v>4</v>
      </c>
      <c r="C455" s="107">
        <v>1</v>
      </c>
      <c r="D455" s="107" t="s">
        <v>423</v>
      </c>
      <c r="E455" s="107" t="s">
        <v>424</v>
      </c>
      <c r="F455" s="107">
        <v>1200</v>
      </c>
      <c r="G455" s="195">
        <v>15</v>
      </c>
      <c r="H455" s="107">
        <v>1830</v>
      </c>
    </row>
    <row r="456" spans="1:8">
      <c r="A456" s="107">
        <v>25</v>
      </c>
      <c r="B456" s="107">
        <v>4</v>
      </c>
      <c r="C456" s="107">
        <v>2</v>
      </c>
      <c r="D456" s="107" t="s">
        <v>423</v>
      </c>
      <c r="E456" s="107" t="s">
        <v>424</v>
      </c>
      <c r="F456" s="107">
        <v>760</v>
      </c>
      <c r="G456" s="195">
        <v>13</v>
      </c>
      <c r="H456" s="107"/>
    </row>
    <row r="457" spans="1:8">
      <c r="A457" s="107">
        <v>25</v>
      </c>
      <c r="B457" s="107">
        <v>4</v>
      </c>
      <c r="C457" s="107">
        <v>3</v>
      </c>
      <c r="D457" s="107" t="s">
        <v>423</v>
      </c>
      <c r="E457" s="107" t="s">
        <v>424</v>
      </c>
      <c r="F457" s="107">
        <v>760</v>
      </c>
      <c r="G457" s="195">
        <v>13</v>
      </c>
      <c r="H457" s="107"/>
    </row>
    <row r="458" spans="1:8">
      <c r="A458" s="107">
        <v>25</v>
      </c>
      <c r="B458" s="107">
        <v>5</v>
      </c>
      <c r="C458" s="107">
        <v>1</v>
      </c>
      <c r="D458" s="107" t="s">
        <v>425</v>
      </c>
      <c r="E458" s="107" t="s">
        <v>426</v>
      </c>
      <c r="F458" s="107">
        <v>1050</v>
      </c>
      <c r="G458" s="195">
        <v>12</v>
      </c>
      <c r="H458" s="107">
        <v>1470</v>
      </c>
    </row>
    <row r="459" spans="1:8">
      <c r="A459" s="107">
        <v>25</v>
      </c>
      <c r="B459" s="107">
        <v>5</v>
      </c>
      <c r="C459" s="107">
        <v>2</v>
      </c>
      <c r="D459" s="107" t="s">
        <v>425</v>
      </c>
      <c r="E459" s="107" t="s">
        <v>426</v>
      </c>
      <c r="F459" s="107">
        <v>1110</v>
      </c>
      <c r="G459" s="195">
        <v>9</v>
      </c>
      <c r="H459" s="107"/>
    </row>
    <row r="460" spans="1:8">
      <c r="A460" s="107">
        <v>25</v>
      </c>
      <c r="B460" s="107">
        <v>5</v>
      </c>
      <c r="C460" s="107">
        <v>3</v>
      </c>
      <c r="D460" s="107" t="s">
        <v>425</v>
      </c>
      <c r="E460" s="107" t="s">
        <v>426</v>
      </c>
      <c r="F460" s="107">
        <v>620</v>
      </c>
      <c r="G460" s="195">
        <v>11</v>
      </c>
      <c r="H460" s="196"/>
    </row>
    <row r="461" spans="1:8">
      <c r="A461" s="107">
        <v>25</v>
      </c>
      <c r="B461" s="107">
        <v>6</v>
      </c>
      <c r="C461" s="107">
        <v>1</v>
      </c>
      <c r="D461" s="107" t="s">
        <v>427</v>
      </c>
      <c r="E461" s="107" t="s">
        <v>428</v>
      </c>
      <c r="F461" s="107">
        <v>910</v>
      </c>
      <c r="G461" s="195">
        <v>13</v>
      </c>
      <c r="H461" s="107">
        <v>1950</v>
      </c>
    </row>
    <row r="462" spans="1:8">
      <c r="A462" s="107">
        <v>25</v>
      </c>
      <c r="B462" s="107">
        <v>6</v>
      </c>
      <c r="C462" s="107">
        <v>2</v>
      </c>
      <c r="D462" s="107" t="s">
        <v>427</v>
      </c>
      <c r="E462" s="107" t="s">
        <v>428</v>
      </c>
      <c r="F462" s="107">
        <v>950</v>
      </c>
      <c r="G462" s="195">
        <v>13</v>
      </c>
      <c r="H462" s="107"/>
    </row>
    <row r="463" spans="1:8">
      <c r="A463" s="107">
        <v>25</v>
      </c>
      <c r="B463" s="107">
        <v>6</v>
      </c>
      <c r="C463" s="107">
        <v>3</v>
      </c>
      <c r="D463" s="107" t="s">
        <v>427</v>
      </c>
      <c r="E463" s="107" t="s">
        <v>428</v>
      </c>
      <c r="F463" s="107">
        <v>1070</v>
      </c>
      <c r="G463" s="195">
        <v>13</v>
      </c>
      <c r="H463" s="107"/>
    </row>
    <row r="464" spans="1:8">
      <c r="A464" s="107">
        <v>26</v>
      </c>
      <c r="B464" s="107">
        <v>1</v>
      </c>
      <c r="C464" s="107">
        <v>1</v>
      </c>
      <c r="D464" s="107" t="s">
        <v>429</v>
      </c>
      <c r="E464" s="107" t="s">
        <v>430</v>
      </c>
      <c r="F464" s="107">
        <v>800</v>
      </c>
      <c r="G464" s="195">
        <v>11</v>
      </c>
      <c r="H464" s="107">
        <v>1680</v>
      </c>
    </row>
    <row r="465" spans="1:8">
      <c r="A465" s="107">
        <v>26</v>
      </c>
      <c r="B465" s="107">
        <v>1</v>
      </c>
      <c r="C465" s="107">
        <v>2</v>
      </c>
      <c r="D465" s="107" t="s">
        <v>429</v>
      </c>
      <c r="E465" s="107" t="s">
        <v>430</v>
      </c>
      <c r="F465" s="107">
        <v>1140</v>
      </c>
      <c r="G465" s="195">
        <v>15</v>
      </c>
      <c r="H465" s="107"/>
    </row>
    <row r="466" spans="1:8">
      <c r="A466" s="107">
        <v>26</v>
      </c>
      <c r="B466" s="107">
        <v>1</v>
      </c>
      <c r="C466" s="107">
        <v>3</v>
      </c>
      <c r="D466" s="107" t="s">
        <v>429</v>
      </c>
      <c r="E466" s="107" t="s">
        <v>430</v>
      </c>
      <c r="F466" s="107">
        <v>820</v>
      </c>
      <c r="G466" s="195">
        <v>14</v>
      </c>
      <c r="H466" s="107"/>
    </row>
    <row r="467" spans="1:8">
      <c r="A467" s="107">
        <v>26</v>
      </c>
      <c r="B467" s="107">
        <v>2</v>
      </c>
      <c r="C467" s="107">
        <v>1</v>
      </c>
      <c r="D467" s="107" t="s">
        <v>431</v>
      </c>
      <c r="E467" s="107" t="s">
        <v>432</v>
      </c>
      <c r="F467" s="107">
        <v>580</v>
      </c>
      <c r="G467" s="195">
        <v>11</v>
      </c>
      <c r="H467" s="107">
        <v>1590</v>
      </c>
    </row>
    <row r="468" spans="1:8">
      <c r="A468" s="107">
        <v>26</v>
      </c>
      <c r="B468" s="107">
        <v>2</v>
      </c>
      <c r="C468" s="107">
        <v>2</v>
      </c>
      <c r="D468" s="107" t="s">
        <v>431</v>
      </c>
      <c r="E468" s="107" t="s">
        <v>432</v>
      </c>
      <c r="F468" s="107">
        <v>800</v>
      </c>
      <c r="G468" s="195">
        <v>10</v>
      </c>
      <c r="H468" s="107"/>
    </row>
    <row r="469" spans="1:8">
      <c r="A469" s="107">
        <v>26</v>
      </c>
      <c r="B469" s="107">
        <v>2</v>
      </c>
      <c r="C469" s="107">
        <v>3</v>
      </c>
      <c r="D469" s="107" t="s">
        <v>431</v>
      </c>
      <c r="E469" s="107" t="s">
        <v>432</v>
      </c>
      <c r="F469" s="107">
        <v>850</v>
      </c>
      <c r="G469" s="195">
        <v>10</v>
      </c>
      <c r="H469" s="107"/>
    </row>
    <row r="470" spans="1:8">
      <c r="A470" s="107">
        <v>26</v>
      </c>
      <c r="B470" s="107">
        <v>3</v>
      </c>
      <c r="C470" s="107">
        <v>1</v>
      </c>
      <c r="D470" s="107" t="s">
        <v>433</v>
      </c>
      <c r="E470" s="107" t="s">
        <v>434</v>
      </c>
      <c r="F470" s="107">
        <v>1280</v>
      </c>
      <c r="G470" s="195">
        <v>12</v>
      </c>
      <c r="H470" s="107">
        <v>1740</v>
      </c>
    </row>
    <row r="471" spans="1:8">
      <c r="A471" s="107">
        <v>26</v>
      </c>
      <c r="B471" s="107">
        <v>3</v>
      </c>
      <c r="C471" s="107">
        <v>2</v>
      </c>
      <c r="D471" s="107" t="s">
        <v>433</v>
      </c>
      <c r="E471" s="107" t="s">
        <v>434</v>
      </c>
      <c r="F471" s="107">
        <v>1180</v>
      </c>
      <c r="G471" s="195">
        <v>13</v>
      </c>
      <c r="H471" s="107"/>
    </row>
    <row r="472" spans="1:8">
      <c r="A472" s="107">
        <v>26</v>
      </c>
      <c r="B472" s="107">
        <v>3</v>
      </c>
      <c r="C472" s="107">
        <v>3</v>
      </c>
      <c r="D472" s="107" t="s">
        <v>433</v>
      </c>
      <c r="E472" s="107" t="s">
        <v>434</v>
      </c>
      <c r="F472" s="107">
        <v>1230</v>
      </c>
      <c r="G472" s="195">
        <v>14</v>
      </c>
      <c r="H472" s="107"/>
    </row>
    <row r="473" spans="1:8">
      <c r="A473" s="107">
        <v>26</v>
      </c>
      <c r="B473" s="107">
        <v>4</v>
      </c>
      <c r="C473" s="107">
        <v>1</v>
      </c>
      <c r="D473" s="107" t="s">
        <v>435</v>
      </c>
      <c r="E473" s="107" t="s">
        <v>436</v>
      </c>
      <c r="F473" s="107">
        <v>660</v>
      </c>
      <c r="G473" s="195">
        <v>10</v>
      </c>
      <c r="H473" s="107">
        <v>1480</v>
      </c>
    </row>
    <row r="474" spans="1:8">
      <c r="A474" s="107">
        <v>26</v>
      </c>
      <c r="B474" s="107">
        <v>4</v>
      </c>
      <c r="C474" s="107">
        <v>2</v>
      </c>
      <c r="D474" s="107" t="s">
        <v>435</v>
      </c>
      <c r="E474" s="107" t="s">
        <v>436</v>
      </c>
      <c r="F474" s="107">
        <v>1050</v>
      </c>
      <c r="G474" s="195">
        <v>13</v>
      </c>
      <c r="H474" s="107"/>
    </row>
    <row r="475" spans="1:8">
      <c r="A475" s="107">
        <v>26</v>
      </c>
      <c r="B475" s="107">
        <v>4</v>
      </c>
      <c r="C475" s="107">
        <v>3</v>
      </c>
      <c r="D475" s="107" t="s">
        <v>435</v>
      </c>
      <c r="E475" s="107" t="s">
        <v>436</v>
      </c>
      <c r="F475" s="107">
        <v>1050</v>
      </c>
      <c r="G475" s="195">
        <v>15</v>
      </c>
      <c r="H475" s="107"/>
    </row>
    <row r="476" spans="1:8">
      <c r="A476" s="107">
        <v>26</v>
      </c>
      <c r="B476" s="107">
        <v>5</v>
      </c>
      <c r="C476" s="107">
        <v>1</v>
      </c>
      <c r="D476" s="107" t="s">
        <v>437</v>
      </c>
      <c r="E476" s="107" t="s">
        <v>438</v>
      </c>
      <c r="F476" s="107">
        <v>1140</v>
      </c>
      <c r="G476" s="195">
        <v>13</v>
      </c>
      <c r="H476" s="107">
        <v>1670</v>
      </c>
    </row>
    <row r="477" spans="1:8">
      <c r="A477" s="107">
        <v>26</v>
      </c>
      <c r="B477" s="107">
        <v>5</v>
      </c>
      <c r="C477" s="107">
        <v>2</v>
      </c>
      <c r="D477" s="107" t="s">
        <v>437</v>
      </c>
      <c r="E477" s="107" t="s">
        <v>438</v>
      </c>
      <c r="F477" s="107">
        <v>1080</v>
      </c>
      <c r="G477" s="195">
        <v>13</v>
      </c>
      <c r="H477" s="107"/>
    </row>
    <row r="478" spans="1:8">
      <c r="A478" s="107">
        <v>26</v>
      </c>
      <c r="B478" s="107">
        <v>5</v>
      </c>
      <c r="C478" s="107">
        <v>3</v>
      </c>
      <c r="D478" s="107" t="s">
        <v>437</v>
      </c>
      <c r="E478" s="107" t="s">
        <v>438</v>
      </c>
      <c r="F478" s="107">
        <v>750</v>
      </c>
      <c r="G478" s="195">
        <v>12</v>
      </c>
      <c r="H478" s="107"/>
    </row>
    <row r="479" spans="1:8">
      <c r="A479" s="107">
        <v>26</v>
      </c>
      <c r="B479" s="107">
        <v>6</v>
      </c>
      <c r="C479" s="107">
        <v>1</v>
      </c>
      <c r="D479" s="107" t="s">
        <v>439</v>
      </c>
      <c r="E479" s="107" t="s">
        <v>440</v>
      </c>
      <c r="F479" s="107">
        <v>1140</v>
      </c>
      <c r="G479" s="195">
        <v>14</v>
      </c>
      <c r="H479" s="107">
        <v>1630</v>
      </c>
    </row>
    <row r="480" spans="1:8">
      <c r="A480" s="107">
        <v>26</v>
      </c>
      <c r="B480" s="107">
        <v>6</v>
      </c>
      <c r="C480" s="107">
        <v>2</v>
      </c>
      <c r="D480" s="107" t="s">
        <v>439</v>
      </c>
      <c r="E480" s="107" t="s">
        <v>440</v>
      </c>
      <c r="F480" s="107">
        <v>1070</v>
      </c>
      <c r="G480" s="195">
        <v>14</v>
      </c>
      <c r="H480" s="107"/>
    </row>
    <row r="481" spans="1:8">
      <c r="A481" s="107">
        <v>26</v>
      </c>
      <c r="B481" s="107">
        <v>6</v>
      </c>
      <c r="C481" s="107">
        <v>3</v>
      </c>
      <c r="D481" s="107" t="s">
        <v>439</v>
      </c>
      <c r="E481" s="107" t="s">
        <v>440</v>
      </c>
      <c r="F481" s="107">
        <v>900</v>
      </c>
      <c r="G481" s="195">
        <v>13</v>
      </c>
      <c r="H481" s="107"/>
    </row>
    <row r="482" spans="1:8">
      <c r="A482" s="107">
        <v>27</v>
      </c>
      <c r="B482" s="107">
        <v>1</v>
      </c>
      <c r="C482" s="107">
        <v>1</v>
      </c>
      <c r="D482" s="107" t="s">
        <v>441</v>
      </c>
      <c r="E482" s="107" t="s">
        <v>442</v>
      </c>
      <c r="F482" s="107">
        <v>1290</v>
      </c>
      <c r="G482" s="195">
        <v>13</v>
      </c>
      <c r="H482" s="107">
        <v>1670</v>
      </c>
    </row>
    <row r="483" spans="1:8">
      <c r="A483" s="107">
        <v>27</v>
      </c>
      <c r="B483" s="107">
        <v>1</v>
      </c>
      <c r="C483" s="107">
        <v>2</v>
      </c>
      <c r="D483" s="107" t="s">
        <v>441</v>
      </c>
      <c r="E483" s="107" t="s">
        <v>442</v>
      </c>
      <c r="F483" s="107">
        <v>1300</v>
      </c>
      <c r="G483" s="195">
        <v>12</v>
      </c>
      <c r="H483" s="107"/>
    </row>
    <row r="484" spans="1:8">
      <c r="A484" s="107">
        <v>27</v>
      </c>
      <c r="B484" s="107">
        <v>1</v>
      </c>
      <c r="C484" s="107">
        <v>3</v>
      </c>
      <c r="D484" s="107" t="s">
        <v>441</v>
      </c>
      <c r="E484" s="107" t="s">
        <v>442</v>
      </c>
      <c r="F484" s="107">
        <v>1350</v>
      </c>
      <c r="G484" s="195">
        <v>10</v>
      </c>
      <c r="H484" s="107"/>
    </row>
    <row r="485" spans="1:8">
      <c r="A485" s="107">
        <v>27</v>
      </c>
      <c r="B485" s="107">
        <v>2</v>
      </c>
      <c r="C485" s="107">
        <v>1</v>
      </c>
      <c r="D485" s="107" t="s">
        <v>443</v>
      </c>
      <c r="E485" s="107" t="s">
        <v>444</v>
      </c>
      <c r="F485" s="107">
        <v>1100</v>
      </c>
      <c r="G485" s="195">
        <v>12</v>
      </c>
      <c r="H485" s="107">
        <v>1520</v>
      </c>
    </row>
    <row r="486" spans="1:8">
      <c r="A486" s="107">
        <v>27</v>
      </c>
      <c r="B486" s="107">
        <v>2</v>
      </c>
      <c r="C486" s="107">
        <v>2</v>
      </c>
      <c r="D486" s="107" t="s">
        <v>443</v>
      </c>
      <c r="E486" s="107" t="s">
        <v>444</v>
      </c>
      <c r="F486" s="107">
        <v>980</v>
      </c>
      <c r="G486" s="195">
        <v>11</v>
      </c>
      <c r="H486" s="107"/>
    </row>
    <row r="487" spans="1:8">
      <c r="A487" s="107">
        <v>27</v>
      </c>
      <c r="B487" s="107">
        <v>2</v>
      </c>
      <c r="C487" s="107">
        <v>3</v>
      </c>
      <c r="D487" s="107" t="s">
        <v>443</v>
      </c>
      <c r="E487" s="107" t="s">
        <v>444</v>
      </c>
      <c r="F487" s="107">
        <v>940</v>
      </c>
      <c r="G487" s="195">
        <v>14</v>
      </c>
      <c r="H487" s="107"/>
    </row>
    <row r="488" spans="1:8">
      <c r="A488" s="107">
        <v>27</v>
      </c>
      <c r="B488" s="107">
        <v>3</v>
      </c>
      <c r="C488" s="107">
        <v>1</v>
      </c>
      <c r="D488" s="107" t="s">
        <v>445</v>
      </c>
      <c r="E488" s="107" t="s">
        <v>446</v>
      </c>
      <c r="F488" s="107">
        <v>950</v>
      </c>
      <c r="G488" s="195">
        <v>12</v>
      </c>
      <c r="H488" s="107">
        <v>1890</v>
      </c>
    </row>
    <row r="489" spans="1:8">
      <c r="A489" s="107">
        <v>27</v>
      </c>
      <c r="B489" s="107">
        <v>3</v>
      </c>
      <c r="C489" s="107">
        <v>2</v>
      </c>
      <c r="D489" s="107" t="s">
        <v>445</v>
      </c>
      <c r="E489" s="107" t="s">
        <v>446</v>
      </c>
      <c r="F489" s="107">
        <v>950</v>
      </c>
      <c r="G489" s="195">
        <v>12</v>
      </c>
      <c r="H489" s="107"/>
    </row>
    <row r="490" spans="1:8">
      <c r="A490" s="107">
        <v>27</v>
      </c>
      <c r="B490" s="107">
        <v>3</v>
      </c>
      <c r="C490" s="107">
        <v>3</v>
      </c>
      <c r="D490" s="107" t="s">
        <v>445</v>
      </c>
      <c r="E490" s="107" t="s">
        <v>446</v>
      </c>
      <c r="F490" s="107">
        <v>960</v>
      </c>
      <c r="G490" s="195">
        <v>13</v>
      </c>
      <c r="H490" s="107"/>
    </row>
    <row r="491" spans="1:8">
      <c r="A491" s="107">
        <v>27</v>
      </c>
      <c r="B491" s="107">
        <v>4</v>
      </c>
      <c r="C491" s="107">
        <v>1</v>
      </c>
      <c r="D491" s="107" t="s">
        <v>447</v>
      </c>
      <c r="E491" s="107" t="s">
        <v>448</v>
      </c>
      <c r="F491" s="107">
        <v>1010</v>
      </c>
      <c r="G491" s="195">
        <v>13</v>
      </c>
      <c r="H491" s="107">
        <v>1580</v>
      </c>
    </row>
    <row r="492" spans="1:8">
      <c r="A492" s="107">
        <v>27</v>
      </c>
      <c r="B492" s="107">
        <v>4</v>
      </c>
      <c r="C492" s="107">
        <v>2</v>
      </c>
      <c r="D492" s="107" t="s">
        <v>447</v>
      </c>
      <c r="E492" s="107" t="s">
        <v>448</v>
      </c>
      <c r="F492" s="107">
        <v>1210</v>
      </c>
      <c r="G492" s="195">
        <v>13</v>
      </c>
      <c r="H492" s="107"/>
    </row>
    <row r="493" spans="1:8">
      <c r="A493" s="107">
        <v>27</v>
      </c>
      <c r="B493" s="107">
        <v>4</v>
      </c>
      <c r="C493" s="107">
        <v>3</v>
      </c>
      <c r="D493" s="107" t="s">
        <v>447</v>
      </c>
      <c r="E493" s="107" t="s">
        <v>448</v>
      </c>
      <c r="F493" s="107">
        <v>900</v>
      </c>
      <c r="G493" s="195">
        <v>12</v>
      </c>
      <c r="H493" s="107"/>
    </row>
    <row r="495" spans="1:8">
      <c r="A495" s="107">
        <v>27</v>
      </c>
      <c r="B495" s="107">
        <v>5</v>
      </c>
      <c r="C495" s="107">
        <v>1</v>
      </c>
      <c r="D495" s="107" t="s">
        <v>449</v>
      </c>
      <c r="E495" s="107" t="s">
        <v>450</v>
      </c>
      <c r="F495" s="107">
        <v>930</v>
      </c>
      <c r="G495" s="107">
        <v>12</v>
      </c>
      <c r="H495" s="107">
        <v>1540</v>
      </c>
    </row>
    <row r="496" spans="1:8">
      <c r="A496" s="107">
        <v>27</v>
      </c>
      <c r="B496" s="107">
        <v>5</v>
      </c>
      <c r="C496" s="107">
        <v>2</v>
      </c>
      <c r="D496" s="107" t="s">
        <v>449</v>
      </c>
      <c r="E496" s="107" t="s">
        <v>450</v>
      </c>
      <c r="F496" s="107">
        <v>1030</v>
      </c>
      <c r="G496" s="195">
        <v>12</v>
      </c>
      <c r="H496" s="107"/>
    </row>
    <row r="497" spans="1:8">
      <c r="A497" s="107">
        <v>27</v>
      </c>
      <c r="B497" s="107">
        <v>5</v>
      </c>
      <c r="C497" s="107">
        <v>3</v>
      </c>
      <c r="D497" s="107" t="s">
        <v>449</v>
      </c>
      <c r="E497" s="107" t="s">
        <v>450</v>
      </c>
      <c r="F497" s="107">
        <v>1030</v>
      </c>
      <c r="G497" s="195">
        <v>9</v>
      </c>
      <c r="H497" s="107"/>
    </row>
    <row r="498" spans="1:8">
      <c r="A498" s="107">
        <v>27</v>
      </c>
      <c r="B498" s="107">
        <v>6</v>
      </c>
      <c r="C498" s="107">
        <v>1</v>
      </c>
      <c r="D498" s="107" t="s">
        <v>451</v>
      </c>
      <c r="E498" s="107" t="s">
        <v>452</v>
      </c>
      <c r="F498" s="107">
        <v>940</v>
      </c>
      <c r="G498" s="195">
        <v>14</v>
      </c>
      <c r="H498" s="107">
        <v>1700</v>
      </c>
    </row>
    <row r="499" spans="1:8">
      <c r="A499" s="107">
        <v>27</v>
      </c>
      <c r="B499" s="107">
        <v>6</v>
      </c>
      <c r="C499" s="107">
        <v>2</v>
      </c>
      <c r="D499" s="107" t="s">
        <v>451</v>
      </c>
      <c r="E499" s="107" t="s">
        <v>452</v>
      </c>
      <c r="F499" s="107">
        <v>940</v>
      </c>
      <c r="G499" s="195">
        <v>14</v>
      </c>
      <c r="H499" s="107"/>
    </row>
    <row r="500" spans="1:8">
      <c r="A500" s="107">
        <v>27</v>
      </c>
      <c r="B500" s="107">
        <v>6</v>
      </c>
      <c r="C500" s="107">
        <v>3</v>
      </c>
      <c r="D500" s="107" t="s">
        <v>451</v>
      </c>
      <c r="E500" s="107" t="s">
        <v>452</v>
      </c>
      <c r="F500" s="107">
        <v>780</v>
      </c>
      <c r="G500" s="195">
        <v>12</v>
      </c>
      <c r="H500" s="107"/>
    </row>
    <row r="501" spans="1:8">
      <c r="A501" s="107">
        <v>28</v>
      </c>
      <c r="B501" s="107">
        <v>1</v>
      </c>
      <c r="C501" s="107">
        <v>1</v>
      </c>
      <c r="D501" s="107" t="s">
        <v>453</v>
      </c>
      <c r="E501" s="107" t="s">
        <v>454</v>
      </c>
      <c r="F501" s="107">
        <v>1300</v>
      </c>
      <c r="G501" s="195">
        <v>14</v>
      </c>
      <c r="H501" s="107">
        <v>1840</v>
      </c>
    </row>
    <row r="502" spans="1:8">
      <c r="A502" s="107">
        <v>28</v>
      </c>
      <c r="B502" s="107">
        <v>1</v>
      </c>
      <c r="C502" s="107">
        <v>2</v>
      </c>
      <c r="D502" s="107" t="s">
        <v>453</v>
      </c>
      <c r="E502" s="107" t="s">
        <v>454</v>
      </c>
      <c r="F502" s="196">
        <v>1220</v>
      </c>
      <c r="G502" s="195">
        <v>11</v>
      </c>
      <c r="H502" s="107"/>
    </row>
    <row r="503" spans="1:8">
      <c r="A503" s="107">
        <v>28</v>
      </c>
      <c r="B503" s="107">
        <v>1</v>
      </c>
      <c r="C503" s="107">
        <v>3</v>
      </c>
      <c r="D503" s="107" t="s">
        <v>453</v>
      </c>
      <c r="E503" s="107" t="s">
        <v>454</v>
      </c>
      <c r="F503" s="107">
        <v>1230</v>
      </c>
      <c r="G503" s="195">
        <v>10</v>
      </c>
      <c r="H503" s="107"/>
    </row>
    <row r="504" spans="1:8">
      <c r="A504" s="107">
        <v>28</v>
      </c>
      <c r="B504" s="107">
        <v>2</v>
      </c>
      <c r="C504" s="107">
        <v>1</v>
      </c>
      <c r="D504" s="107" t="s">
        <v>455</v>
      </c>
      <c r="E504" s="107" t="s">
        <v>456</v>
      </c>
      <c r="F504" s="107">
        <v>1250</v>
      </c>
      <c r="G504" s="195">
        <v>13</v>
      </c>
      <c r="H504" s="107">
        <v>1930</v>
      </c>
    </row>
    <row r="505" spans="1:8">
      <c r="A505" s="107">
        <v>28</v>
      </c>
      <c r="B505" s="107">
        <v>2</v>
      </c>
      <c r="C505" s="107">
        <v>2</v>
      </c>
      <c r="D505" s="107" t="s">
        <v>455</v>
      </c>
      <c r="E505" s="107" t="s">
        <v>456</v>
      </c>
      <c r="F505" s="107">
        <v>1100</v>
      </c>
      <c r="G505" s="195">
        <v>13</v>
      </c>
      <c r="H505" s="107"/>
    </row>
    <row r="506" spans="1:8">
      <c r="A506" s="107">
        <v>28</v>
      </c>
      <c r="B506" s="107">
        <v>2</v>
      </c>
      <c r="C506" s="107">
        <v>3</v>
      </c>
      <c r="D506" s="107" t="s">
        <v>455</v>
      </c>
      <c r="E506" s="107" t="s">
        <v>456</v>
      </c>
      <c r="F506" s="107">
        <v>1290</v>
      </c>
      <c r="G506" s="195">
        <v>11</v>
      </c>
      <c r="H506" s="107"/>
    </row>
    <row r="507" spans="1:8">
      <c r="A507" s="107">
        <v>28</v>
      </c>
      <c r="B507" s="107">
        <v>3</v>
      </c>
      <c r="C507" s="107">
        <v>1</v>
      </c>
      <c r="D507" s="107" t="s">
        <v>457</v>
      </c>
      <c r="E507" s="107" t="s">
        <v>458</v>
      </c>
      <c r="F507" s="107">
        <v>1300</v>
      </c>
      <c r="G507" s="195">
        <v>12</v>
      </c>
      <c r="H507" s="107">
        <v>1650</v>
      </c>
    </row>
    <row r="508" spans="1:8">
      <c r="A508" s="107">
        <v>28</v>
      </c>
      <c r="B508" s="107">
        <v>3</v>
      </c>
      <c r="C508" s="107">
        <v>2</v>
      </c>
      <c r="D508" s="107" t="s">
        <v>457</v>
      </c>
      <c r="E508" s="107" t="s">
        <v>458</v>
      </c>
      <c r="F508" s="107">
        <v>1240</v>
      </c>
      <c r="G508" s="195">
        <v>9</v>
      </c>
      <c r="H508" s="107"/>
    </row>
    <row r="509" spans="1:8">
      <c r="A509" s="107">
        <v>28</v>
      </c>
      <c r="B509" s="107">
        <v>3</v>
      </c>
      <c r="C509" s="107">
        <v>3</v>
      </c>
      <c r="D509" s="107" t="s">
        <v>457</v>
      </c>
      <c r="E509" s="107" t="s">
        <v>458</v>
      </c>
      <c r="F509" s="107">
        <v>1200</v>
      </c>
      <c r="G509" s="195">
        <v>11</v>
      </c>
      <c r="H509" s="196"/>
    </row>
    <row r="510" spans="1:8">
      <c r="A510" s="107">
        <v>28</v>
      </c>
      <c r="B510" s="107">
        <v>4</v>
      </c>
      <c r="C510" s="107">
        <v>1</v>
      </c>
      <c r="D510" s="107" t="s">
        <v>459</v>
      </c>
      <c r="E510" s="107" t="s">
        <v>460</v>
      </c>
      <c r="F510" s="107">
        <v>1150</v>
      </c>
      <c r="G510" s="195">
        <v>13</v>
      </c>
      <c r="H510" s="107">
        <v>1700</v>
      </c>
    </row>
    <row r="511" spans="1:8">
      <c r="A511" s="107">
        <v>28</v>
      </c>
      <c r="B511" s="107">
        <v>4</v>
      </c>
      <c r="C511" s="107">
        <v>2</v>
      </c>
      <c r="D511" s="107" t="s">
        <v>459</v>
      </c>
      <c r="E511" s="107" t="s">
        <v>460</v>
      </c>
      <c r="F511" s="107">
        <v>1230</v>
      </c>
      <c r="G511" s="195">
        <v>12</v>
      </c>
      <c r="H511" s="107"/>
    </row>
    <row r="512" spans="1:8">
      <c r="A512" s="107">
        <v>28</v>
      </c>
      <c r="B512" s="107">
        <v>4</v>
      </c>
      <c r="C512" s="107">
        <v>3</v>
      </c>
      <c r="D512" s="107" t="s">
        <v>459</v>
      </c>
      <c r="E512" s="107" t="s">
        <v>460</v>
      </c>
      <c r="F512" s="107">
        <v>1090</v>
      </c>
      <c r="G512" s="195">
        <v>12</v>
      </c>
      <c r="H512" s="107"/>
    </row>
    <row r="513" spans="1:8">
      <c r="A513" s="107">
        <v>28</v>
      </c>
      <c r="B513" s="107">
        <v>5</v>
      </c>
      <c r="C513" s="107">
        <v>1</v>
      </c>
      <c r="D513" s="107" t="s">
        <v>461</v>
      </c>
      <c r="E513" s="107" t="s">
        <v>462</v>
      </c>
      <c r="F513" s="107">
        <v>1050</v>
      </c>
      <c r="G513" s="195">
        <v>14</v>
      </c>
      <c r="H513" s="107">
        <v>1760</v>
      </c>
    </row>
    <row r="514" spans="1:8">
      <c r="A514" s="107">
        <v>28</v>
      </c>
      <c r="B514" s="107">
        <v>5</v>
      </c>
      <c r="C514" s="107">
        <v>2</v>
      </c>
      <c r="D514" s="107" t="s">
        <v>461</v>
      </c>
      <c r="E514" s="107" t="s">
        <v>462</v>
      </c>
      <c r="F514" s="107">
        <v>1160</v>
      </c>
      <c r="G514" s="195">
        <v>11</v>
      </c>
      <c r="H514" s="107"/>
    </row>
    <row r="515" spans="1:8">
      <c r="A515" s="107">
        <v>28</v>
      </c>
      <c r="B515" s="107">
        <v>5</v>
      </c>
      <c r="C515" s="107">
        <v>3</v>
      </c>
      <c r="D515" s="107" t="s">
        <v>461</v>
      </c>
      <c r="E515" s="107" t="s">
        <v>462</v>
      </c>
      <c r="F515" s="107">
        <v>1080</v>
      </c>
      <c r="G515" s="195">
        <v>13</v>
      </c>
      <c r="H515" s="107"/>
    </row>
    <row r="516" spans="1:8">
      <c r="A516" s="107">
        <v>28</v>
      </c>
      <c r="B516" s="107">
        <v>6</v>
      </c>
      <c r="C516" s="107">
        <v>1</v>
      </c>
      <c r="D516" s="107" t="s">
        <v>463</v>
      </c>
      <c r="E516" s="107" t="s">
        <v>464</v>
      </c>
      <c r="F516" s="107">
        <v>1020</v>
      </c>
      <c r="G516" s="195">
        <v>14</v>
      </c>
      <c r="H516" s="107">
        <v>1750</v>
      </c>
    </row>
    <row r="517" spans="1:8">
      <c r="A517" s="107">
        <v>28</v>
      </c>
      <c r="B517" s="107">
        <v>6</v>
      </c>
      <c r="C517" s="107">
        <v>2</v>
      </c>
      <c r="D517" s="107" t="s">
        <v>463</v>
      </c>
      <c r="E517" s="107" t="s">
        <v>464</v>
      </c>
      <c r="F517" s="107">
        <v>1180</v>
      </c>
      <c r="G517" s="195">
        <v>13</v>
      </c>
      <c r="H517" s="107"/>
    </row>
    <row r="518" spans="1:8">
      <c r="A518" s="107">
        <v>28</v>
      </c>
      <c r="B518" s="107">
        <v>6</v>
      </c>
      <c r="C518" s="107">
        <v>3</v>
      </c>
      <c r="D518" s="107" t="s">
        <v>463</v>
      </c>
      <c r="E518" s="107" t="s">
        <v>464</v>
      </c>
      <c r="F518" s="107">
        <v>480</v>
      </c>
      <c r="G518" s="195">
        <v>11</v>
      </c>
      <c r="H518" s="107"/>
    </row>
    <row r="519" spans="1:8">
      <c r="A519" s="107">
        <v>29</v>
      </c>
      <c r="B519" s="107">
        <v>1</v>
      </c>
      <c r="C519" s="107">
        <v>1</v>
      </c>
      <c r="D519" s="107" t="s">
        <v>465</v>
      </c>
      <c r="E519" s="107" t="s">
        <v>466</v>
      </c>
      <c r="F519" s="107">
        <v>920</v>
      </c>
      <c r="G519" s="195">
        <v>14</v>
      </c>
      <c r="H519" s="107">
        <v>1900</v>
      </c>
    </row>
    <row r="520" spans="1:8">
      <c r="A520" s="107">
        <v>29</v>
      </c>
      <c r="B520" s="107">
        <v>1</v>
      </c>
      <c r="C520" s="107">
        <v>2</v>
      </c>
      <c r="D520" s="107" t="s">
        <v>465</v>
      </c>
      <c r="E520" s="107" t="s">
        <v>466</v>
      </c>
      <c r="F520" s="107">
        <v>400</v>
      </c>
      <c r="G520" s="195">
        <v>11</v>
      </c>
      <c r="H520" s="107"/>
    </row>
    <row r="521" spans="1:8">
      <c r="A521" s="107">
        <v>29</v>
      </c>
      <c r="B521" s="107">
        <v>1</v>
      </c>
      <c r="C521" s="107">
        <v>3</v>
      </c>
      <c r="D521" s="107" t="s">
        <v>465</v>
      </c>
      <c r="E521" s="107" t="s">
        <v>466</v>
      </c>
      <c r="F521" s="107">
        <v>1170</v>
      </c>
      <c r="G521" s="195">
        <v>13</v>
      </c>
      <c r="H521" s="107"/>
    </row>
    <row r="522" spans="1:8">
      <c r="A522" s="107">
        <v>29</v>
      </c>
      <c r="B522" s="107">
        <v>2</v>
      </c>
      <c r="C522" s="107">
        <v>1</v>
      </c>
      <c r="D522" s="107" t="s">
        <v>467</v>
      </c>
      <c r="E522" s="107" t="s">
        <v>468</v>
      </c>
      <c r="F522" s="107">
        <v>1280</v>
      </c>
      <c r="G522" s="195">
        <v>12</v>
      </c>
      <c r="H522" s="107">
        <v>1770</v>
      </c>
    </row>
    <row r="523" spans="1:8">
      <c r="A523" s="107">
        <v>29</v>
      </c>
      <c r="B523" s="107">
        <v>2</v>
      </c>
      <c r="C523" s="107">
        <v>2</v>
      </c>
      <c r="D523" s="107" t="s">
        <v>467</v>
      </c>
      <c r="E523" s="107" t="s">
        <v>468</v>
      </c>
      <c r="F523" s="107">
        <v>260</v>
      </c>
      <c r="G523" s="195">
        <v>12</v>
      </c>
      <c r="H523" s="107"/>
    </row>
    <row r="524" spans="1:8">
      <c r="A524" s="107">
        <v>29</v>
      </c>
      <c r="B524" s="107">
        <v>2</v>
      </c>
      <c r="C524" s="107">
        <v>3</v>
      </c>
      <c r="D524" s="107" t="s">
        <v>467</v>
      </c>
      <c r="E524" s="107" t="s">
        <v>468</v>
      </c>
      <c r="F524" s="107">
        <v>1130</v>
      </c>
      <c r="G524" s="195">
        <v>11</v>
      </c>
      <c r="H524" s="107"/>
    </row>
    <row r="525" spans="1:8">
      <c r="A525" s="107">
        <v>29</v>
      </c>
      <c r="B525" s="107">
        <v>3</v>
      </c>
      <c r="C525" s="107">
        <v>1</v>
      </c>
      <c r="D525" s="107" t="s">
        <v>469</v>
      </c>
      <c r="E525" s="107" t="s">
        <v>470</v>
      </c>
      <c r="F525" s="107">
        <v>1010</v>
      </c>
      <c r="G525" s="195">
        <v>13</v>
      </c>
      <c r="H525" s="107">
        <v>1850</v>
      </c>
    </row>
    <row r="526" spans="1:8">
      <c r="A526" s="107">
        <v>29</v>
      </c>
      <c r="B526" s="107">
        <v>3</v>
      </c>
      <c r="C526" s="107">
        <v>2</v>
      </c>
      <c r="D526" s="107" t="s">
        <v>469</v>
      </c>
      <c r="E526" s="107" t="s">
        <v>470</v>
      </c>
      <c r="F526" s="107">
        <v>910</v>
      </c>
      <c r="G526" s="195">
        <v>12</v>
      </c>
      <c r="H526" s="107"/>
    </row>
    <row r="527" spans="1:8">
      <c r="A527" s="107">
        <v>29</v>
      </c>
      <c r="B527" s="107">
        <v>3</v>
      </c>
      <c r="C527" s="107">
        <v>3</v>
      </c>
      <c r="D527" s="107" t="s">
        <v>469</v>
      </c>
      <c r="E527" s="107" t="s">
        <v>470</v>
      </c>
      <c r="F527" s="107">
        <v>660</v>
      </c>
      <c r="G527" s="195">
        <v>13</v>
      </c>
      <c r="H527" s="107"/>
    </row>
    <row r="528" spans="1:8">
      <c r="A528" s="107">
        <v>29</v>
      </c>
      <c r="B528" s="107">
        <v>4</v>
      </c>
      <c r="C528" s="107">
        <v>1</v>
      </c>
      <c r="D528" s="107" t="s">
        <v>471</v>
      </c>
      <c r="E528" s="107" t="s">
        <v>472</v>
      </c>
      <c r="F528" s="107">
        <v>1130</v>
      </c>
      <c r="G528" s="195">
        <v>12</v>
      </c>
      <c r="H528" s="107">
        <v>1900</v>
      </c>
    </row>
    <row r="529" spans="1:8">
      <c r="A529" s="107">
        <v>29</v>
      </c>
      <c r="B529" s="107">
        <v>4</v>
      </c>
      <c r="C529" s="107">
        <v>2</v>
      </c>
      <c r="D529" s="107" t="s">
        <v>471</v>
      </c>
      <c r="E529" s="107" t="s">
        <v>472</v>
      </c>
      <c r="F529" s="107">
        <v>1280</v>
      </c>
      <c r="G529" s="195">
        <v>11</v>
      </c>
      <c r="H529" s="107"/>
    </row>
    <row r="530" spans="1:8">
      <c r="A530" s="107">
        <v>29</v>
      </c>
      <c r="B530" s="107">
        <v>4</v>
      </c>
      <c r="C530" s="107">
        <v>3</v>
      </c>
      <c r="D530" s="107" t="s">
        <v>471</v>
      </c>
      <c r="E530" s="107" t="s">
        <v>472</v>
      </c>
      <c r="F530" s="107">
        <v>760</v>
      </c>
      <c r="G530" s="195">
        <v>12</v>
      </c>
      <c r="H530" s="107"/>
    </row>
    <row r="531" spans="1:8">
      <c r="A531" s="107">
        <v>29</v>
      </c>
      <c r="B531" s="107">
        <v>5</v>
      </c>
      <c r="C531" s="107">
        <v>1</v>
      </c>
      <c r="D531" s="107" t="s">
        <v>473</v>
      </c>
      <c r="E531" s="107" t="s">
        <v>474</v>
      </c>
      <c r="F531" s="107">
        <v>630</v>
      </c>
      <c r="G531" s="195">
        <v>10</v>
      </c>
      <c r="H531" s="107">
        <v>1690</v>
      </c>
    </row>
    <row r="532" spans="1:8">
      <c r="A532" s="107">
        <v>29</v>
      </c>
      <c r="B532" s="107">
        <v>5</v>
      </c>
      <c r="C532" s="107">
        <v>2</v>
      </c>
      <c r="D532" s="107" t="s">
        <v>473</v>
      </c>
      <c r="E532" s="107" t="s">
        <v>474</v>
      </c>
      <c r="F532" s="107">
        <v>1100</v>
      </c>
      <c r="G532" s="195">
        <v>13</v>
      </c>
      <c r="H532" s="107"/>
    </row>
    <row r="533" spans="1:8">
      <c r="A533" s="107">
        <v>29</v>
      </c>
      <c r="B533" s="107">
        <v>5</v>
      </c>
      <c r="C533" s="107">
        <v>3</v>
      </c>
      <c r="D533" s="107" t="s">
        <v>473</v>
      </c>
      <c r="E533" s="107" t="s">
        <v>474</v>
      </c>
      <c r="F533" s="107">
        <v>1000</v>
      </c>
      <c r="G533" s="195">
        <v>11</v>
      </c>
      <c r="H533" s="107"/>
    </row>
    <row r="534" spans="1:8">
      <c r="A534" s="107">
        <v>29</v>
      </c>
      <c r="B534" s="107">
        <v>6</v>
      </c>
      <c r="C534" s="107">
        <v>1</v>
      </c>
      <c r="D534" s="107" t="s">
        <v>475</v>
      </c>
      <c r="E534" s="107" t="s">
        <v>476</v>
      </c>
      <c r="F534" s="107">
        <v>1100</v>
      </c>
      <c r="G534" s="195">
        <v>10</v>
      </c>
      <c r="H534" s="107">
        <v>1470</v>
      </c>
    </row>
    <row r="535" spans="1:8">
      <c r="A535" s="107">
        <v>29</v>
      </c>
      <c r="B535" s="107">
        <v>6</v>
      </c>
      <c r="C535" s="107">
        <v>2</v>
      </c>
      <c r="D535" s="107" t="s">
        <v>475</v>
      </c>
      <c r="E535" s="107" t="s">
        <v>476</v>
      </c>
      <c r="F535" s="107">
        <v>1130</v>
      </c>
      <c r="G535" s="195">
        <v>10</v>
      </c>
      <c r="H535" s="107"/>
    </row>
    <row r="536" spans="1:8">
      <c r="A536" s="107">
        <v>29</v>
      </c>
      <c r="B536" s="107">
        <v>6</v>
      </c>
      <c r="C536" s="107">
        <v>3</v>
      </c>
      <c r="D536" s="107" t="s">
        <v>475</v>
      </c>
      <c r="E536" s="107" t="s">
        <v>476</v>
      </c>
      <c r="F536" s="107">
        <v>1050</v>
      </c>
      <c r="G536" s="195">
        <v>12</v>
      </c>
      <c r="H536" s="107"/>
    </row>
    <row r="537" spans="1:8">
      <c r="A537" s="107">
        <v>30</v>
      </c>
      <c r="B537" s="107">
        <v>1</v>
      </c>
      <c r="C537" s="107">
        <v>1</v>
      </c>
      <c r="D537" s="107" t="s">
        <v>477</v>
      </c>
      <c r="E537" s="107" t="s">
        <v>478</v>
      </c>
      <c r="F537" s="107">
        <v>1320</v>
      </c>
      <c r="G537" s="195">
        <v>12</v>
      </c>
      <c r="H537" s="107">
        <v>1470</v>
      </c>
    </row>
    <row r="538" spans="1:8">
      <c r="A538" s="107">
        <v>30</v>
      </c>
      <c r="B538" s="107">
        <v>1</v>
      </c>
      <c r="C538" s="107">
        <v>2</v>
      </c>
      <c r="D538" s="107" t="s">
        <v>477</v>
      </c>
      <c r="E538" s="107" t="s">
        <v>478</v>
      </c>
      <c r="F538" s="107">
        <v>830</v>
      </c>
      <c r="G538" s="195">
        <v>13</v>
      </c>
      <c r="H538" s="107"/>
    </row>
    <row r="539" spans="1:8">
      <c r="A539" s="107">
        <v>30</v>
      </c>
      <c r="B539" s="107">
        <v>1</v>
      </c>
      <c r="C539" s="107">
        <v>3</v>
      </c>
      <c r="D539" s="107" t="s">
        <v>477</v>
      </c>
      <c r="E539" s="107" t="s">
        <v>478</v>
      </c>
      <c r="F539" s="107">
        <v>1020</v>
      </c>
      <c r="G539" s="195">
        <v>12</v>
      </c>
      <c r="H539" s="107"/>
    </row>
    <row r="540" spans="1:8">
      <c r="A540" s="107">
        <v>30</v>
      </c>
      <c r="B540" s="107">
        <v>2</v>
      </c>
      <c r="C540" s="107">
        <v>1</v>
      </c>
      <c r="D540" s="107" t="s">
        <v>479</v>
      </c>
      <c r="E540" s="107" t="s">
        <v>480</v>
      </c>
      <c r="F540" s="107">
        <v>160</v>
      </c>
      <c r="G540" s="195">
        <v>11</v>
      </c>
      <c r="H540" s="107">
        <v>1450</v>
      </c>
    </row>
    <row r="541" spans="1:8">
      <c r="A541" s="107">
        <v>30</v>
      </c>
      <c r="B541" s="107">
        <v>2</v>
      </c>
      <c r="C541" s="107">
        <v>2</v>
      </c>
      <c r="D541" s="107" t="s">
        <v>479</v>
      </c>
      <c r="E541" s="107" t="s">
        <v>480</v>
      </c>
      <c r="F541" s="107">
        <v>760</v>
      </c>
      <c r="G541" s="195">
        <v>12</v>
      </c>
      <c r="H541" s="107"/>
    </row>
    <row r="542" spans="1:8">
      <c r="A542" s="107">
        <v>30</v>
      </c>
      <c r="B542" s="107">
        <v>2</v>
      </c>
      <c r="C542" s="107">
        <v>3</v>
      </c>
      <c r="D542" s="107" t="s">
        <v>479</v>
      </c>
      <c r="E542" s="107" t="s">
        <v>480</v>
      </c>
      <c r="F542" s="107">
        <v>180</v>
      </c>
      <c r="G542" s="195">
        <v>11</v>
      </c>
      <c r="H542" s="107"/>
    </row>
    <row r="544" spans="1:8">
      <c r="A544" s="107">
        <v>30</v>
      </c>
      <c r="B544" s="107">
        <v>3</v>
      </c>
      <c r="C544" s="107">
        <v>1</v>
      </c>
      <c r="D544" s="107" t="s">
        <v>481</v>
      </c>
      <c r="E544" s="107" t="s">
        <v>482</v>
      </c>
      <c r="F544" s="107">
        <v>1240</v>
      </c>
      <c r="G544" s="107">
        <v>13</v>
      </c>
      <c r="H544" s="107">
        <v>1580</v>
      </c>
    </row>
    <row r="545" spans="1:8">
      <c r="A545" s="107">
        <v>30</v>
      </c>
      <c r="B545" s="107">
        <v>3</v>
      </c>
      <c r="C545" s="107">
        <v>2</v>
      </c>
      <c r="D545" s="107" t="s">
        <v>481</v>
      </c>
      <c r="E545" s="107" t="s">
        <v>482</v>
      </c>
      <c r="F545" s="107">
        <v>1020</v>
      </c>
      <c r="G545" s="107">
        <v>10</v>
      </c>
      <c r="H545" s="107"/>
    </row>
    <row r="546" spans="1:8">
      <c r="A546" s="107">
        <v>30</v>
      </c>
      <c r="B546" s="107">
        <v>3</v>
      </c>
      <c r="C546" s="107">
        <v>3</v>
      </c>
      <c r="D546" s="107" t="s">
        <v>481</v>
      </c>
      <c r="E546" s="107" t="s">
        <v>482</v>
      </c>
      <c r="F546" s="107">
        <v>830</v>
      </c>
      <c r="G546" s="107">
        <v>11</v>
      </c>
      <c r="H546" s="107"/>
    </row>
    <row r="547" spans="1:8">
      <c r="A547" s="107">
        <v>30</v>
      </c>
      <c r="B547" s="107">
        <v>4</v>
      </c>
      <c r="C547" s="107">
        <v>1</v>
      </c>
      <c r="D547" s="107" t="s">
        <v>483</v>
      </c>
      <c r="E547" s="107" t="s">
        <v>484</v>
      </c>
      <c r="F547" s="107">
        <v>1160</v>
      </c>
      <c r="G547" s="107">
        <v>13</v>
      </c>
      <c r="H547" s="107">
        <v>1510</v>
      </c>
    </row>
    <row r="548" spans="1:8">
      <c r="A548" s="107">
        <v>30</v>
      </c>
      <c r="B548" s="107">
        <v>4</v>
      </c>
      <c r="C548" s="107">
        <v>2</v>
      </c>
      <c r="D548" s="107" t="s">
        <v>483</v>
      </c>
      <c r="E548" s="107" t="s">
        <v>484</v>
      </c>
      <c r="F548" s="107">
        <v>1210</v>
      </c>
      <c r="G548" s="195">
        <v>10</v>
      </c>
      <c r="H548" s="107"/>
    </row>
    <row r="549" spans="1:8">
      <c r="A549" s="107">
        <v>30</v>
      </c>
      <c r="B549" s="107">
        <v>4</v>
      </c>
      <c r="C549" s="107">
        <v>3</v>
      </c>
      <c r="D549" s="107" t="s">
        <v>483</v>
      </c>
      <c r="E549" s="107" t="s">
        <v>484</v>
      </c>
      <c r="F549" s="107">
        <v>1040</v>
      </c>
      <c r="G549" s="195">
        <v>10</v>
      </c>
      <c r="H549" s="107"/>
    </row>
    <row r="550" spans="1:8">
      <c r="A550" s="107">
        <v>30</v>
      </c>
      <c r="B550" s="107">
        <v>5</v>
      </c>
      <c r="C550" s="107">
        <v>1</v>
      </c>
      <c r="D550" s="107" t="s">
        <v>485</v>
      </c>
      <c r="E550" s="107" t="s">
        <v>486</v>
      </c>
      <c r="F550" s="107">
        <v>1220</v>
      </c>
      <c r="G550" s="195">
        <v>11</v>
      </c>
      <c r="H550" s="107">
        <v>1460</v>
      </c>
    </row>
    <row r="551" spans="1:8">
      <c r="A551" s="107">
        <v>30</v>
      </c>
      <c r="B551" s="107">
        <v>5</v>
      </c>
      <c r="C551" s="107">
        <v>2</v>
      </c>
      <c r="D551" s="107" t="s">
        <v>485</v>
      </c>
      <c r="E551" s="107" t="s">
        <v>486</v>
      </c>
      <c r="F551" s="196">
        <v>1120</v>
      </c>
      <c r="G551" s="195">
        <v>10</v>
      </c>
      <c r="H551" s="107"/>
    </row>
    <row r="552" spans="1:8">
      <c r="A552" s="107">
        <v>30</v>
      </c>
      <c r="B552" s="107">
        <v>5</v>
      </c>
      <c r="C552" s="107">
        <v>3</v>
      </c>
      <c r="D552" s="107" t="s">
        <v>485</v>
      </c>
      <c r="E552" s="107" t="s">
        <v>486</v>
      </c>
      <c r="F552" s="107">
        <v>1060</v>
      </c>
      <c r="G552" s="195">
        <v>11</v>
      </c>
      <c r="H552" s="107"/>
    </row>
    <row r="553" spans="1:8">
      <c r="A553" s="107">
        <v>30</v>
      </c>
      <c r="B553" s="107">
        <v>6</v>
      </c>
      <c r="C553" s="107">
        <v>1</v>
      </c>
      <c r="D553" s="107" t="s">
        <v>487</v>
      </c>
      <c r="E553" s="107" t="s">
        <v>488</v>
      </c>
      <c r="F553" s="107">
        <v>1340</v>
      </c>
      <c r="G553" s="195">
        <v>11</v>
      </c>
      <c r="H553" s="107">
        <v>1530</v>
      </c>
    </row>
    <row r="554" spans="1:8">
      <c r="A554" s="107">
        <v>30</v>
      </c>
      <c r="B554" s="107">
        <v>6</v>
      </c>
      <c r="C554" s="107">
        <v>2</v>
      </c>
      <c r="D554" s="107" t="s">
        <v>487</v>
      </c>
      <c r="E554" s="107" t="s">
        <v>488</v>
      </c>
      <c r="F554" s="107">
        <v>1100</v>
      </c>
      <c r="G554" s="195">
        <v>10</v>
      </c>
      <c r="H554" s="107"/>
    </row>
    <row r="555" spans="1:8">
      <c r="A555" s="107">
        <v>30</v>
      </c>
      <c r="B555" s="107">
        <v>6</v>
      </c>
      <c r="C555" s="107">
        <v>3</v>
      </c>
      <c r="D555" s="107" t="s">
        <v>487</v>
      </c>
      <c r="E555" s="107" t="s">
        <v>488</v>
      </c>
      <c r="F555" s="107">
        <v>1170</v>
      </c>
      <c r="G555" s="195">
        <v>10</v>
      </c>
      <c r="H555" s="107"/>
    </row>
    <row r="556" spans="1:8">
      <c r="A556" s="107">
        <v>31</v>
      </c>
      <c r="B556" s="107">
        <v>1</v>
      </c>
      <c r="C556" s="107">
        <v>1</v>
      </c>
      <c r="D556" s="107" t="s">
        <v>489</v>
      </c>
      <c r="E556" s="107" t="s">
        <v>490</v>
      </c>
      <c r="F556" s="107">
        <v>1060</v>
      </c>
      <c r="G556" s="195">
        <v>15</v>
      </c>
      <c r="H556" s="107">
        <v>1330</v>
      </c>
    </row>
    <row r="557" spans="1:8">
      <c r="A557" s="107">
        <v>31</v>
      </c>
      <c r="B557" s="107">
        <v>1</v>
      </c>
      <c r="C557" s="107">
        <v>2</v>
      </c>
      <c r="D557" s="107" t="s">
        <v>489</v>
      </c>
      <c r="E557" s="107" t="s">
        <v>490</v>
      </c>
      <c r="F557" s="107">
        <v>1090</v>
      </c>
      <c r="G557" s="195">
        <v>15</v>
      </c>
      <c r="H557" s="107"/>
    </row>
    <row r="558" spans="1:8">
      <c r="A558" s="107">
        <v>31</v>
      </c>
      <c r="B558" s="107">
        <v>1</v>
      </c>
      <c r="C558" s="107">
        <v>3</v>
      </c>
      <c r="D558" s="107" t="s">
        <v>489</v>
      </c>
      <c r="E558" s="107" t="s">
        <v>490</v>
      </c>
      <c r="F558" s="107">
        <v>920</v>
      </c>
      <c r="G558" s="195">
        <v>14</v>
      </c>
      <c r="H558" s="196"/>
    </row>
    <row r="559" spans="1:8">
      <c r="A559" s="107">
        <v>31</v>
      </c>
      <c r="B559" s="107">
        <v>2</v>
      </c>
      <c r="C559" s="107">
        <v>1</v>
      </c>
      <c r="D559" s="107" t="s">
        <v>491</v>
      </c>
      <c r="E559" s="107" t="s">
        <v>492</v>
      </c>
      <c r="F559" s="107">
        <v>650</v>
      </c>
      <c r="G559" s="195">
        <v>12</v>
      </c>
      <c r="H559" s="107">
        <v>1160</v>
      </c>
    </row>
    <row r="560" spans="1:8">
      <c r="A560" s="107">
        <v>31</v>
      </c>
      <c r="B560" s="107">
        <v>2</v>
      </c>
      <c r="C560" s="107">
        <v>2</v>
      </c>
      <c r="D560" s="107" t="s">
        <v>491</v>
      </c>
      <c r="E560" s="107" t="s">
        <v>492</v>
      </c>
      <c r="F560" s="107">
        <v>990</v>
      </c>
      <c r="G560" s="195">
        <v>11</v>
      </c>
      <c r="H560" s="107"/>
    </row>
    <row r="561" spans="1:8">
      <c r="A561" s="107">
        <v>31</v>
      </c>
      <c r="B561" s="107">
        <v>2</v>
      </c>
      <c r="C561" s="107">
        <v>3</v>
      </c>
      <c r="D561" s="107" t="s">
        <v>491</v>
      </c>
      <c r="E561" s="107" t="s">
        <v>492</v>
      </c>
      <c r="F561" s="107">
        <v>1030</v>
      </c>
      <c r="G561" s="195">
        <v>13</v>
      </c>
      <c r="H561" s="107"/>
    </row>
    <row r="562" spans="1:8">
      <c r="A562" s="107">
        <v>31</v>
      </c>
      <c r="B562" s="107">
        <v>3</v>
      </c>
      <c r="C562" s="107">
        <v>1</v>
      </c>
      <c r="D562" s="107" t="s">
        <v>493</v>
      </c>
      <c r="E562" s="107" t="s">
        <v>494</v>
      </c>
      <c r="F562" s="107">
        <v>1120</v>
      </c>
      <c r="G562" s="195">
        <v>12</v>
      </c>
      <c r="H562" s="107">
        <v>1310</v>
      </c>
    </row>
    <row r="563" spans="1:8">
      <c r="A563" s="107">
        <v>31</v>
      </c>
      <c r="B563" s="107">
        <v>3</v>
      </c>
      <c r="C563" s="107">
        <v>2</v>
      </c>
      <c r="D563" s="107" t="s">
        <v>493</v>
      </c>
      <c r="E563" s="107" t="s">
        <v>494</v>
      </c>
      <c r="F563" s="107">
        <v>920</v>
      </c>
      <c r="G563" s="195">
        <v>12</v>
      </c>
      <c r="H563" s="107"/>
    </row>
    <row r="564" spans="1:8">
      <c r="A564" s="107">
        <v>31</v>
      </c>
      <c r="B564" s="107">
        <v>3</v>
      </c>
      <c r="C564" s="107">
        <v>3</v>
      </c>
      <c r="D564" s="107" t="s">
        <v>493</v>
      </c>
      <c r="E564" s="107" t="s">
        <v>494</v>
      </c>
      <c r="F564" s="107">
        <v>1130</v>
      </c>
      <c r="G564" s="195">
        <v>11</v>
      </c>
      <c r="H564" s="107"/>
    </row>
    <row r="565" spans="1:8">
      <c r="A565" s="107">
        <v>31</v>
      </c>
      <c r="B565" s="107">
        <v>4</v>
      </c>
      <c r="C565" s="107">
        <v>1</v>
      </c>
      <c r="D565" s="107" t="s">
        <v>495</v>
      </c>
      <c r="E565" s="107" t="s">
        <v>496</v>
      </c>
      <c r="F565" s="107">
        <v>1050</v>
      </c>
      <c r="G565" s="195">
        <v>10</v>
      </c>
      <c r="H565" s="107">
        <v>1050</v>
      </c>
    </row>
    <row r="566" spans="1:8">
      <c r="A566" s="107">
        <v>31</v>
      </c>
      <c r="B566" s="107">
        <v>4</v>
      </c>
      <c r="C566" s="107">
        <v>2</v>
      </c>
      <c r="D566" s="107" t="s">
        <v>495</v>
      </c>
      <c r="E566" s="107" t="s">
        <v>496</v>
      </c>
      <c r="F566" s="107">
        <v>890</v>
      </c>
      <c r="G566" s="195">
        <v>10</v>
      </c>
      <c r="H566" s="107"/>
    </row>
    <row r="567" spans="1:8">
      <c r="A567" s="107">
        <v>31</v>
      </c>
      <c r="B567" s="107">
        <v>4</v>
      </c>
      <c r="C567" s="107">
        <v>3</v>
      </c>
      <c r="D567" s="107" t="s">
        <v>495</v>
      </c>
      <c r="E567" s="107" t="s">
        <v>496</v>
      </c>
      <c r="F567" s="107">
        <v>940</v>
      </c>
      <c r="G567" s="195">
        <v>9</v>
      </c>
      <c r="H567" s="107"/>
    </row>
    <row r="568" spans="1:8">
      <c r="A568" s="107">
        <v>31</v>
      </c>
      <c r="B568" s="107">
        <v>5</v>
      </c>
      <c r="C568" s="107">
        <v>1</v>
      </c>
      <c r="D568" s="107" t="s">
        <v>497</v>
      </c>
      <c r="E568" s="107" t="s">
        <v>496</v>
      </c>
      <c r="F568" s="107">
        <v>1130</v>
      </c>
      <c r="G568" s="195">
        <v>11</v>
      </c>
      <c r="H568" s="107">
        <v>1255</v>
      </c>
    </row>
    <row r="569" spans="1:8">
      <c r="A569" s="107">
        <v>31</v>
      </c>
      <c r="B569" s="107">
        <v>5</v>
      </c>
      <c r="C569" s="107">
        <v>2</v>
      </c>
      <c r="D569" s="107" t="s">
        <v>497</v>
      </c>
      <c r="E569" s="107" t="s">
        <v>496</v>
      </c>
      <c r="F569" s="107">
        <v>1120</v>
      </c>
      <c r="G569" s="195">
        <v>8</v>
      </c>
      <c r="H569" s="107"/>
    </row>
    <row r="570" spans="1:8">
      <c r="A570" s="107">
        <v>31</v>
      </c>
      <c r="B570" s="107">
        <v>5</v>
      </c>
      <c r="C570" s="107">
        <v>3</v>
      </c>
      <c r="D570" s="107" t="s">
        <v>497</v>
      </c>
      <c r="E570" s="107" t="s">
        <v>496</v>
      </c>
      <c r="F570" s="107">
        <v>1120</v>
      </c>
      <c r="G570" s="195">
        <v>10</v>
      </c>
      <c r="H570" s="107"/>
    </row>
    <row r="571" spans="1:8">
      <c r="A571" s="107">
        <v>31</v>
      </c>
      <c r="B571" s="107">
        <v>6</v>
      </c>
      <c r="C571" s="107">
        <v>1</v>
      </c>
      <c r="D571" s="107" t="s">
        <v>498</v>
      </c>
      <c r="E571" s="107" t="s">
        <v>499</v>
      </c>
      <c r="F571" s="107">
        <v>1060</v>
      </c>
      <c r="G571" s="195">
        <v>11</v>
      </c>
      <c r="H571" s="107">
        <v>1200</v>
      </c>
    </row>
    <row r="572" spans="1:8">
      <c r="A572" s="107">
        <v>31</v>
      </c>
      <c r="B572" s="107">
        <v>6</v>
      </c>
      <c r="C572" s="107">
        <v>2</v>
      </c>
      <c r="D572" s="107" t="s">
        <v>498</v>
      </c>
      <c r="E572" s="107" t="s">
        <v>499</v>
      </c>
      <c r="F572" s="107">
        <v>1090</v>
      </c>
      <c r="G572" s="195">
        <v>12</v>
      </c>
      <c r="H572" s="107"/>
    </row>
    <row r="573" spans="1:8">
      <c r="A573" s="107">
        <v>31</v>
      </c>
      <c r="B573" s="107">
        <v>6</v>
      </c>
      <c r="C573" s="107">
        <v>3</v>
      </c>
      <c r="D573" s="107" t="s">
        <v>498</v>
      </c>
      <c r="E573" s="107" t="s">
        <v>499</v>
      </c>
      <c r="F573" s="107">
        <v>1110</v>
      </c>
      <c r="G573" s="195">
        <v>9</v>
      </c>
      <c r="H573" s="107"/>
    </row>
    <row r="574" spans="1:8">
      <c r="A574" s="107">
        <v>32</v>
      </c>
      <c r="B574" s="107">
        <v>1</v>
      </c>
      <c r="C574" s="107">
        <v>1</v>
      </c>
      <c r="D574" s="107" t="s">
        <v>500</v>
      </c>
      <c r="E574" s="107" t="s">
        <v>501</v>
      </c>
      <c r="F574" s="107">
        <v>1390</v>
      </c>
      <c r="G574" s="195">
        <v>12</v>
      </c>
      <c r="H574" s="107">
        <v>1540</v>
      </c>
    </row>
    <row r="575" spans="1:8">
      <c r="A575" s="107">
        <v>32</v>
      </c>
      <c r="B575" s="107">
        <v>1</v>
      </c>
      <c r="C575" s="107">
        <v>2</v>
      </c>
      <c r="D575" s="107" t="s">
        <v>500</v>
      </c>
      <c r="E575" s="107" t="s">
        <v>501</v>
      </c>
      <c r="F575" s="107">
        <v>1370</v>
      </c>
      <c r="G575" s="195">
        <v>12</v>
      </c>
      <c r="H575" s="107"/>
    </row>
    <row r="576" spans="1:8">
      <c r="A576" s="107">
        <v>32</v>
      </c>
      <c r="B576" s="107">
        <v>1</v>
      </c>
      <c r="C576" s="107">
        <v>3</v>
      </c>
      <c r="D576" s="107" t="s">
        <v>500</v>
      </c>
      <c r="E576" s="107" t="s">
        <v>501</v>
      </c>
      <c r="F576" s="107">
        <v>1240</v>
      </c>
      <c r="G576" s="195">
        <v>11</v>
      </c>
      <c r="H576" s="107"/>
    </row>
    <row r="577" spans="1:8">
      <c r="A577" s="107">
        <v>32</v>
      </c>
      <c r="B577" s="107">
        <v>2</v>
      </c>
      <c r="C577" s="107">
        <v>1</v>
      </c>
      <c r="D577" s="107" t="s">
        <v>502</v>
      </c>
      <c r="E577" s="107" t="s">
        <v>503</v>
      </c>
      <c r="F577" s="107">
        <v>1310</v>
      </c>
      <c r="G577" s="195">
        <v>11</v>
      </c>
      <c r="H577" s="107">
        <v>1450</v>
      </c>
    </row>
    <row r="578" spans="1:8">
      <c r="A578" s="107">
        <v>32</v>
      </c>
      <c r="B578" s="107">
        <v>2</v>
      </c>
      <c r="C578" s="107">
        <v>2</v>
      </c>
      <c r="D578" s="107" t="s">
        <v>502</v>
      </c>
      <c r="E578" s="107" t="s">
        <v>503</v>
      </c>
      <c r="F578" s="107">
        <v>1320</v>
      </c>
      <c r="G578" s="195">
        <v>10</v>
      </c>
      <c r="H578" s="107"/>
    </row>
    <row r="579" spans="1:8">
      <c r="A579" s="107">
        <v>32</v>
      </c>
      <c r="B579" s="107">
        <v>2</v>
      </c>
      <c r="C579" s="107">
        <v>3</v>
      </c>
      <c r="D579" s="107" t="s">
        <v>502</v>
      </c>
      <c r="E579" s="107" t="s">
        <v>503</v>
      </c>
      <c r="F579" s="107">
        <v>1310</v>
      </c>
      <c r="G579" s="195">
        <v>10</v>
      </c>
      <c r="H579" s="107"/>
    </row>
    <row r="580" spans="1:8">
      <c r="A580" s="107">
        <v>32</v>
      </c>
      <c r="B580" s="107">
        <v>3</v>
      </c>
      <c r="C580" s="107">
        <v>1</v>
      </c>
      <c r="D580" s="107" t="s">
        <v>504</v>
      </c>
      <c r="E580" s="107" t="s">
        <v>505</v>
      </c>
      <c r="F580" s="107">
        <v>1510</v>
      </c>
      <c r="G580" s="195">
        <v>10</v>
      </c>
      <c r="H580" s="107">
        <v>1750</v>
      </c>
    </row>
    <row r="581" spans="1:8">
      <c r="A581" s="107">
        <v>32</v>
      </c>
      <c r="B581" s="107">
        <v>3</v>
      </c>
      <c r="C581" s="107">
        <v>2</v>
      </c>
      <c r="D581" s="107" t="s">
        <v>504</v>
      </c>
      <c r="E581" s="107" t="s">
        <v>505</v>
      </c>
      <c r="F581" s="107">
        <v>1200</v>
      </c>
      <c r="G581" s="195">
        <v>12</v>
      </c>
      <c r="H581" s="107"/>
    </row>
    <row r="582" spans="1:8">
      <c r="A582" s="107">
        <v>32</v>
      </c>
      <c r="B582" s="107">
        <v>3</v>
      </c>
      <c r="C582" s="107">
        <v>3</v>
      </c>
      <c r="D582" s="107" t="s">
        <v>504</v>
      </c>
      <c r="E582" s="107" t="s">
        <v>505</v>
      </c>
      <c r="F582" s="107">
        <v>1150</v>
      </c>
      <c r="G582" s="195">
        <v>12</v>
      </c>
      <c r="H582" s="107"/>
    </row>
    <row r="583" spans="1:8">
      <c r="A583" s="107">
        <v>32</v>
      </c>
      <c r="B583" s="107">
        <v>4</v>
      </c>
      <c r="C583" s="107">
        <v>1</v>
      </c>
      <c r="D583" s="107" t="s">
        <v>506</v>
      </c>
      <c r="E583" s="107" t="s">
        <v>507</v>
      </c>
      <c r="F583" s="107">
        <v>830</v>
      </c>
      <c r="G583" s="195">
        <v>11</v>
      </c>
      <c r="H583" s="107">
        <v>1500</v>
      </c>
    </row>
    <row r="584" spans="1:8">
      <c r="A584" s="107">
        <v>32</v>
      </c>
      <c r="B584" s="107">
        <v>4</v>
      </c>
      <c r="C584" s="107">
        <v>2</v>
      </c>
      <c r="D584" s="107" t="s">
        <v>506</v>
      </c>
      <c r="E584" s="107" t="s">
        <v>507</v>
      </c>
      <c r="F584" s="107">
        <v>1060</v>
      </c>
      <c r="G584" s="195">
        <v>11</v>
      </c>
      <c r="H584" s="107"/>
    </row>
    <row r="585" spans="1:8">
      <c r="A585" s="107">
        <v>32</v>
      </c>
      <c r="B585" s="107">
        <v>4</v>
      </c>
      <c r="C585" s="107">
        <v>3</v>
      </c>
      <c r="D585" s="107" t="s">
        <v>506</v>
      </c>
      <c r="E585" s="107" t="s">
        <v>507</v>
      </c>
      <c r="F585" s="107">
        <v>1100</v>
      </c>
      <c r="G585" s="195">
        <v>12</v>
      </c>
      <c r="H585" s="107"/>
    </row>
    <row r="586" spans="1:8">
      <c r="A586" s="107">
        <v>32</v>
      </c>
      <c r="B586" s="107">
        <v>5</v>
      </c>
      <c r="C586" s="107">
        <v>1</v>
      </c>
      <c r="D586" s="107" t="s">
        <v>508</v>
      </c>
      <c r="E586" s="107" t="s">
        <v>509</v>
      </c>
      <c r="F586" s="107">
        <v>1300</v>
      </c>
      <c r="G586" s="195">
        <v>12</v>
      </c>
      <c r="H586" s="107">
        <v>1600</v>
      </c>
    </row>
    <row r="587" spans="1:8">
      <c r="A587" s="107">
        <v>32</v>
      </c>
      <c r="B587" s="107">
        <v>5</v>
      </c>
      <c r="C587" s="107">
        <v>2</v>
      </c>
      <c r="D587" s="107" t="s">
        <v>508</v>
      </c>
      <c r="E587" s="107" t="s">
        <v>509</v>
      </c>
      <c r="F587" s="107">
        <v>1140</v>
      </c>
      <c r="G587" s="195">
        <v>13</v>
      </c>
      <c r="H587" s="107"/>
    </row>
    <row r="588" spans="1:8">
      <c r="A588" s="107">
        <v>32</v>
      </c>
      <c r="B588" s="107">
        <v>5</v>
      </c>
      <c r="C588" s="107">
        <v>3</v>
      </c>
      <c r="D588" s="107" t="s">
        <v>508</v>
      </c>
      <c r="E588" s="107" t="s">
        <v>509</v>
      </c>
      <c r="F588" s="107">
        <v>1260</v>
      </c>
      <c r="G588" s="195">
        <v>10</v>
      </c>
      <c r="H588" s="107"/>
    </row>
    <row r="589" spans="1:8">
      <c r="A589" s="107">
        <v>32</v>
      </c>
      <c r="B589" s="107">
        <v>6</v>
      </c>
      <c r="C589" s="107">
        <v>1</v>
      </c>
      <c r="D589" s="107" t="s">
        <v>510</v>
      </c>
      <c r="E589" s="107" t="s">
        <v>503</v>
      </c>
      <c r="F589" s="107">
        <v>1060</v>
      </c>
      <c r="G589" s="195">
        <v>12</v>
      </c>
      <c r="H589" s="107">
        <v>1550</v>
      </c>
    </row>
    <row r="590" spans="1:8">
      <c r="A590" s="107">
        <v>32</v>
      </c>
      <c r="B590" s="107">
        <v>6</v>
      </c>
      <c r="C590" s="107">
        <v>2</v>
      </c>
      <c r="D590" s="107" t="s">
        <v>510</v>
      </c>
      <c r="E590" s="107" t="s">
        <v>503</v>
      </c>
      <c r="F590" s="107">
        <v>1300</v>
      </c>
      <c r="G590" s="195">
        <v>12</v>
      </c>
      <c r="H590" s="107"/>
    </row>
    <row r="591" spans="1:8">
      <c r="A591" s="107">
        <v>32</v>
      </c>
      <c r="B591" s="107">
        <v>6</v>
      </c>
      <c r="C591" s="107">
        <v>3</v>
      </c>
      <c r="D591" s="107" t="s">
        <v>510</v>
      </c>
      <c r="E591" s="107" t="s">
        <v>503</v>
      </c>
      <c r="F591" s="107">
        <v>1160</v>
      </c>
      <c r="G591" s="195">
        <v>13</v>
      </c>
      <c r="H591" s="107"/>
    </row>
    <row r="593" spans="1:8">
      <c r="A593" s="107">
        <v>33</v>
      </c>
      <c r="B593" s="107">
        <v>1</v>
      </c>
      <c r="C593" s="107">
        <v>1</v>
      </c>
      <c r="D593" s="107" t="s">
        <v>511</v>
      </c>
      <c r="E593" s="107" t="s">
        <v>512</v>
      </c>
      <c r="F593" s="107">
        <v>1210</v>
      </c>
      <c r="G593" s="107">
        <v>13</v>
      </c>
      <c r="H593" s="107">
        <v>1430</v>
      </c>
    </row>
    <row r="594" spans="1:8">
      <c r="A594" s="107">
        <v>33</v>
      </c>
      <c r="B594" s="107">
        <v>1</v>
      </c>
      <c r="C594" s="107">
        <v>2</v>
      </c>
      <c r="D594" s="107" t="s">
        <v>511</v>
      </c>
      <c r="E594" s="107" t="s">
        <v>512</v>
      </c>
      <c r="F594" s="107">
        <v>1030</v>
      </c>
      <c r="G594" s="195">
        <v>12</v>
      </c>
      <c r="H594" s="107"/>
    </row>
    <row r="595" spans="1:8">
      <c r="A595" s="107">
        <v>33</v>
      </c>
      <c r="B595" s="107">
        <v>1</v>
      </c>
      <c r="C595" s="107">
        <v>3</v>
      </c>
      <c r="D595" s="107" t="s">
        <v>511</v>
      </c>
      <c r="E595" s="107" t="s">
        <v>512</v>
      </c>
      <c r="F595" s="107">
        <v>690</v>
      </c>
      <c r="G595" s="195">
        <v>12</v>
      </c>
      <c r="H595" s="107"/>
    </row>
    <row r="596" spans="1:8">
      <c r="A596" s="107">
        <v>33</v>
      </c>
      <c r="B596" s="107">
        <v>2</v>
      </c>
      <c r="C596" s="107">
        <v>1</v>
      </c>
      <c r="D596" s="107" t="s">
        <v>513</v>
      </c>
      <c r="E596" s="107" t="s">
        <v>505</v>
      </c>
      <c r="F596" s="107">
        <v>880</v>
      </c>
      <c r="G596" s="195">
        <v>12</v>
      </c>
      <c r="H596" s="107">
        <v>1330</v>
      </c>
    </row>
    <row r="597" spans="1:8">
      <c r="A597" s="107">
        <v>33</v>
      </c>
      <c r="B597" s="107">
        <v>2</v>
      </c>
      <c r="C597" s="107">
        <v>2</v>
      </c>
      <c r="D597" s="107" t="s">
        <v>513</v>
      </c>
      <c r="E597" s="107" t="s">
        <v>505</v>
      </c>
      <c r="F597" s="107">
        <v>900</v>
      </c>
      <c r="G597" s="195">
        <v>11</v>
      </c>
      <c r="H597" s="107"/>
    </row>
    <row r="598" spans="1:8">
      <c r="A598" s="107">
        <v>33</v>
      </c>
      <c r="B598" s="107">
        <v>2</v>
      </c>
      <c r="C598" s="107">
        <v>3</v>
      </c>
      <c r="D598" s="107" t="s">
        <v>513</v>
      </c>
      <c r="E598" s="107" t="s">
        <v>505</v>
      </c>
      <c r="F598" s="107">
        <v>1100</v>
      </c>
      <c r="G598" s="195">
        <v>13</v>
      </c>
      <c r="H598" s="107"/>
    </row>
    <row r="599" spans="1:8">
      <c r="A599" s="107">
        <v>33</v>
      </c>
      <c r="B599" s="107">
        <v>3</v>
      </c>
      <c r="C599" s="107">
        <v>1</v>
      </c>
      <c r="D599" s="107" t="s">
        <v>514</v>
      </c>
      <c r="E599" s="107" t="s">
        <v>515</v>
      </c>
      <c r="F599" s="107">
        <v>1190</v>
      </c>
      <c r="G599" s="195">
        <v>14</v>
      </c>
      <c r="H599" s="107">
        <v>1550</v>
      </c>
    </row>
    <row r="600" spans="1:8">
      <c r="A600" s="107">
        <v>33</v>
      </c>
      <c r="B600" s="107">
        <v>3</v>
      </c>
      <c r="C600" s="107">
        <v>2</v>
      </c>
      <c r="D600" s="107" t="s">
        <v>514</v>
      </c>
      <c r="E600" s="107" t="s">
        <v>515</v>
      </c>
      <c r="F600" s="107">
        <v>1050</v>
      </c>
      <c r="G600" s="195">
        <v>10</v>
      </c>
      <c r="H600" s="107"/>
    </row>
    <row r="601" spans="1:8">
      <c r="A601" s="107">
        <v>33</v>
      </c>
      <c r="B601" s="107">
        <v>3</v>
      </c>
      <c r="C601" s="107">
        <v>3</v>
      </c>
      <c r="D601" s="107" t="s">
        <v>514</v>
      </c>
      <c r="E601" s="107" t="s">
        <v>515</v>
      </c>
      <c r="F601" s="196">
        <v>1160</v>
      </c>
      <c r="G601" s="195">
        <v>13</v>
      </c>
      <c r="H601" s="107"/>
    </row>
    <row r="602" spans="1:8">
      <c r="A602" s="107">
        <v>33</v>
      </c>
      <c r="B602" s="107">
        <v>4</v>
      </c>
      <c r="C602" s="107">
        <v>1</v>
      </c>
      <c r="D602" s="107" t="s">
        <v>516</v>
      </c>
      <c r="E602" s="107" t="s">
        <v>503</v>
      </c>
      <c r="F602" s="107">
        <v>1210</v>
      </c>
      <c r="G602" s="195">
        <v>15</v>
      </c>
      <c r="H602" s="107">
        <v>1500</v>
      </c>
    </row>
    <row r="603" spans="1:8">
      <c r="A603" s="107">
        <v>33</v>
      </c>
      <c r="B603" s="107">
        <v>4</v>
      </c>
      <c r="C603" s="107">
        <v>2</v>
      </c>
      <c r="D603" s="107" t="s">
        <v>516</v>
      </c>
      <c r="E603" s="107" t="s">
        <v>503</v>
      </c>
      <c r="F603" s="107">
        <v>1170</v>
      </c>
      <c r="G603" s="195">
        <v>12</v>
      </c>
      <c r="H603" s="107"/>
    </row>
    <row r="604" spans="1:8">
      <c r="A604" s="107">
        <v>33</v>
      </c>
      <c r="B604" s="107">
        <v>4</v>
      </c>
      <c r="C604" s="107">
        <v>3</v>
      </c>
      <c r="D604" s="107" t="s">
        <v>516</v>
      </c>
      <c r="E604" s="107" t="s">
        <v>503</v>
      </c>
      <c r="F604" s="107">
        <v>970</v>
      </c>
      <c r="G604" s="195">
        <v>13</v>
      </c>
      <c r="H604" s="107"/>
    </row>
    <row r="605" spans="1:8">
      <c r="A605" s="107">
        <v>33</v>
      </c>
      <c r="B605" s="107">
        <v>5</v>
      </c>
      <c r="C605" s="107">
        <v>1</v>
      </c>
      <c r="D605" s="107" t="s">
        <v>517</v>
      </c>
      <c r="E605" s="107" t="s">
        <v>518</v>
      </c>
      <c r="F605" s="107">
        <v>1250</v>
      </c>
      <c r="G605" s="195">
        <v>15</v>
      </c>
      <c r="H605" s="107">
        <v>1850</v>
      </c>
    </row>
    <row r="606" spans="1:8">
      <c r="A606" s="107">
        <v>33</v>
      </c>
      <c r="B606" s="107">
        <v>5</v>
      </c>
      <c r="C606" s="107">
        <v>2</v>
      </c>
      <c r="D606" s="107" t="s">
        <v>517</v>
      </c>
      <c r="E606" s="107" t="s">
        <v>518</v>
      </c>
      <c r="F606" s="107">
        <v>530</v>
      </c>
      <c r="G606" s="195">
        <v>12</v>
      </c>
      <c r="H606" s="107"/>
    </row>
    <row r="607" spans="1:8">
      <c r="A607" s="107">
        <v>33</v>
      </c>
      <c r="B607" s="107">
        <v>5</v>
      </c>
      <c r="C607" s="107">
        <v>3</v>
      </c>
      <c r="D607" s="107" t="s">
        <v>517</v>
      </c>
      <c r="E607" s="107" t="s">
        <v>518</v>
      </c>
      <c r="F607" s="107">
        <v>1060</v>
      </c>
      <c r="G607" s="195">
        <v>14</v>
      </c>
      <c r="H607" s="107"/>
    </row>
    <row r="608" spans="1:8">
      <c r="A608" s="107">
        <v>33</v>
      </c>
      <c r="B608" s="107">
        <v>6</v>
      </c>
      <c r="C608" s="107">
        <v>1</v>
      </c>
      <c r="D608" s="107" t="s">
        <v>519</v>
      </c>
      <c r="E608" s="107" t="s">
        <v>503</v>
      </c>
      <c r="F608" s="107">
        <v>910</v>
      </c>
      <c r="G608" s="195">
        <v>12</v>
      </c>
      <c r="H608" s="107">
        <v>1400</v>
      </c>
    </row>
    <row r="609" spans="1:8">
      <c r="A609" s="107">
        <v>33</v>
      </c>
      <c r="B609" s="107">
        <v>6</v>
      </c>
      <c r="C609" s="107">
        <v>2</v>
      </c>
      <c r="D609" s="107" t="s">
        <v>519</v>
      </c>
      <c r="E609" s="107" t="s">
        <v>503</v>
      </c>
      <c r="F609" s="107">
        <v>1170</v>
      </c>
      <c r="G609" s="195">
        <v>13</v>
      </c>
      <c r="H609" s="196"/>
    </row>
    <row r="610" spans="1:8">
      <c r="A610" s="107">
        <v>33</v>
      </c>
      <c r="B610" s="107">
        <v>6</v>
      </c>
      <c r="C610" s="107">
        <v>3</v>
      </c>
      <c r="D610" s="107" t="s">
        <v>519</v>
      </c>
      <c r="E610" s="107" t="s">
        <v>503</v>
      </c>
      <c r="F610" s="107">
        <v>1170</v>
      </c>
      <c r="G610" s="195">
        <v>14</v>
      </c>
      <c r="H610" s="107"/>
    </row>
    <row r="611" spans="1:8">
      <c r="A611" s="107">
        <v>34</v>
      </c>
      <c r="B611" s="107">
        <v>1</v>
      </c>
      <c r="C611" s="107">
        <v>1</v>
      </c>
      <c r="D611" s="107" t="s">
        <v>520</v>
      </c>
      <c r="E611" s="107" t="s">
        <v>503</v>
      </c>
      <c r="F611" s="107">
        <v>870</v>
      </c>
      <c r="G611" s="195">
        <v>11</v>
      </c>
      <c r="H611" s="107">
        <v>1650</v>
      </c>
    </row>
    <row r="612" spans="1:8">
      <c r="A612" s="107">
        <v>34</v>
      </c>
      <c r="B612" s="107">
        <v>1</v>
      </c>
      <c r="C612" s="107">
        <v>2</v>
      </c>
      <c r="D612" s="107" t="s">
        <v>520</v>
      </c>
      <c r="E612" s="107" t="s">
        <v>503</v>
      </c>
      <c r="F612" s="107">
        <v>1260</v>
      </c>
      <c r="G612" s="195">
        <v>11</v>
      </c>
      <c r="H612" s="107"/>
    </row>
    <row r="613" spans="1:8">
      <c r="A613" s="107">
        <v>34</v>
      </c>
      <c r="B613" s="107">
        <v>1</v>
      </c>
      <c r="C613" s="107">
        <v>3</v>
      </c>
      <c r="D613" s="107" t="s">
        <v>520</v>
      </c>
      <c r="E613" s="107" t="s">
        <v>503</v>
      </c>
      <c r="F613" s="107">
        <v>970</v>
      </c>
      <c r="G613" s="195">
        <v>12</v>
      </c>
      <c r="H613" s="107"/>
    </row>
    <row r="614" spans="1:8">
      <c r="A614" s="107">
        <v>34</v>
      </c>
      <c r="B614" s="107">
        <v>2</v>
      </c>
      <c r="C614" s="107">
        <v>1</v>
      </c>
      <c r="D614" s="107" t="s">
        <v>521</v>
      </c>
      <c r="E614" s="107" t="s">
        <v>503</v>
      </c>
      <c r="F614" s="107">
        <v>1020</v>
      </c>
      <c r="G614" s="195">
        <v>12</v>
      </c>
      <c r="H614" s="107">
        <v>1570</v>
      </c>
    </row>
    <row r="615" spans="1:8">
      <c r="A615" s="107">
        <v>34</v>
      </c>
      <c r="B615" s="107">
        <v>2</v>
      </c>
      <c r="C615" s="107">
        <v>2</v>
      </c>
      <c r="D615" s="107" t="s">
        <v>521</v>
      </c>
      <c r="E615" s="107" t="s">
        <v>503</v>
      </c>
      <c r="F615" s="107">
        <v>940</v>
      </c>
      <c r="G615" s="195">
        <v>11</v>
      </c>
      <c r="H615" s="107"/>
    </row>
    <row r="616" spans="1:8">
      <c r="A616" s="107">
        <v>34</v>
      </c>
      <c r="B616" s="107">
        <v>2</v>
      </c>
      <c r="C616" s="107">
        <v>3</v>
      </c>
      <c r="D616" s="107" t="s">
        <v>521</v>
      </c>
      <c r="E616" s="107" t="s">
        <v>503</v>
      </c>
      <c r="F616" s="107">
        <v>960</v>
      </c>
      <c r="G616" s="195">
        <v>11</v>
      </c>
      <c r="H616" s="107"/>
    </row>
    <row r="617" spans="1:8">
      <c r="A617" s="107">
        <v>34</v>
      </c>
      <c r="B617" s="107">
        <v>3</v>
      </c>
      <c r="C617" s="107">
        <v>1</v>
      </c>
      <c r="D617" s="107" t="s">
        <v>522</v>
      </c>
      <c r="E617" s="107" t="s">
        <v>503</v>
      </c>
      <c r="F617" s="107">
        <v>1150</v>
      </c>
      <c r="G617" s="195">
        <v>13</v>
      </c>
      <c r="H617" s="107">
        <v>2000</v>
      </c>
    </row>
    <row r="618" spans="1:8">
      <c r="A618" s="107">
        <v>34</v>
      </c>
      <c r="B618" s="107">
        <v>3</v>
      </c>
      <c r="C618" s="107">
        <v>2</v>
      </c>
      <c r="D618" s="107" t="s">
        <v>522</v>
      </c>
      <c r="E618" s="107" t="s">
        <v>503</v>
      </c>
      <c r="F618" s="107">
        <v>840</v>
      </c>
      <c r="G618" s="195">
        <v>11</v>
      </c>
      <c r="H618" s="107"/>
    </row>
    <row r="619" spans="1:8">
      <c r="A619" s="107">
        <v>34</v>
      </c>
      <c r="B619" s="107">
        <v>3</v>
      </c>
      <c r="C619" s="107">
        <v>3</v>
      </c>
      <c r="D619" s="107" t="s">
        <v>522</v>
      </c>
      <c r="E619" s="107" t="s">
        <v>503</v>
      </c>
      <c r="F619" s="107">
        <v>1090</v>
      </c>
      <c r="G619" s="195">
        <v>12</v>
      </c>
      <c r="H619" s="107"/>
    </row>
    <row r="620" spans="1:8">
      <c r="A620" s="107">
        <v>34</v>
      </c>
      <c r="B620" s="107">
        <v>4</v>
      </c>
      <c r="C620" s="107">
        <v>1</v>
      </c>
      <c r="D620" s="107" t="s">
        <v>523</v>
      </c>
      <c r="E620" s="107" t="s">
        <v>503</v>
      </c>
      <c r="F620" s="107">
        <v>1040</v>
      </c>
      <c r="G620" s="195">
        <v>12</v>
      </c>
      <c r="H620" s="107">
        <v>1860</v>
      </c>
    </row>
    <row r="621" spans="1:8">
      <c r="A621" s="107">
        <v>34</v>
      </c>
      <c r="B621" s="107">
        <v>4</v>
      </c>
      <c r="C621" s="107">
        <v>2</v>
      </c>
      <c r="D621" s="107" t="s">
        <v>523</v>
      </c>
      <c r="E621" s="107" t="s">
        <v>503</v>
      </c>
      <c r="F621" s="107">
        <v>390</v>
      </c>
      <c r="G621" s="195">
        <v>11</v>
      </c>
      <c r="H621" s="107"/>
    </row>
    <row r="622" spans="1:8">
      <c r="A622" s="107">
        <v>34</v>
      </c>
      <c r="B622" s="107">
        <v>4</v>
      </c>
      <c r="C622" s="107">
        <v>3</v>
      </c>
      <c r="D622" s="107" t="s">
        <v>523</v>
      </c>
      <c r="E622" s="107" t="s">
        <v>503</v>
      </c>
      <c r="F622" s="107">
        <v>940</v>
      </c>
      <c r="G622" s="195">
        <v>13</v>
      </c>
      <c r="H622" s="107"/>
    </row>
    <row r="623" spans="1:8">
      <c r="A623" s="107">
        <v>34</v>
      </c>
      <c r="B623" s="107">
        <v>5</v>
      </c>
      <c r="C623" s="107">
        <v>1</v>
      </c>
      <c r="D623" s="107" t="s">
        <v>524</v>
      </c>
      <c r="E623" s="107" t="s">
        <v>503</v>
      </c>
      <c r="F623" s="107">
        <v>1220</v>
      </c>
      <c r="G623" s="195">
        <v>12</v>
      </c>
      <c r="H623" s="107">
        <v>1830</v>
      </c>
    </row>
    <row r="624" spans="1:8">
      <c r="A624" s="107">
        <v>34</v>
      </c>
      <c r="B624" s="107">
        <v>5</v>
      </c>
      <c r="C624" s="107">
        <v>2</v>
      </c>
      <c r="D624" s="107" t="s">
        <v>524</v>
      </c>
      <c r="E624" s="107" t="s">
        <v>503</v>
      </c>
      <c r="F624" s="107">
        <v>820</v>
      </c>
      <c r="G624" s="195">
        <v>12</v>
      </c>
      <c r="H624" s="107"/>
    </row>
    <row r="625" spans="1:8">
      <c r="A625" s="107">
        <v>34</v>
      </c>
      <c r="B625" s="107">
        <v>5</v>
      </c>
      <c r="C625" s="107">
        <v>3</v>
      </c>
      <c r="D625" s="107" t="s">
        <v>524</v>
      </c>
      <c r="E625" s="107" t="s">
        <v>503</v>
      </c>
      <c r="F625" s="107">
        <v>740</v>
      </c>
      <c r="G625" s="195">
        <v>13</v>
      </c>
      <c r="H625" s="107"/>
    </row>
    <row r="626" spans="1:8">
      <c r="A626" s="107">
        <v>34</v>
      </c>
      <c r="B626" s="107">
        <v>6</v>
      </c>
      <c r="C626" s="107">
        <v>1</v>
      </c>
      <c r="D626" s="107" t="s">
        <v>525</v>
      </c>
      <c r="E626" s="107" t="s">
        <v>503</v>
      </c>
      <c r="F626" s="107">
        <v>1020</v>
      </c>
      <c r="G626" s="195">
        <v>10</v>
      </c>
      <c r="H626" s="107">
        <v>1750</v>
      </c>
    </row>
    <row r="627" spans="1:8">
      <c r="A627" s="107">
        <v>34</v>
      </c>
      <c r="B627" s="107">
        <v>6</v>
      </c>
      <c r="C627" s="107">
        <v>2</v>
      </c>
      <c r="D627" s="107" t="s">
        <v>525</v>
      </c>
      <c r="E627" s="107" t="s">
        <v>503</v>
      </c>
      <c r="F627" s="107">
        <v>1130</v>
      </c>
      <c r="G627" s="195">
        <v>13</v>
      </c>
      <c r="H627" s="107"/>
    </row>
    <row r="628" spans="1:8">
      <c r="A628" s="107">
        <v>34</v>
      </c>
      <c r="B628" s="107">
        <v>6</v>
      </c>
      <c r="C628" s="107">
        <v>3</v>
      </c>
      <c r="D628" s="107" t="s">
        <v>525</v>
      </c>
      <c r="E628" s="107" t="s">
        <v>503</v>
      </c>
      <c r="F628" s="107">
        <v>990</v>
      </c>
      <c r="G628" s="195">
        <v>12</v>
      </c>
      <c r="H628" s="107"/>
    </row>
    <row r="629" spans="1:8">
      <c r="A629" s="107">
        <v>35</v>
      </c>
      <c r="B629" s="107">
        <v>1</v>
      </c>
      <c r="C629" s="107">
        <v>1</v>
      </c>
      <c r="D629" s="107" t="s">
        <v>526</v>
      </c>
      <c r="E629" s="107" t="s">
        <v>527</v>
      </c>
      <c r="F629" s="107">
        <v>970</v>
      </c>
      <c r="G629" s="195">
        <v>12</v>
      </c>
      <c r="H629" s="107">
        <v>1515</v>
      </c>
    </row>
    <row r="630" spans="1:8">
      <c r="A630" s="107">
        <v>35</v>
      </c>
      <c r="B630" s="107">
        <v>1</v>
      </c>
      <c r="C630" s="107">
        <v>2</v>
      </c>
      <c r="D630" s="107" t="s">
        <v>526</v>
      </c>
      <c r="E630" s="107" t="s">
        <v>527</v>
      </c>
      <c r="F630" s="107">
        <v>1110</v>
      </c>
      <c r="G630" s="195">
        <v>12</v>
      </c>
      <c r="H630" s="107"/>
    </row>
    <row r="631" spans="1:8">
      <c r="A631" s="107">
        <v>35</v>
      </c>
      <c r="B631" s="107">
        <v>1</v>
      </c>
      <c r="C631" s="107">
        <v>3</v>
      </c>
      <c r="D631" s="107" t="s">
        <v>526</v>
      </c>
      <c r="E631" s="107" t="s">
        <v>527</v>
      </c>
      <c r="F631" s="107">
        <v>920</v>
      </c>
      <c r="G631" s="195">
        <v>13</v>
      </c>
      <c r="H631" s="107"/>
    </row>
    <row r="632" spans="1:8">
      <c r="A632" s="107">
        <v>35</v>
      </c>
      <c r="B632" s="107">
        <v>2</v>
      </c>
      <c r="C632" s="107">
        <v>1</v>
      </c>
      <c r="D632" s="107" t="s">
        <v>528</v>
      </c>
      <c r="E632" s="107" t="s">
        <v>503</v>
      </c>
      <c r="F632" s="107">
        <v>980</v>
      </c>
      <c r="G632" s="195">
        <v>13</v>
      </c>
      <c r="H632" s="107">
        <v>1800</v>
      </c>
    </row>
    <row r="633" spans="1:8">
      <c r="A633" s="107">
        <v>35</v>
      </c>
      <c r="B633" s="107">
        <v>2</v>
      </c>
      <c r="C633" s="107">
        <v>2</v>
      </c>
      <c r="D633" s="107" t="s">
        <v>528</v>
      </c>
      <c r="E633" s="107" t="s">
        <v>503</v>
      </c>
      <c r="F633" s="107">
        <v>1250</v>
      </c>
      <c r="G633" s="195">
        <v>13</v>
      </c>
      <c r="H633" s="107"/>
    </row>
    <row r="634" spans="1:8">
      <c r="A634" s="107">
        <v>35</v>
      </c>
      <c r="B634" s="107">
        <v>2</v>
      </c>
      <c r="C634" s="107">
        <v>3</v>
      </c>
      <c r="D634" s="107" t="s">
        <v>528</v>
      </c>
      <c r="E634" s="107" t="s">
        <v>503</v>
      </c>
      <c r="F634" s="107">
        <v>1020</v>
      </c>
      <c r="G634" s="195">
        <v>12</v>
      </c>
      <c r="H634" s="107"/>
    </row>
    <row r="635" spans="1:8">
      <c r="A635" s="107">
        <v>35</v>
      </c>
      <c r="B635" s="107">
        <v>3</v>
      </c>
      <c r="C635" s="107">
        <v>1</v>
      </c>
      <c r="D635" s="107" t="s">
        <v>529</v>
      </c>
      <c r="E635" s="107" t="s">
        <v>503</v>
      </c>
      <c r="F635" s="107">
        <v>940</v>
      </c>
      <c r="G635" s="195">
        <v>14</v>
      </c>
      <c r="H635" s="107">
        <v>1650</v>
      </c>
    </row>
    <row r="636" spans="1:8">
      <c r="A636" s="107">
        <v>35</v>
      </c>
      <c r="B636" s="107">
        <v>3</v>
      </c>
      <c r="C636" s="107">
        <v>2</v>
      </c>
      <c r="D636" s="107" t="s">
        <v>529</v>
      </c>
      <c r="E636" s="107" t="s">
        <v>503</v>
      </c>
      <c r="F636" s="107">
        <v>940</v>
      </c>
      <c r="G636" s="195">
        <v>14</v>
      </c>
      <c r="H636" s="107"/>
    </row>
    <row r="637" spans="1:8">
      <c r="A637" s="107">
        <v>35</v>
      </c>
      <c r="B637" s="107">
        <v>3</v>
      </c>
      <c r="C637" s="107">
        <v>3</v>
      </c>
      <c r="D637" s="107" t="s">
        <v>529</v>
      </c>
      <c r="E637" s="107" t="s">
        <v>503</v>
      </c>
      <c r="F637" s="107">
        <v>1090</v>
      </c>
      <c r="G637" s="195">
        <v>15</v>
      </c>
      <c r="H637" s="107"/>
    </row>
    <row r="638" spans="1:8">
      <c r="A638" s="107">
        <v>35</v>
      </c>
      <c r="B638" s="107">
        <v>4</v>
      </c>
      <c r="C638" s="107">
        <v>1</v>
      </c>
      <c r="D638" s="107" t="s">
        <v>530</v>
      </c>
      <c r="E638" s="107" t="s">
        <v>518</v>
      </c>
      <c r="F638" s="107">
        <v>1260</v>
      </c>
      <c r="G638" s="195">
        <v>13</v>
      </c>
      <c r="H638" s="107">
        <v>1720</v>
      </c>
    </row>
    <row r="639" spans="1:8">
      <c r="A639" s="107">
        <v>35</v>
      </c>
      <c r="B639" s="107">
        <v>4</v>
      </c>
      <c r="C639" s="107">
        <v>2</v>
      </c>
      <c r="D639" s="107" t="s">
        <v>530</v>
      </c>
      <c r="E639" s="107" t="s">
        <v>518</v>
      </c>
      <c r="F639" s="107">
        <v>1170</v>
      </c>
      <c r="G639" s="195">
        <v>11</v>
      </c>
      <c r="H639" s="107"/>
    </row>
    <row r="640" spans="1:8">
      <c r="A640" s="107">
        <v>35</v>
      </c>
      <c r="B640" s="107">
        <v>4</v>
      </c>
      <c r="C640" s="107">
        <v>3</v>
      </c>
      <c r="D640" s="107" t="s">
        <v>530</v>
      </c>
      <c r="E640" s="107" t="s">
        <v>518</v>
      </c>
      <c r="F640" s="107">
        <v>1240</v>
      </c>
      <c r="G640" s="195">
        <v>11</v>
      </c>
      <c r="H640" s="107"/>
    </row>
    <row r="642" spans="1:8">
      <c r="A642" s="107">
        <v>35</v>
      </c>
      <c r="B642" s="107">
        <v>5</v>
      </c>
      <c r="C642" s="107">
        <v>1</v>
      </c>
      <c r="D642" s="107" t="s">
        <v>531</v>
      </c>
      <c r="E642" s="107" t="s">
        <v>503</v>
      </c>
      <c r="F642" s="107">
        <v>1150</v>
      </c>
      <c r="G642" s="107">
        <v>12</v>
      </c>
      <c r="H642" s="107">
        <v>1610</v>
      </c>
    </row>
    <row r="643" spans="1:8">
      <c r="A643" s="107">
        <v>35</v>
      </c>
      <c r="B643" s="107">
        <v>5</v>
      </c>
      <c r="C643" s="107">
        <v>2</v>
      </c>
      <c r="D643" s="107" t="s">
        <v>531</v>
      </c>
      <c r="E643" s="107" t="s">
        <v>503</v>
      </c>
      <c r="F643" s="107">
        <v>930</v>
      </c>
      <c r="G643" s="195">
        <v>15</v>
      </c>
      <c r="H643" s="107"/>
    </row>
    <row r="644" spans="1:8">
      <c r="A644" s="107">
        <v>35</v>
      </c>
      <c r="B644" s="107">
        <v>5</v>
      </c>
      <c r="C644" s="107">
        <v>3</v>
      </c>
      <c r="D644" s="107" t="s">
        <v>531</v>
      </c>
      <c r="E644" s="107" t="s">
        <v>503</v>
      </c>
      <c r="F644" s="107">
        <v>1050</v>
      </c>
      <c r="G644" s="195">
        <v>13</v>
      </c>
      <c r="H644" s="107"/>
    </row>
    <row r="645" spans="1:8">
      <c r="A645" s="107">
        <v>35</v>
      </c>
      <c r="B645" s="107">
        <v>6</v>
      </c>
      <c r="C645" s="107">
        <v>1</v>
      </c>
      <c r="D645" s="107" t="s">
        <v>532</v>
      </c>
      <c r="E645" s="107" t="s">
        <v>503</v>
      </c>
      <c r="F645" s="107">
        <v>1130</v>
      </c>
      <c r="G645" s="195">
        <v>13</v>
      </c>
      <c r="H645" s="107">
        <v>1540</v>
      </c>
    </row>
    <row r="646" spans="1:8">
      <c r="A646" s="107">
        <v>35</v>
      </c>
      <c r="B646" s="107">
        <v>6</v>
      </c>
      <c r="C646" s="107">
        <v>2</v>
      </c>
      <c r="D646" s="107" t="s">
        <v>532</v>
      </c>
      <c r="E646" s="107" t="s">
        <v>503</v>
      </c>
      <c r="F646" s="107">
        <v>670</v>
      </c>
      <c r="G646" s="195">
        <v>14</v>
      </c>
      <c r="H646" s="107"/>
    </row>
    <row r="647" spans="1:8">
      <c r="A647" s="107">
        <v>35</v>
      </c>
      <c r="B647" s="107">
        <v>6</v>
      </c>
      <c r="C647" s="107">
        <v>3</v>
      </c>
      <c r="D647" s="107" t="s">
        <v>532</v>
      </c>
      <c r="E647" s="107" t="s">
        <v>503</v>
      </c>
      <c r="F647" s="107">
        <v>840</v>
      </c>
      <c r="G647" s="195">
        <v>12</v>
      </c>
      <c r="H647" s="107"/>
    </row>
    <row r="648" spans="1:8">
      <c r="A648" s="107">
        <v>36</v>
      </c>
      <c r="B648" s="107">
        <v>1</v>
      </c>
      <c r="C648" s="107">
        <v>1</v>
      </c>
      <c r="D648" s="107" t="s">
        <v>533</v>
      </c>
      <c r="E648" s="107" t="s">
        <v>534</v>
      </c>
      <c r="F648" s="107">
        <v>1140</v>
      </c>
      <c r="G648" s="195">
        <v>12</v>
      </c>
      <c r="H648" s="107">
        <v>1390</v>
      </c>
    </row>
    <row r="649" spans="1:8">
      <c r="A649" s="107">
        <v>36</v>
      </c>
      <c r="B649" s="107">
        <v>1</v>
      </c>
      <c r="C649" s="107">
        <v>2</v>
      </c>
      <c r="D649" s="107" t="s">
        <v>533</v>
      </c>
      <c r="E649" s="107" t="s">
        <v>534</v>
      </c>
      <c r="F649" s="107">
        <v>1150</v>
      </c>
      <c r="G649" s="195">
        <v>10</v>
      </c>
      <c r="H649" s="107"/>
    </row>
    <row r="650" spans="1:8">
      <c r="A650" s="107">
        <v>36</v>
      </c>
      <c r="B650" s="107">
        <v>1</v>
      </c>
      <c r="C650" s="107">
        <v>3</v>
      </c>
      <c r="D650" s="107" t="s">
        <v>533</v>
      </c>
      <c r="E650" s="107" t="s">
        <v>534</v>
      </c>
      <c r="F650" s="196">
        <v>1120</v>
      </c>
      <c r="G650" s="195">
        <v>12</v>
      </c>
      <c r="H650" s="107"/>
    </row>
    <row r="651" spans="1:8">
      <c r="A651" s="107">
        <v>36</v>
      </c>
      <c r="B651" s="107">
        <v>2</v>
      </c>
      <c r="C651" s="107">
        <v>1</v>
      </c>
      <c r="D651" s="107" t="s">
        <v>535</v>
      </c>
      <c r="E651" s="107" t="s">
        <v>536</v>
      </c>
      <c r="F651" s="107">
        <v>780</v>
      </c>
      <c r="G651" s="195">
        <v>13</v>
      </c>
      <c r="H651" s="107">
        <v>1220</v>
      </c>
    </row>
    <row r="652" spans="1:8">
      <c r="A652" s="107">
        <v>36</v>
      </c>
      <c r="B652" s="107">
        <v>2</v>
      </c>
      <c r="C652" s="107">
        <v>2</v>
      </c>
      <c r="D652" s="107" t="s">
        <v>535</v>
      </c>
      <c r="E652" s="107" t="s">
        <v>536</v>
      </c>
      <c r="F652" s="107">
        <v>970</v>
      </c>
      <c r="G652" s="195">
        <v>10</v>
      </c>
      <c r="H652" s="107"/>
    </row>
    <row r="653" spans="1:8">
      <c r="A653" s="107">
        <v>36</v>
      </c>
      <c r="B653" s="107">
        <v>2</v>
      </c>
      <c r="C653" s="107">
        <v>3</v>
      </c>
      <c r="D653" s="107" t="s">
        <v>535</v>
      </c>
      <c r="E653" s="107" t="s">
        <v>536</v>
      </c>
      <c r="F653" s="107">
        <v>850</v>
      </c>
      <c r="G653" s="195">
        <v>9</v>
      </c>
      <c r="H653" s="107"/>
    </row>
    <row r="654" spans="1:8">
      <c r="A654" s="107">
        <v>36</v>
      </c>
      <c r="B654" s="107">
        <v>3</v>
      </c>
      <c r="C654" s="107">
        <v>1</v>
      </c>
      <c r="D654" s="107" t="s">
        <v>537</v>
      </c>
      <c r="E654" s="107" t="s">
        <v>534</v>
      </c>
      <c r="F654" s="107">
        <v>1120</v>
      </c>
      <c r="G654" s="195">
        <v>8</v>
      </c>
      <c r="H654" s="107">
        <v>1460</v>
      </c>
    </row>
    <row r="655" spans="1:8">
      <c r="A655" s="107">
        <v>36</v>
      </c>
      <c r="B655" s="107">
        <v>3</v>
      </c>
      <c r="C655" s="107">
        <v>2</v>
      </c>
      <c r="D655" s="107" t="s">
        <v>537</v>
      </c>
      <c r="E655" s="107" t="s">
        <v>534</v>
      </c>
      <c r="F655" s="107">
        <v>1140</v>
      </c>
      <c r="G655" s="195"/>
      <c r="H655" s="107"/>
    </row>
    <row r="656" spans="1:8">
      <c r="A656" s="107">
        <v>36</v>
      </c>
      <c r="B656" s="107">
        <v>3</v>
      </c>
      <c r="C656" s="107">
        <v>3</v>
      </c>
      <c r="D656" s="107" t="s">
        <v>537</v>
      </c>
      <c r="E656" s="107" t="s">
        <v>534</v>
      </c>
      <c r="F656" s="107">
        <v>1160</v>
      </c>
      <c r="G656" s="195">
        <v>12</v>
      </c>
      <c r="H656" s="107"/>
    </row>
    <row r="657" spans="1:8">
      <c r="A657" s="107">
        <v>36</v>
      </c>
      <c r="B657" s="107">
        <v>4</v>
      </c>
      <c r="C657" s="107">
        <v>1</v>
      </c>
      <c r="D657" s="107" t="s">
        <v>538</v>
      </c>
      <c r="E657" s="107" t="s">
        <v>539</v>
      </c>
      <c r="F657" s="107">
        <v>1130</v>
      </c>
      <c r="G657" s="195">
        <v>10</v>
      </c>
      <c r="H657" s="107">
        <v>1325</v>
      </c>
    </row>
    <row r="658" spans="1:8">
      <c r="A658" s="107">
        <v>36</v>
      </c>
      <c r="B658" s="107">
        <v>4</v>
      </c>
      <c r="C658" s="107">
        <v>2</v>
      </c>
      <c r="D658" s="107" t="s">
        <v>538</v>
      </c>
      <c r="E658" s="107" t="s">
        <v>539</v>
      </c>
      <c r="F658" s="107">
        <v>1180</v>
      </c>
      <c r="G658" s="195">
        <v>11</v>
      </c>
      <c r="H658" s="107"/>
    </row>
    <row r="659" spans="1:8">
      <c r="A659" s="107">
        <v>36</v>
      </c>
      <c r="B659" s="107">
        <v>4</v>
      </c>
      <c r="C659" s="107">
        <v>3</v>
      </c>
      <c r="D659" s="107" t="s">
        <v>538</v>
      </c>
      <c r="E659" s="107" t="s">
        <v>539</v>
      </c>
      <c r="F659" s="107">
        <v>1100</v>
      </c>
      <c r="G659" s="195">
        <v>9</v>
      </c>
      <c r="H659" s="196"/>
    </row>
    <row r="660" spans="1:8">
      <c r="A660" s="107">
        <v>36</v>
      </c>
      <c r="B660" s="107">
        <v>5</v>
      </c>
      <c r="C660" s="107">
        <v>1</v>
      </c>
      <c r="D660" s="107" t="s">
        <v>540</v>
      </c>
      <c r="E660" s="107" t="s">
        <v>541</v>
      </c>
      <c r="F660" s="107">
        <v>970</v>
      </c>
      <c r="G660" s="195">
        <v>12</v>
      </c>
      <c r="H660" s="107">
        <v>1480</v>
      </c>
    </row>
    <row r="661" spans="1:8">
      <c r="A661" s="107">
        <v>36</v>
      </c>
      <c r="B661" s="107">
        <v>5</v>
      </c>
      <c r="C661" s="107">
        <v>2</v>
      </c>
      <c r="D661" s="107" t="s">
        <v>540</v>
      </c>
      <c r="E661" s="107" t="s">
        <v>541</v>
      </c>
      <c r="F661" s="107">
        <v>1010</v>
      </c>
      <c r="G661" s="195">
        <v>11</v>
      </c>
      <c r="H661" s="107"/>
    </row>
    <row r="662" spans="1:8">
      <c r="A662" s="107">
        <v>36</v>
      </c>
      <c r="B662" s="107">
        <v>5</v>
      </c>
      <c r="C662" s="107">
        <v>3</v>
      </c>
      <c r="D662" s="107" t="s">
        <v>540</v>
      </c>
      <c r="E662" s="107" t="s">
        <v>541</v>
      </c>
      <c r="F662" s="107">
        <v>1030</v>
      </c>
      <c r="G662" s="195">
        <v>12</v>
      </c>
      <c r="H662" s="107"/>
    </row>
    <row r="663" spans="1:8">
      <c r="A663" s="107">
        <v>36</v>
      </c>
      <c r="B663" s="107">
        <v>6</v>
      </c>
      <c r="C663" s="107">
        <v>1</v>
      </c>
      <c r="D663" s="107" t="s">
        <v>542</v>
      </c>
      <c r="E663" s="107" t="s">
        <v>539</v>
      </c>
      <c r="F663" s="107">
        <v>1130</v>
      </c>
      <c r="G663" s="195">
        <v>12</v>
      </c>
      <c r="H663" s="107">
        <v>1300</v>
      </c>
    </row>
    <row r="664" spans="1:8">
      <c r="A664" s="107">
        <v>36</v>
      </c>
      <c r="B664" s="107">
        <v>6</v>
      </c>
      <c r="C664" s="107">
        <v>2</v>
      </c>
      <c r="D664" s="107" t="s">
        <v>542</v>
      </c>
      <c r="E664" s="107" t="s">
        <v>539</v>
      </c>
      <c r="F664" s="107">
        <v>1160</v>
      </c>
      <c r="G664" s="195">
        <v>9</v>
      </c>
      <c r="H664" s="107"/>
    </row>
    <row r="665" spans="1:8">
      <c r="A665" s="107">
        <v>36</v>
      </c>
      <c r="B665" s="107">
        <v>6</v>
      </c>
      <c r="C665" s="107">
        <v>3</v>
      </c>
      <c r="D665" s="107" t="s">
        <v>542</v>
      </c>
      <c r="E665" s="107" t="s">
        <v>539</v>
      </c>
      <c r="F665" s="107">
        <v>1020</v>
      </c>
      <c r="G665" s="195">
        <v>10</v>
      </c>
      <c r="H665" s="107"/>
    </row>
    <row r="666" spans="1:8">
      <c r="A666" s="107">
        <v>37</v>
      </c>
      <c r="B666" s="107">
        <v>1</v>
      </c>
      <c r="C666" s="107">
        <v>1</v>
      </c>
      <c r="D666" s="107" t="s">
        <v>543</v>
      </c>
      <c r="E666" s="107" t="s">
        <v>539</v>
      </c>
      <c r="F666" s="107">
        <v>1130</v>
      </c>
      <c r="G666" s="195">
        <v>11</v>
      </c>
      <c r="H666" s="107">
        <v>1410</v>
      </c>
    </row>
    <row r="667" spans="1:8">
      <c r="A667" s="107">
        <v>37</v>
      </c>
      <c r="B667" s="107">
        <v>1</v>
      </c>
      <c r="C667" s="107">
        <v>2</v>
      </c>
      <c r="D667" s="107" t="s">
        <v>543</v>
      </c>
      <c r="E667" s="107" t="s">
        <v>539</v>
      </c>
      <c r="F667" s="107">
        <v>1160</v>
      </c>
      <c r="G667" s="195">
        <v>11</v>
      </c>
      <c r="H667" s="107"/>
    </row>
    <row r="668" spans="1:8">
      <c r="A668" s="107">
        <v>37</v>
      </c>
      <c r="B668" s="107">
        <v>1</v>
      </c>
      <c r="C668" s="107">
        <v>3</v>
      </c>
      <c r="D668" s="107" t="s">
        <v>543</v>
      </c>
      <c r="E668" s="107" t="s">
        <v>539</v>
      </c>
      <c r="F668" s="107">
        <v>1020</v>
      </c>
      <c r="G668" s="195">
        <v>12</v>
      </c>
      <c r="H668" s="107"/>
    </row>
    <row r="669" spans="1:8">
      <c r="A669" s="107">
        <v>37</v>
      </c>
      <c r="B669" s="107">
        <v>2</v>
      </c>
      <c r="C669" s="107">
        <v>1</v>
      </c>
      <c r="D669" s="107" t="s">
        <v>544</v>
      </c>
      <c r="E669" s="107" t="s">
        <v>545</v>
      </c>
      <c r="F669" s="107">
        <v>1130</v>
      </c>
      <c r="G669" s="195">
        <v>11</v>
      </c>
      <c r="H669" s="107">
        <v>1440</v>
      </c>
    </row>
    <row r="670" spans="1:8">
      <c r="A670" s="107">
        <v>37</v>
      </c>
      <c r="B670" s="107">
        <v>2</v>
      </c>
      <c r="C670" s="107">
        <v>2</v>
      </c>
      <c r="D670" s="107" t="s">
        <v>544</v>
      </c>
      <c r="E670" s="107" t="s">
        <v>545</v>
      </c>
      <c r="F670" s="107">
        <v>960</v>
      </c>
      <c r="G670" s="195">
        <v>12</v>
      </c>
      <c r="H670" s="107"/>
    </row>
    <row r="671" spans="1:8">
      <c r="A671" s="107">
        <v>37</v>
      </c>
      <c r="B671" s="107">
        <v>2</v>
      </c>
      <c r="C671" s="107">
        <v>3</v>
      </c>
      <c r="D671" s="107" t="s">
        <v>544</v>
      </c>
      <c r="E671" s="107" t="s">
        <v>545</v>
      </c>
      <c r="F671" s="107">
        <v>970</v>
      </c>
      <c r="G671" s="195">
        <v>10</v>
      </c>
      <c r="H671" s="107"/>
    </row>
    <row r="672" spans="1:8">
      <c r="A672" s="107">
        <v>37</v>
      </c>
      <c r="B672" s="107">
        <v>3</v>
      </c>
      <c r="C672" s="107">
        <v>1</v>
      </c>
      <c r="D672" s="107" t="s">
        <v>546</v>
      </c>
      <c r="E672" s="107" t="s">
        <v>547</v>
      </c>
      <c r="F672" s="107">
        <v>870</v>
      </c>
      <c r="G672" s="195">
        <v>11</v>
      </c>
      <c r="H672" s="107">
        <v>1480</v>
      </c>
    </row>
    <row r="673" spans="1:8">
      <c r="A673" s="107">
        <v>37</v>
      </c>
      <c r="B673" s="107">
        <v>3</v>
      </c>
      <c r="C673" s="107">
        <v>2</v>
      </c>
      <c r="D673" s="107" t="s">
        <v>546</v>
      </c>
      <c r="E673" s="107" t="s">
        <v>547</v>
      </c>
      <c r="F673" s="107">
        <v>930</v>
      </c>
      <c r="G673" s="195">
        <v>11</v>
      </c>
      <c r="H673" s="107"/>
    </row>
    <row r="674" spans="1:8">
      <c r="A674" s="107">
        <v>37</v>
      </c>
      <c r="B674" s="107">
        <v>3</v>
      </c>
      <c r="C674" s="107">
        <v>3</v>
      </c>
      <c r="D674" s="107" t="s">
        <v>546</v>
      </c>
      <c r="E674" s="107" t="s">
        <v>547</v>
      </c>
      <c r="F674" s="107">
        <v>1000</v>
      </c>
      <c r="G674" s="195">
        <v>12</v>
      </c>
      <c r="H674" s="107"/>
    </row>
    <row r="675" spans="1:8">
      <c r="A675" s="107">
        <v>37</v>
      </c>
      <c r="B675" s="107">
        <v>4</v>
      </c>
      <c r="C675" s="107">
        <v>1</v>
      </c>
      <c r="D675" s="107" t="s">
        <v>548</v>
      </c>
      <c r="E675" s="107" t="s">
        <v>549</v>
      </c>
      <c r="F675" s="107">
        <v>1120</v>
      </c>
      <c r="G675" s="195">
        <v>11</v>
      </c>
      <c r="H675" s="107">
        <v>1390</v>
      </c>
    </row>
    <row r="676" spans="1:8">
      <c r="A676" s="107">
        <v>37</v>
      </c>
      <c r="B676" s="107">
        <v>4</v>
      </c>
      <c r="C676" s="107">
        <v>2</v>
      </c>
      <c r="D676" s="107" t="s">
        <v>548</v>
      </c>
      <c r="E676" s="107" t="s">
        <v>549</v>
      </c>
      <c r="F676" s="107">
        <v>750</v>
      </c>
      <c r="G676" s="195">
        <v>12</v>
      </c>
      <c r="H676" s="107"/>
    </row>
    <row r="677" spans="1:8">
      <c r="A677" s="107">
        <v>37</v>
      </c>
      <c r="B677" s="107">
        <v>4</v>
      </c>
      <c r="C677" s="107">
        <v>3</v>
      </c>
      <c r="D677" s="107" t="s">
        <v>548</v>
      </c>
      <c r="E677" s="107" t="s">
        <v>549</v>
      </c>
      <c r="F677" s="107">
        <v>900</v>
      </c>
      <c r="G677" s="195">
        <v>10</v>
      </c>
      <c r="H677" s="107"/>
    </row>
    <row r="678" spans="1:8">
      <c r="A678" s="107">
        <v>37</v>
      </c>
      <c r="B678" s="107">
        <v>5</v>
      </c>
      <c r="C678" s="107">
        <v>1</v>
      </c>
      <c r="D678" s="107" t="s">
        <v>550</v>
      </c>
      <c r="E678" s="107" t="s">
        <v>551</v>
      </c>
      <c r="F678" s="107">
        <v>1060</v>
      </c>
      <c r="G678" s="195">
        <v>11</v>
      </c>
      <c r="H678" s="107">
        <v>1440</v>
      </c>
    </row>
    <row r="679" spans="1:8">
      <c r="A679" s="107">
        <v>37</v>
      </c>
      <c r="B679" s="107">
        <v>5</v>
      </c>
      <c r="C679" s="107">
        <v>2</v>
      </c>
      <c r="D679" s="107" t="s">
        <v>550</v>
      </c>
      <c r="E679" s="107" t="s">
        <v>551</v>
      </c>
      <c r="F679" s="107">
        <v>1000</v>
      </c>
      <c r="G679" s="195">
        <v>12</v>
      </c>
      <c r="H679" s="107"/>
    </row>
    <row r="680" spans="1:8">
      <c r="A680" s="107">
        <v>37</v>
      </c>
      <c r="B680" s="107">
        <v>5</v>
      </c>
      <c r="C680" s="107">
        <v>3</v>
      </c>
      <c r="D680" s="107" t="s">
        <v>550</v>
      </c>
      <c r="E680" s="107" t="s">
        <v>551</v>
      </c>
      <c r="F680" s="107">
        <v>1030</v>
      </c>
      <c r="G680" s="195">
        <v>11</v>
      </c>
      <c r="H680" s="107"/>
    </row>
    <row r="681" spans="1:8">
      <c r="A681" s="107">
        <v>37</v>
      </c>
      <c r="B681" s="107">
        <v>6</v>
      </c>
      <c r="C681" s="107">
        <v>1</v>
      </c>
      <c r="D681" s="107" t="s">
        <v>552</v>
      </c>
      <c r="E681" s="107" t="s">
        <v>547</v>
      </c>
      <c r="F681" s="107">
        <v>770</v>
      </c>
      <c r="G681" s="195">
        <v>12</v>
      </c>
      <c r="H681" s="107">
        <v>1720</v>
      </c>
    </row>
    <row r="682" spans="1:8">
      <c r="A682" s="107">
        <v>37</v>
      </c>
      <c r="B682" s="107">
        <v>6</v>
      </c>
      <c r="C682" s="107">
        <v>2</v>
      </c>
      <c r="D682" s="107" t="s">
        <v>552</v>
      </c>
      <c r="E682" s="107" t="s">
        <v>547</v>
      </c>
      <c r="F682" s="107">
        <v>720</v>
      </c>
      <c r="G682" s="195">
        <v>13</v>
      </c>
      <c r="H682" s="107"/>
    </row>
    <row r="683" spans="1:8">
      <c r="A683" s="107">
        <v>37</v>
      </c>
      <c r="B683" s="107">
        <v>6</v>
      </c>
      <c r="C683" s="107">
        <v>3</v>
      </c>
      <c r="D683" s="107" t="s">
        <v>552</v>
      </c>
      <c r="E683" s="107" t="s">
        <v>547</v>
      </c>
      <c r="F683" s="107">
        <v>660</v>
      </c>
      <c r="G683" s="195">
        <v>13</v>
      </c>
      <c r="H683" s="107"/>
    </row>
    <row r="684" spans="1:8">
      <c r="A684" s="107">
        <v>38</v>
      </c>
      <c r="B684" s="107">
        <v>1</v>
      </c>
      <c r="C684" s="107">
        <v>1</v>
      </c>
      <c r="D684" s="107" t="s">
        <v>553</v>
      </c>
      <c r="E684" s="107" t="s">
        <v>547</v>
      </c>
      <c r="F684" s="107">
        <v>1250</v>
      </c>
      <c r="G684" s="195">
        <v>13</v>
      </c>
      <c r="H684" s="107">
        <v>1520</v>
      </c>
    </row>
    <row r="685" spans="1:8">
      <c r="A685" s="107">
        <v>38</v>
      </c>
      <c r="B685" s="107">
        <v>1</v>
      </c>
      <c r="C685" s="107">
        <v>2</v>
      </c>
      <c r="D685" s="107" t="s">
        <v>553</v>
      </c>
      <c r="E685" s="107" t="s">
        <v>547</v>
      </c>
      <c r="F685" s="107">
        <v>1280</v>
      </c>
      <c r="G685" s="195">
        <v>12</v>
      </c>
      <c r="H685" s="107"/>
    </row>
    <row r="686" spans="1:8">
      <c r="A686" s="107">
        <v>38</v>
      </c>
      <c r="B686" s="107">
        <v>1</v>
      </c>
      <c r="C686" s="107">
        <v>3</v>
      </c>
      <c r="D686" s="107" t="s">
        <v>553</v>
      </c>
      <c r="E686" s="107" t="s">
        <v>547</v>
      </c>
      <c r="F686" s="107">
        <v>1220</v>
      </c>
      <c r="G686" s="195">
        <v>11</v>
      </c>
      <c r="H686" s="107"/>
    </row>
    <row r="687" spans="1:8">
      <c r="A687" s="107">
        <v>38</v>
      </c>
      <c r="B687" s="107">
        <v>2</v>
      </c>
      <c r="C687" s="107">
        <v>1</v>
      </c>
      <c r="D687" s="107" t="s">
        <v>554</v>
      </c>
      <c r="E687" s="107" t="s">
        <v>555</v>
      </c>
      <c r="F687" s="107">
        <v>790</v>
      </c>
      <c r="G687" s="195">
        <v>12</v>
      </c>
      <c r="H687" s="107">
        <v>1590</v>
      </c>
    </row>
    <row r="688" spans="1:8">
      <c r="A688" s="107">
        <v>38</v>
      </c>
      <c r="B688" s="107">
        <v>2</v>
      </c>
      <c r="C688" s="107">
        <v>2</v>
      </c>
      <c r="D688" s="107" t="s">
        <v>554</v>
      </c>
      <c r="E688" s="107" t="s">
        <v>555</v>
      </c>
      <c r="F688" s="107">
        <v>1000</v>
      </c>
      <c r="G688" s="195">
        <v>14</v>
      </c>
      <c r="H688" s="107"/>
    </row>
    <row r="689" spans="1:8">
      <c r="A689" s="107">
        <v>38</v>
      </c>
      <c r="B689" s="107">
        <v>2</v>
      </c>
      <c r="C689" s="107">
        <v>3</v>
      </c>
      <c r="D689" s="107" t="s">
        <v>554</v>
      </c>
      <c r="E689" s="107" t="s">
        <v>555</v>
      </c>
      <c r="F689" s="107">
        <v>740</v>
      </c>
      <c r="G689" s="195">
        <v>12</v>
      </c>
      <c r="H689" s="107"/>
    </row>
    <row r="691" spans="1:8">
      <c r="A691" s="107">
        <v>38</v>
      </c>
      <c r="B691" s="107">
        <v>3</v>
      </c>
      <c r="C691" s="107">
        <v>1</v>
      </c>
      <c r="D691" s="107" t="s">
        <v>556</v>
      </c>
      <c r="E691" s="107" t="s">
        <v>557</v>
      </c>
      <c r="F691" s="107">
        <v>970</v>
      </c>
      <c r="G691" s="107">
        <v>12</v>
      </c>
      <c r="H691" s="107">
        <v>1425</v>
      </c>
    </row>
    <row r="692" spans="1:8">
      <c r="A692" s="107">
        <v>38</v>
      </c>
      <c r="B692" s="107">
        <v>3</v>
      </c>
      <c r="C692" s="107">
        <v>2</v>
      </c>
      <c r="D692" s="107" t="s">
        <v>556</v>
      </c>
      <c r="E692" s="107" t="s">
        <v>557</v>
      </c>
      <c r="F692" s="107">
        <v>530</v>
      </c>
      <c r="G692" s="195">
        <v>11</v>
      </c>
      <c r="H692" s="107"/>
    </row>
    <row r="693" spans="1:8">
      <c r="A693" s="107">
        <v>38</v>
      </c>
      <c r="B693" s="107">
        <v>3</v>
      </c>
      <c r="C693" s="107">
        <v>3</v>
      </c>
      <c r="D693" s="107" t="s">
        <v>556</v>
      </c>
      <c r="E693" s="107" t="s">
        <v>557</v>
      </c>
      <c r="F693" s="107">
        <v>1210</v>
      </c>
      <c r="G693" s="195">
        <v>9</v>
      </c>
      <c r="H693" s="107"/>
    </row>
    <row r="694" spans="1:8">
      <c r="A694" s="107">
        <v>38</v>
      </c>
      <c r="B694" s="107">
        <v>4</v>
      </c>
      <c r="C694" s="107">
        <v>1</v>
      </c>
      <c r="D694" s="107" t="s">
        <v>558</v>
      </c>
      <c r="E694" s="107" t="s">
        <v>559</v>
      </c>
      <c r="F694" s="107">
        <v>1060</v>
      </c>
      <c r="G694" s="195">
        <v>9</v>
      </c>
      <c r="H694" s="107">
        <v>1530</v>
      </c>
    </row>
    <row r="695" spans="1:8">
      <c r="A695" s="107">
        <v>38</v>
      </c>
      <c r="B695" s="107">
        <v>4</v>
      </c>
      <c r="C695" s="107">
        <v>2</v>
      </c>
      <c r="D695" s="107" t="s">
        <v>558</v>
      </c>
      <c r="E695" s="107" t="s">
        <v>559</v>
      </c>
      <c r="F695" s="107">
        <v>1230</v>
      </c>
      <c r="G695" s="195">
        <v>8</v>
      </c>
      <c r="H695" s="107"/>
    </row>
    <row r="696" spans="1:8">
      <c r="A696" s="107">
        <v>38</v>
      </c>
      <c r="B696" s="107">
        <v>4</v>
      </c>
      <c r="C696" s="107">
        <v>3</v>
      </c>
      <c r="D696" s="107" t="s">
        <v>558</v>
      </c>
      <c r="E696" s="107" t="s">
        <v>559</v>
      </c>
      <c r="F696" s="107">
        <v>1120</v>
      </c>
      <c r="G696" s="195">
        <v>8</v>
      </c>
      <c r="H696" s="107"/>
    </row>
    <row r="697" spans="1:8">
      <c r="A697" s="107">
        <v>38</v>
      </c>
      <c r="B697" s="107">
        <v>5</v>
      </c>
      <c r="C697" s="107">
        <v>1</v>
      </c>
      <c r="D697" s="107" t="s">
        <v>560</v>
      </c>
      <c r="E697" s="107" t="s">
        <v>561</v>
      </c>
      <c r="F697" s="107">
        <v>320</v>
      </c>
      <c r="G697" s="195">
        <v>7</v>
      </c>
      <c r="H697" s="107">
        <v>1580</v>
      </c>
    </row>
    <row r="698" spans="1:8">
      <c r="A698" s="107">
        <v>38</v>
      </c>
      <c r="B698" s="107">
        <v>5</v>
      </c>
      <c r="C698" s="107">
        <v>2</v>
      </c>
      <c r="D698" s="107" t="s">
        <v>560</v>
      </c>
      <c r="E698" s="107" t="s">
        <v>561</v>
      </c>
      <c r="F698" s="107">
        <v>1210</v>
      </c>
      <c r="G698" s="195">
        <v>13</v>
      </c>
      <c r="H698" s="107"/>
    </row>
    <row r="699" spans="1:8">
      <c r="A699" s="107">
        <v>38</v>
      </c>
      <c r="B699" s="107">
        <v>5</v>
      </c>
      <c r="C699" s="107">
        <v>3</v>
      </c>
      <c r="D699" s="107" t="s">
        <v>560</v>
      </c>
      <c r="E699" s="107" t="s">
        <v>561</v>
      </c>
      <c r="F699" s="107">
        <v>1180</v>
      </c>
      <c r="G699" s="195">
        <v>13</v>
      </c>
      <c r="H699" s="107"/>
    </row>
    <row r="700" spans="1:8">
      <c r="A700" s="107">
        <v>38</v>
      </c>
      <c r="B700" s="107">
        <v>6</v>
      </c>
      <c r="C700" s="107">
        <v>1</v>
      </c>
      <c r="D700" s="107" t="s">
        <v>562</v>
      </c>
      <c r="E700" s="107" t="s">
        <v>563</v>
      </c>
      <c r="F700" s="107">
        <v>920</v>
      </c>
      <c r="G700" s="195">
        <v>9</v>
      </c>
      <c r="H700" s="107">
        <v>1030</v>
      </c>
    </row>
    <row r="701" spans="1:8">
      <c r="A701" s="107">
        <v>38</v>
      </c>
      <c r="B701" s="107">
        <v>6</v>
      </c>
      <c r="C701" s="107">
        <v>2</v>
      </c>
      <c r="D701" s="107" t="s">
        <v>562</v>
      </c>
      <c r="E701" s="107" t="s">
        <v>563</v>
      </c>
      <c r="F701" s="107">
        <v>940</v>
      </c>
      <c r="G701" s="195">
        <v>7</v>
      </c>
      <c r="H701" s="107"/>
    </row>
    <row r="702" spans="1:8">
      <c r="A702" s="107">
        <v>38</v>
      </c>
      <c r="B702" s="107">
        <v>6</v>
      </c>
      <c r="C702" s="107">
        <v>3</v>
      </c>
      <c r="D702" s="107" t="s">
        <v>562</v>
      </c>
      <c r="E702" s="107" t="s">
        <v>563</v>
      </c>
      <c r="F702" s="196">
        <v>910</v>
      </c>
      <c r="G702" s="195">
        <v>9</v>
      </c>
      <c r="H702" s="107"/>
    </row>
    <row r="703" spans="1:8">
      <c r="A703" s="107">
        <v>39</v>
      </c>
      <c r="B703" s="107">
        <v>1</v>
      </c>
      <c r="C703" s="107">
        <v>1</v>
      </c>
      <c r="D703" s="107" t="s">
        <v>564</v>
      </c>
      <c r="E703" s="107" t="s">
        <v>565</v>
      </c>
      <c r="F703" s="107">
        <v>1110</v>
      </c>
      <c r="G703" s="195">
        <v>10</v>
      </c>
      <c r="H703" s="107">
        <v>1360</v>
      </c>
    </row>
    <row r="704" spans="1:8">
      <c r="A704" s="107">
        <v>39</v>
      </c>
      <c r="B704" s="107">
        <v>1</v>
      </c>
      <c r="C704" s="107">
        <v>2</v>
      </c>
      <c r="D704" s="107" t="s">
        <v>564</v>
      </c>
      <c r="E704" s="107" t="s">
        <v>565</v>
      </c>
      <c r="F704" s="107">
        <v>1050</v>
      </c>
      <c r="G704" s="195">
        <v>11</v>
      </c>
      <c r="H704" s="107"/>
    </row>
    <row r="705" spans="1:8">
      <c r="A705" s="107">
        <v>39</v>
      </c>
      <c r="B705" s="107">
        <v>1</v>
      </c>
      <c r="C705" s="107">
        <v>3</v>
      </c>
      <c r="D705" s="107" t="s">
        <v>564</v>
      </c>
      <c r="E705" s="107" t="s">
        <v>565</v>
      </c>
      <c r="F705" s="107">
        <v>1060</v>
      </c>
      <c r="G705" s="195">
        <v>11</v>
      </c>
      <c r="H705" s="107"/>
    </row>
    <row r="706" spans="1:8">
      <c r="A706" s="107">
        <v>39</v>
      </c>
      <c r="B706" s="107">
        <v>2</v>
      </c>
      <c r="C706" s="107">
        <v>1</v>
      </c>
      <c r="D706" s="107" t="s">
        <v>566</v>
      </c>
      <c r="E706" s="107" t="s">
        <v>567</v>
      </c>
      <c r="F706" s="107">
        <v>1180</v>
      </c>
      <c r="G706" s="195">
        <v>9</v>
      </c>
      <c r="H706" s="107">
        <v>1410</v>
      </c>
    </row>
    <row r="707" spans="1:8">
      <c r="A707" s="107">
        <v>39</v>
      </c>
      <c r="B707" s="107">
        <v>2</v>
      </c>
      <c r="C707" s="107">
        <v>2</v>
      </c>
      <c r="D707" s="107" t="s">
        <v>566</v>
      </c>
      <c r="E707" s="107" t="s">
        <v>567</v>
      </c>
      <c r="F707" s="107">
        <v>1080</v>
      </c>
      <c r="G707" s="195">
        <v>8</v>
      </c>
      <c r="H707" s="107"/>
    </row>
    <row r="708" spans="1:8">
      <c r="A708" s="107">
        <v>39</v>
      </c>
      <c r="B708" s="107">
        <v>2</v>
      </c>
      <c r="C708" s="107">
        <v>3</v>
      </c>
      <c r="D708" s="107" t="s">
        <v>566</v>
      </c>
      <c r="E708" s="107" t="s">
        <v>567</v>
      </c>
      <c r="F708" s="107">
        <v>1060</v>
      </c>
      <c r="G708" s="195">
        <v>9</v>
      </c>
      <c r="H708" s="107"/>
    </row>
    <row r="709" spans="1:8">
      <c r="A709" s="107">
        <v>39</v>
      </c>
      <c r="B709" s="107">
        <v>3</v>
      </c>
      <c r="C709" s="107">
        <v>1</v>
      </c>
      <c r="D709" s="107" t="s">
        <v>568</v>
      </c>
      <c r="E709" s="107" t="s">
        <v>569</v>
      </c>
      <c r="F709" s="107">
        <v>910</v>
      </c>
      <c r="G709" s="195">
        <v>8</v>
      </c>
      <c r="H709" s="107">
        <v>1220</v>
      </c>
    </row>
    <row r="710" spans="1:8">
      <c r="A710" s="107">
        <v>39</v>
      </c>
      <c r="B710" s="107">
        <v>3</v>
      </c>
      <c r="C710" s="107">
        <v>2</v>
      </c>
      <c r="D710" s="107" t="s">
        <v>568</v>
      </c>
      <c r="E710" s="107" t="s">
        <v>569</v>
      </c>
      <c r="F710" s="107">
        <v>1090</v>
      </c>
      <c r="G710" s="195">
        <v>8</v>
      </c>
      <c r="H710" s="107"/>
    </row>
    <row r="711" spans="1:8">
      <c r="A711" s="107">
        <v>39</v>
      </c>
      <c r="B711" s="107">
        <v>3</v>
      </c>
      <c r="C711" s="107">
        <v>3</v>
      </c>
      <c r="D711" s="107" t="s">
        <v>568</v>
      </c>
      <c r="E711" s="107" t="s">
        <v>569</v>
      </c>
      <c r="F711" s="107">
        <v>1050</v>
      </c>
      <c r="G711" s="195">
        <v>7</v>
      </c>
      <c r="H711" s="107"/>
    </row>
    <row r="712" spans="1:8">
      <c r="A712" s="107">
        <v>39</v>
      </c>
      <c r="B712" s="107">
        <v>4</v>
      </c>
      <c r="C712" s="107">
        <v>1</v>
      </c>
      <c r="D712" s="107" t="s">
        <v>570</v>
      </c>
      <c r="E712" s="107" t="s">
        <v>571</v>
      </c>
      <c r="F712" s="107">
        <v>1350</v>
      </c>
      <c r="G712" s="195">
        <v>8</v>
      </c>
      <c r="H712" s="196">
        <v>1450</v>
      </c>
    </row>
    <row r="713" spans="1:8">
      <c r="A713" s="107">
        <v>39</v>
      </c>
      <c r="B713" s="107">
        <v>4</v>
      </c>
      <c r="C713" s="107">
        <v>2</v>
      </c>
      <c r="D713" s="107" t="s">
        <v>570</v>
      </c>
      <c r="E713" s="107" t="s">
        <v>571</v>
      </c>
      <c r="F713" s="107">
        <v>1140</v>
      </c>
      <c r="G713" s="195">
        <v>10</v>
      </c>
      <c r="H713" s="107"/>
    </row>
    <row r="714" spans="1:8">
      <c r="A714" s="107">
        <v>39</v>
      </c>
      <c r="B714" s="107">
        <v>4</v>
      </c>
      <c r="C714" s="107">
        <v>3</v>
      </c>
      <c r="D714" s="107" t="s">
        <v>570</v>
      </c>
      <c r="E714" s="107" t="s">
        <v>571</v>
      </c>
      <c r="F714" s="107">
        <v>930</v>
      </c>
      <c r="G714" s="195">
        <v>8</v>
      </c>
      <c r="H714" s="107"/>
    </row>
    <row r="715" spans="1:8">
      <c r="A715" s="107">
        <v>39</v>
      </c>
      <c r="B715" s="107">
        <v>5</v>
      </c>
      <c r="C715" s="107">
        <v>1</v>
      </c>
      <c r="D715" s="107" t="s">
        <v>572</v>
      </c>
      <c r="E715" s="107" t="s">
        <v>573</v>
      </c>
      <c r="F715" s="107">
        <v>1100</v>
      </c>
      <c r="G715" s="195">
        <v>9</v>
      </c>
      <c r="H715" s="107">
        <v>1350</v>
      </c>
    </row>
    <row r="716" spans="1:8">
      <c r="A716" s="107">
        <v>39</v>
      </c>
      <c r="B716" s="107">
        <v>5</v>
      </c>
      <c r="C716" s="107">
        <v>2</v>
      </c>
      <c r="D716" s="107" t="s">
        <v>572</v>
      </c>
      <c r="E716" s="107" t="s">
        <v>573</v>
      </c>
      <c r="F716" s="107">
        <v>1010</v>
      </c>
      <c r="G716" s="195">
        <v>9</v>
      </c>
      <c r="H716" s="107"/>
    </row>
    <row r="717" spans="1:8">
      <c r="A717" s="107">
        <v>39</v>
      </c>
      <c r="B717" s="107">
        <v>5</v>
      </c>
      <c r="C717" s="107">
        <v>3</v>
      </c>
      <c r="D717" s="107" t="s">
        <v>572</v>
      </c>
      <c r="E717" s="107" t="s">
        <v>573</v>
      </c>
      <c r="F717" s="107">
        <v>1120</v>
      </c>
      <c r="G717" s="195">
        <v>9</v>
      </c>
      <c r="H717" s="107"/>
    </row>
    <row r="718" spans="1:8">
      <c r="A718" s="107">
        <v>39</v>
      </c>
      <c r="B718" s="107">
        <v>6</v>
      </c>
      <c r="C718" s="107">
        <v>1</v>
      </c>
      <c r="D718" s="107" t="s">
        <v>574</v>
      </c>
      <c r="E718" s="107" t="s">
        <v>575</v>
      </c>
      <c r="F718" s="107">
        <v>1150</v>
      </c>
      <c r="G718" s="195">
        <v>11</v>
      </c>
      <c r="H718" s="107">
        <v>1330</v>
      </c>
    </row>
    <row r="719" spans="1:8">
      <c r="A719" s="107">
        <v>39</v>
      </c>
      <c r="B719" s="107">
        <v>6</v>
      </c>
      <c r="C719" s="107">
        <v>2</v>
      </c>
      <c r="D719" s="107" t="s">
        <v>574</v>
      </c>
      <c r="E719" s="107" t="s">
        <v>575</v>
      </c>
      <c r="F719" s="107">
        <v>1050</v>
      </c>
      <c r="G719" s="195">
        <v>9</v>
      </c>
      <c r="H719" s="107"/>
    </row>
    <row r="720" spans="1:8">
      <c r="A720" s="107">
        <v>39</v>
      </c>
      <c r="B720" s="107">
        <v>6</v>
      </c>
      <c r="C720" s="107">
        <v>3</v>
      </c>
      <c r="D720" s="107" t="s">
        <v>574</v>
      </c>
      <c r="E720" s="107" t="s">
        <v>575</v>
      </c>
      <c r="F720" s="107">
        <v>1020</v>
      </c>
      <c r="G720" s="195">
        <v>10</v>
      </c>
      <c r="H720" s="107"/>
    </row>
    <row r="721" spans="1:8">
      <c r="A721" s="107">
        <v>40</v>
      </c>
      <c r="B721" s="107">
        <v>1</v>
      </c>
      <c r="C721" s="107">
        <v>1</v>
      </c>
      <c r="D721" s="107" t="s">
        <v>576</v>
      </c>
      <c r="E721" s="107" t="s">
        <v>577</v>
      </c>
      <c r="F721" s="107">
        <v>910</v>
      </c>
      <c r="G721" s="195">
        <v>12</v>
      </c>
      <c r="H721" s="107">
        <v>1490</v>
      </c>
    </row>
    <row r="722" spans="1:8">
      <c r="A722" s="107">
        <v>40</v>
      </c>
      <c r="B722" s="107">
        <v>1</v>
      </c>
      <c r="C722" s="107">
        <v>2</v>
      </c>
      <c r="D722" s="107" t="s">
        <v>576</v>
      </c>
      <c r="E722" s="107" t="s">
        <v>577</v>
      </c>
      <c r="F722" s="107">
        <v>1000</v>
      </c>
      <c r="G722" s="195">
        <v>10</v>
      </c>
      <c r="H722" s="107"/>
    </row>
    <row r="723" spans="1:8">
      <c r="A723" s="107">
        <v>40</v>
      </c>
      <c r="B723" s="107">
        <v>1</v>
      </c>
      <c r="C723" s="107">
        <v>3</v>
      </c>
      <c r="D723" s="107" t="s">
        <v>576</v>
      </c>
      <c r="E723" s="107" t="s">
        <v>577</v>
      </c>
      <c r="F723" s="107">
        <v>640</v>
      </c>
      <c r="G723" s="195">
        <v>13</v>
      </c>
      <c r="H723" s="107"/>
    </row>
    <row r="724" spans="1:8">
      <c r="A724" s="107">
        <v>40</v>
      </c>
      <c r="B724" s="107">
        <v>2</v>
      </c>
      <c r="C724" s="107">
        <v>1</v>
      </c>
      <c r="D724" s="107" t="s">
        <v>578</v>
      </c>
      <c r="E724" s="107" t="s">
        <v>579</v>
      </c>
      <c r="F724" s="107">
        <v>900</v>
      </c>
      <c r="G724" s="195">
        <v>11</v>
      </c>
      <c r="H724" s="107">
        <v>1400</v>
      </c>
    </row>
    <row r="725" spans="1:8">
      <c r="A725" s="107">
        <v>40</v>
      </c>
      <c r="B725" s="107">
        <v>2</v>
      </c>
      <c r="C725" s="107">
        <v>2</v>
      </c>
      <c r="D725" s="107" t="s">
        <v>578</v>
      </c>
      <c r="E725" s="107" t="s">
        <v>579</v>
      </c>
      <c r="F725" s="107">
        <v>1120</v>
      </c>
      <c r="G725" s="195">
        <v>11</v>
      </c>
      <c r="H725" s="107"/>
    </row>
    <row r="726" spans="1:8">
      <c r="A726" s="107">
        <v>40</v>
      </c>
      <c r="B726" s="107">
        <v>2</v>
      </c>
      <c r="C726" s="107">
        <v>3</v>
      </c>
      <c r="D726" s="107" t="s">
        <v>578</v>
      </c>
      <c r="E726" s="107" t="s">
        <v>579</v>
      </c>
      <c r="F726" s="107">
        <v>820</v>
      </c>
      <c r="G726" s="195">
        <v>12</v>
      </c>
      <c r="H726" s="107"/>
    </row>
    <row r="727" spans="1:8">
      <c r="A727" s="107">
        <v>40</v>
      </c>
      <c r="B727" s="107">
        <v>3</v>
      </c>
      <c r="C727" s="107">
        <v>1</v>
      </c>
      <c r="D727" s="107" t="s">
        <v>580</v>
      </c>
      <c r="E727" s="107" t="s">
        <v>581</v>
      </c>
      <c r="F727" s="107">
        <v>960</v>
      </c>
      <c r="G727" s="195">
        <v>12</v>
      </c>
      <c r="H727" s="107">
        <v>1315</v>
      </c>
    </row>
    <row r="728" spans="1:8">
      <c r="A728" s="107">
        <v>40</v>
      </c>
      <c r="B728" s="107">
        <v>3</v>
      </c>
      <c r="C728" s="107">
        <v>2</v>
      </c>
      <c r="D728" s="107" t="s">
        <v>580</v>
      </c>
      <c r="E728" s="107" t="s">
        <v>581</v>
      </c>
      <c r="F728" s="107">
        <v>1000</v>
      </c>
      <c r="G728" s="195">
        <v>10</v>
      </c>
      <c r="H728" s="107"/>
    </row>
    <row r="729" spans="1:8">
      <c r="A729" s="107">
        <v>40</v>
      </c>
      <c r="B729" s="107">
        <v>3</v>
      </c>
      <c r="C729" s="107">
        <v>3</v>
      </c>
      <c r="D729" s="107" t="s">
        <v>580</v>
      </c>
      <c r="E729" s="107" t="s">
        <v>581</v>
      </c>
      <c r="F729" s="107">
        <v>870</v>
      </c>
      <c r="G729" s="195">
        <v>10</v>
      </c>
      <c r="H729" s="107"/>
    </row>
    <row r="730" spans="1:8">
      <c r="A730" s="107">
        <v>40</v>
      </c>
      <c r="B730" s="107">
        <v>4</v>
      </c>
      <c r="C730" s="107">
        <v>1</v>
      </c>
      <c r="D730" s="107" t="s">
        <v>582</v>
      </c>
      <c r="E730" s="107" t="s">
        <v>583</v>
      </c>
      <c r="F730" s="107">
        <v>990</v>
      </c>
      <c r="G730" s="195">
        <v>11</v>
      </c>
      <c r="H730" s="107">
        <v>1340</v>
      </c>
    </row>
    <row r="731" spans="1:8">
      <c r="A731" s="107">
        <v>40</v>
      </c>
      <c r="B731" s="107">
        <v>4</v>
      </c>
      <c r="C731" s="107">
        <v>2</v>
      </c>
      <c r="D731" s="107" t="s">
        <v>582</v>
      </c>
      <c r="E731" s="107" t="s">
        <v>583</v>
      </c>
      <c r="F731" s="107">
        <v>1060</v>
      </c>
      <c r="G731" s="195">
        <v>12</v>
      </c>
      <c r="H731" s="107"/>
    </row>
    <row r="732" spans="1:8">
      <c r="A732" s="107">
        <v>40</v>
      </c>
      <c r="B732" s="107">
        <v>4</v>
      </c>
      <c r="C732" s="107">
        <v>3</v>
      </c>
      <c r="D732" s="107" t="s">
        <v>582</v>
      </c>
      <c r="E732" s="107" t="s">
        <v>583</v>
      </c>
      <c r="F732" s="107">
        <v>930</v>
      </c>
      <c r="G732" s="195">
        <v>11</v>
      </c>
      <c r="H732" s="107"/>
    </row>
    <row r="733" spans="1:8">
      <c r="A733" s="107">
        <v>40</v>
      </c>
      <c r="B733" s="107">
        <v>5</v>
      </c>
      <c r="C733" s="107">
        <v>1</v>
      </c>
      <c r="D733" s="107" t="s">
        <v>584</v>
      </c>
      <c r="E733" s="107" t="s">
        <v>585</v>
      </c>
      <c r="F733" s="107">
        <v>1100</v>
      </c>
      <c r="G733" s="195">
        <v>10</v>
      </c>
      <c r="H733" s="107">
        <v>1480</v>
      </c>
    </row>
    <row r="734" spans="1:8">
      <c r="A734" s="107">
        <v>40</v>
      </c>
      <c r="B734" s="107">
        <v>5</v>
      </c>
      <c r="C734" s="107">
        <v>2</v>
      </c>
      <c r="D734" s="107" t="s">
        <v>584</v>
      </c>
      <c r="E734" s="107" t="s">
        <v>585</v>
      </c>
      <c r="F734" s="107">
        <v>1100</v>
      </c>
      <c r="G734" s="195">
        <v>9</v>
      </c>
      <c r="H734" s="107"/>
    </row>
    <row r="735" spans="1:8">
      <c r="A735" s="107">
        <v>40</v>
      </c>
      <c r="B735" s="107">
        <v>5</v>
      </c>
      <c r="C735" s="107">
        <v>3</v>
      </c>
      <c r="D735" s="107" t="s">
        <v>584</v>
      </c>
      <c r="E735" s="107" t="s">
        <v>585</v>
      </c>
      <c r="F735" s="107">
        <v>1070</v>
      </c>
      <c r="G735" s="195">
        <v>9</v>
      </c>
      <c r="H735" s="107"/>
    </row>
    <row r="736" spans="1:8">
      <c r="A736" s="107">
        <v>40</v>
      </c>
      <c r="B736" s="107">
        <v>6</v>
      </c>
      <c r="C736" s="107">
        <v>1</v>
      </c>
      <c r="D736" s="107" t="s">
        <v>586</v>
      </c>
      <c r="E736" s="107" t="s">
        <v>587</v>
      </c>
      <c r="F736" s="107">
        <v>960</v>
      </c>
      <c r="G736" s="195">
        <v>11</v>
      </c>
      <c r="H736" s="107">
        <v>1120</v>
      </c>
    </row>
    <row r="737" spans="1:8">
      <c r="A737" s="107">
        <v>40</v>
      </c>
      <c r="B737" s="107">
        <v>6</v>
      </c>
      <c r="C737" s="107">
        <v>2</v>
      </c>
      <c r="D737" s="107" t="s">
        <v>586</v>
      </c>
      <c r="E737" s="107" t="s">
        <v>587</v>
      </c>
      <c r="F737" s="107">
        <v>900</v>
      </c>
      <c r="G737" s="195">
        <v>10</v>
      </c>
      <c r="H737" s="107"/>
    </row>
    <row r="738" spans="1:8">
      <c r="A738" s="107">
        <v>40</v>
      </c>
      <c r="B738" s="107">
        <v>6</v>
      </c>
      <c r="C738" s="107">
        <v>3</v>
      </c>
      <c r="D738" s="107" t="s">
        <v>586</v>
      </c>
      <c r="E738" s="107" t="s">
        <v>587</v>
      </c>
      <c r="F738" s="107">
        <v>930</v>
      </c>
      <c r="G738" s="195">
        <v>10</v>
      </c>
      <c r="H738" s="107"/>
    </row>
    <row r="740" spans="1:8">
      <c r="A740" s="107">
        <v>41</v>
      </c>
      <c r="B740" s="107">
        <v>1</v>
      </c>
      <c r="C740" s="107">
        <v>1</v>
      </c>
      <c r="D740" s="107" t="s">
        <v>588</v>
      </c>
      <c r="E740" s="107" t="s">
        <v>589</v>
      </c>
      <c r="F740" s="107">
        <v>850</v>
      </c>
      <c r="G740" s="107">
        <v>11</v>
      </c>
      <c r="H740" s="107">
        <v>1250</v>
      </c>
    </row>
    <row r="741" spans="1:8">
      <c r="A741" s="107">
        <v>41</v>
      </c>
      <c r="B741" s="107">
        <v>1</v>
      </c>
      <c r="C741" s="107">
        <v>2</v>
      </c>
      <c r="D741" s="107" t="s">
        <v>588</v>
      </c>
      <c r="E741" s="107" t="s">
        <v>589</v>
      </c>
      <c r="F741" s="107">
        <v>1050</v>
      </c>
      <c r="G741" s="195">
        <v>11</v>
      </c>
      <c r="H741" s="107"/>
    </row>
    <row r="742" spans="1:8">
      <c r="A742" s="107">
        <v>41</v>
      </c>
      <c r="B742" s="107">
        <v>1</v>
      </c>
      <c r="C742" s="107">
        <v>3</v>
      </c>
      <c r="D742" s="107" t="s">
        <v>588</v>
      </c>
      <c r="E742" s="107" t="s">
        <v>589</v>
      </c>
      <c r="F742" s="107">
        <v>760</v>
      </c>
      <c r="G742" s="195">
        <v>13</v>
      </c>
      <c r="H742" s="107"/>
    </row>
    <row r="743" spans="1:8">
      <c r="A743" s="107">
        <v>41</v>
      </c>
      <c r="B743" s="107">
        <v>2</v>
      </c>
      <c r="C743" s="107">
        <v>1</v>
      </c>
      <c r="D743" s="107" t="s">
        <v>590</v>
      </c>
      <c r="E743" s="107" t="s">
        <v>591</v>
      </c>
      <c r="F743" s="107">
        <v>980</v>
      </c>
      <c r="G743" s="195">
        <v>9</v>
      </c>
      <c r="H743" s="107">
        <v>1130</v>
      </c>
    </row>
    <row r="744" spans="1:8">
      <c r="A744" s="107">
        <v>41</v>
      </c>
      <c r="B744" s="107">
        <v>2</v>
      </c>
      <c r="C744" s="107">
        <v>2</v>
      </c>
      <c r="D744" s="107" t="s">
        <v>590</v>
      </c>
      <c r="E744" s="107" t="s">
        <v>591</v>
      </c>
      <c r="F744" s="107">
        <v>1100</v>
      </c>
      <c r="G744" s="195">
        <v>10</v>
      </c>
      <c r="H744" s="107"/>
    </row>
    <row r="745" spans="1:8">
      <c r="A745" s="107">
        <v>41</v>
      </c>
      <c r="B745" s="107">
        <v>2</v>
      </c>
      <c r="C745" s="107">
        <v>3</v>
      </c>
      <c r="D745" s="107" t="s">
        <v>590</v>
      </c>
      <c r="E745" s="107" t="s">
        <v>591</v>
      </c>
      <c r="F745" s="107">
        <v>1050</v>
      </c>
      <c r="G745" s="195">
        <v>11</v>
      </c>
      <c r="H745" s="107"/>
    </row>
    <row r="746" spans="1:8">
      <c r="A746" s="107">
        <v>41</v>
      </c>
      <c r="B746" s="107">
        <v>3</v>
      </c>
      <c r="C746" s="107">
        <v>1</v>
      </c>
      <c r="D746" s="107" t="s">
        <v>592</v>
      </c>
      <c r="E746" s="107" t="s">
        <v>593</v>
      </c>
      <c r="F746" s="107">
        <v>1030</v>
      </c>
      <c r="G746" s="195">
        <v>14</v>
      </c>
      <c r="H746" s="107">
        <v>1450</v>
      </c>
    </row>
    <row r="747" spans="1:8">
      <c r="A747" s="107">
        <v>41</v>
      </c>
      <c r="B747" s="107">
        <v>3</v>
      </c>
      <c r="C747" s="107">
        <v>2</v>
      </c>
      <c r="D747" s="107" t="s">
        <v>592</v>
      </c>
      <c r="E747" s="107" t="s">
        <v>593</v>
      </c>
      <c r="F747" s="107">
        <v>950</v>
      </c>
      <c r="G747" s="195">
        <v>7</v>
      </c>
      <c r="H747" s="107"/>
    </row>
    <row r="748" spans="1:8">
      <c r="A748" s="107">
        <v>41</v>
      </c>
      <c r="B748" s="107">
        <v>3</v>
      </c>
      <c r="C748" s="107">
        <v>3</v>
      </c>
      <c r="D748" s="107" t="s">
        <v>592</v>
      </c>
      <c r="E748" s="107" t="s">
        <v>593</v>
      </c>
      <c r="F748" s="107">
        <v>800</v>
      </c>
      <c r="G748" s="195">
        <v>10</v>
      </c>
      <c r="H748" s="107"/>
    </row>
    <row r="749" spans="1:8">
      <c r="A749" s="107">
        <v>41</v>
      </c>
      <c r="B749" s="107">
        <v>4</v>
      </c>
      <c r="C749" s="107">
        <v>1</v>
      </c>
      <c r="D749" s="107" t="s">
        <v>594</v>
      </c>
      <c r="E749" s="107" t="s">
        <v>595</v>
      </c>
      <c r="F749" s="107">
        <v>1420</v>
      </c>
      <c r="G749" s="195">
        <v>10</v>
      </c>
      <c r="H749" s="107">
        <v>1500</v>
      </c>
    </row>
    <row r="750" spans="1:8">
      <c r="A750" s="107">
        <v>41</v>
      </c>
      <c r="B750" s="107">
        <v>4</v>
      </c>
      <c r="C750" s="107">
        <v>2</v>
      </c>
      <c r="D750" s="107" t="s">
        <v>594</v>
      </c>
      <c r="E750" s="107" t="s">
        <v>595</v>
      </c>
      <c r="F750" s="107">
        <v>1230</v>
      </c>
      <c r="G750" s="195">
        <v>10</v>
      </c>
      <c r="H750" s="107"/>
    </row>
    <row r="751" spans="1:8">
      <c r="A751" s="107">
        <v>41</v>
      </c>
      <c r="B751" s="107">
        <v>4</v>
      </c>
      <c r="C751" s="107">
        <v>3</v>
      </c>
      <c r="D751" s="107" t="s">
        <v>594</v>
      </c>
      <c r="E751" s="107" t="s">
        <v>595</v>
      </c>
      <c r="F751" s="196">
        <v>1300</v>
      </c>
      <c r="G751" s="195">
        <v>8</v>
      </c>
      <c r="H751" s="107"/>
    </row>
    <row r="752" spans="1:8">
      <c r="A752" s="107">
        <v>41</v>
      </c>
      <c r="B752" s="107">
        <v>5</v>
      </c>
      <c r="C752" s="107">
        <v>1</v>
      </c>
      <c r="D752" s="107" t="s">
        <v>596</v>
      </c>
      <c r="E752" s="107" t="s">
        <v>597</v>
      </c>
      <c r="F752" s="107">
        <v>1070</v>
      </c>
      <c r="G752" s="195">
        <v>14</v>
      </c>
      <c r="H752" s="107">
        <v>1290</v>
      </c>
    </row>
    <row r="753" spans="1:8">
      <c r="A753" s="107">
        <v>41</v>
      </c>
      <c r="B753" s="107">
        <v>5</v>
      </c>
      <c r="C753" s="107">
        <v>2</v>
      </c>
      <c r="D753" s="107" t="s">
        <v>596</v>
      </c>
      <c r="E753" s="107" t="s">
        <v>597</v>
      </c>
      <c r="F753" s="107">
        <v>1100</v>
      </c>
      <c r="G753" s="195">
        <v>10</v>
      </c>
      <c r="H753" s="107"/>
    </row>
    <row r="754" spans="1:8">
      <c r="A754" s="107">
        <v>41</v>
      </c>
      <c r="B754" s="107">
        <v>5</v>
      </c>
      <c r="C754" s="107">
        <v>3</v>
      </c>
      <c r="D754" s="107" t="s">
        <v>596</v>
      </c>
      <c r="E754" s="107" t="s">
        <v>597</v>
      </c>
      <c r="F754" s="107">
        <v>1110</v>
      </c>
      <c r="G754" s="195">
        <v>10</v>
      </c>
      <c r="H754" s="107"/>
    </row>
    <row r="755" spans="1:8">
      <c r="A755" s="107">
        <v>41</v>
      </c>
      <c r="B755" s="107">
        <v>6</v>
      </c>
      <c r="C755" s="107">
        <v>1</v>
      </c>
      <c r="D755" s="107" t="s">
        <v>598</v>
      </c>
      <c r="E755" s="107" t="s">
        <v>599</v>
      </c>
      <c r="F755" s="107">
        <v>1030</v>
      </c>
      <c r="G755" s="195">
        <v>14</v>
      </c>
      <c r="H755" s="107">
        <v>1420</v>
      </c>
    </row>
    <row r="756" spans="1:8">
      <c r="A756" s="107">
        <v>41</v>
      </c>
      <c r="B756" s="107">
        <v>6</v>
      </c>
      <c r="C756" s="107">
        <v>2</v>
      </c>
      <c r="D756" s="107" t="s">
        <v>598</v>
      </c>
      <c r="E756" s="107" t="s">
        <v>599</v>
      </c>
      <c r="F756" s="107">
        <v>970</v>
      </c>
      <c r="G756" s="195">
        <v>14</v>
      </c>
      <c r="H756" s="107"/>
    </row>
    <row r="757" spans="1:8">
      <c r="A757" s="107">
        <v>41</v>
      </c>
      <c r="B757" s="107">
        <v>6</v>
      </c>
      <c r="C757" s="107">
        <v>3</v>
      </c>
      <c r="D757" s="107" t="s">
        <v>598</v>
      </c>
      <c r="E757" s="107" t="s">
        <v>599</v>
      </c>
      <c r="F757" s="107">
        <v>990</v>
      </c>
      <c r="G757" s="195">
        <v>12</v>
      </c>
      <c r="H757" s="107"/>
    </row>
    <row r="758" spans="1:8">
      <c r="A758" s="107">
        <v>42</v>
      </c>
      <c r="B758" s="107">
        <v>1</v>
      </c>
      <c r="C758" s="107">
        <v>1</v>
      </c>
      <c r="D758" s="107" t="s">
        <v>600</v>
      </c>
      <c r="E758" s="107" t="s">
        <v>601</v>
      </c>
      <c r="F758" s="107">
        <v>280</v>
      </c>
      <c r="G758" s="195">
        <v>7</v>
      </c>
      <c r="H758" s="107">
        <v>500</v>
      </c>
    </row>
    <row r="759" spans="1:8">
      <c r="A759" s="107">
        <v>42</v>
      </c>
      <c r="B759" s="107">
        <v>1</v>
      </c>
      <c r="C759" s="107">
        <v>2</v>
      </c>
      <c r="D759" s="107" t="s">
        <v>600</v>
      </c>
      <c r="E759" s="107" t="s">
        <v>601</v>
      </c>
      <c r="F759" s="107">
        <v>310</v>
      </c>
      <c r="G759" s="195">
        <v>6</v>
      </c>
      <c r="H759" s="107"/>
    </row>
    <row r="760" spans="1:8">
      <c r="A760" s="107">
        <v>42</v>
      </c>
      <c r="B760" s="107">
        <v>1</v>
      </c>
      <c r="C760" s="107">
        <v>3</v>
      </c>
      <c r="D760" s="107" t="s">
        <v>600</v>
      </c>
      <c r="E760" s="107" t="s">
        <v>601</v>
      </c>
      <c r="F760" s="107">
        <v>240</v>
      </c>
      <c r="G760" s="195">
        <v>5</v>
      </c>
      <c r="H760" s="107"/>
    </row>
    <row r="761" spans="1:8">
      <c r="A761" s="107">
        <v>42</v>
      </c>
      <c r="B761" s="107">
        <v>2</v>
      </c>
      <c r="C761" s="107">
        <v>1</v>
      </c>
      <c r="D761" s="107" t="s">
        <v>602</v>
      </c>
      <c r="E761" s="107" t="s">
        <v>603</v>
      </c>
      <c r="F761" s="107">
        <v>1090</v>
      </c>
      <c r="G761" s="195">
        <v>13</v>
      </c>
      <c r="H761" s="107">
        <v>1520</v>
      </c>
    </row>
    <row r="762" spans="1:8">
      <c r="A762" s="107">
        <v>42</v>
      </c>
      <c r="B762" s="107">
        <v>2</v>
      </c>
      <c r="C762" s="107">
        <v>2</v>
      </c>
      <c r="D762" s="107" t="s">
        <v>602</v>
      </c>
      <c r="E762" s="107" t="s">
        <v>603</v>
      </c>
      <c r="F762" s="107">
        <v>1090</v>
      </c>
      <c r="G762" s="195">
        <v>12</v>
      </c>
      <c r="H762" s="196"/>
    </row>
    <row r="763" spans="1:8">
      <c r="A763" s="107">
        <v>42</v>
      </c>
      <c r="B763" s="107">
        <v>2</v>
      </c>
      <c r="C763" s="107">
        <v>3</v>
      </c>
      <c r="D763" s="107" t="s">
        <v>602</v>
      </c>
      <c r="E763" s="107" t="s">
        <v>603</v>
      </c>
      <c r="F763" s="107">
        <v>100</v>
      </c>
      <c r="G763" s="195">
        <v>9</v>
      </c>
      <c r="H763" s="107"/>
    </row>
    <row r="764" spans="1:8">
      <c r="A764" s="107">
        <v>42</v>
      </c>
      <c r="B764" s="107">
        <v>3</v>
      </c>
      <c r="C764" s="107">
        <v>1</v>
      </c>
      <c r="D764" s="107" t="s">
        <v>604</v>
      </c>
      <c r="E764" s="107" t="s">
        <v>605</v>
      </c>
      <c r="F764" s="107">
        <v>990</v>
      </c>
      <c r="G764" s="195">
        <v>10</v>
      </c>
      <c r="H764" s="107">
        <v>1590</v>
      </c>
    </row>
    <row r="765" spans="1:8">
      <c r="A765" s="107">
        <v>42</v>
      </c>
      <c r="B765" s="107">
        <v>3</v>
      </c>
      <c r="C765" s="107">
        <v>2</v>
      </c>
      <c r="D765" s="107" t="s">
        <v>604</v>
      </c>
      <c r="E765" s="107" t="s">
        <v>605</v>
      </c>
      <c r="F765" s="107">
        <v>850</v>
      </c>
      <c r="G765" s="195">
        <v>9</v>
      </c>
      <c r="H765" s="107"/>
    </row>
    <row r="766" spans="1:8">
      <c r="A766" s="107">
        <v>42</v>
      </c>
      <c r="B766" s="107">
        <v>3</v>
      </c>
      <c r="C766" s="107">
        <v>3</v>
      </c>
      <c r="D766" s="107" t="s">
        <v>604</v>
      </c>
      <c r="E766" s="107" t="s">
        <v>605</v>
      </c>
      <c r="F766" s="107">
        <v>500</v>
      </c>
      <c r="G766" s="195">
        <v>9</v>
      </c>
      <c r="H766" s="107"/>
    </row>
    <row r="767" spans="1:8">
      <c r="A767" s="107">
        <v>42</v>
      </c>
      <c r="B767" s="107">
        <v>4</v>
      </c>
      <c r="C767" s="107">
        <v>1</v>
      </c>
      <c r="D767" s="107" t="s">
        <v>606</v>
      </c>
      <c r="E767" s="107" t="s">
        <v>607</v>
      </c>
      <c r="F767" s="107">
        <v>450</v>
      </c>
      <c r="G767" s="195">
        <v>11</v>
      </c>
      <c r="H767" s="107">
        <v>1620</v>
      </c>
    </row>
    <row r="768" spans="1:8">
      <c r="A768" s="107">
        <v>42</v>
      </c>
      <c r="B768" s="107">
        <v>4</v>
      </c>
      <c r="C768" s="107">
        <v>2</v>
      </c>
      <c r="D768" s="107" t="s">
        <v>606</v>
      </c>
      <c r="E768" s="107" t="s">
        <v>607</v>
      </c>
      <c r="F768" s="107">
        <v>920</v>
      </c>
      <c r="G768" s="195">
        <v>11</v>
      </c>
      <c r="H768" s="107"/>
    </row>
    <row r="769" spans="1:8">
      <c r="A769" s="107">
        <v>42</v>
      </c>
      <c r="B769" s="107">
        <v>4</v>
      </c>
      <c r="C769" s="107">
        <v>3</v>
      </c>
      <c r="D769" s="107" t="s">
        <v>606</v>
      </c>
      <c r="E769" s="107" t="s">
        <v>607</v>
      </c>
      <c r="F769" s="107">
        <v>700</v>
      </c>
      <c r="G769" s="195">
        <v>12</v>
      </c>
      <c r="H769" s="107"/>
    </row>
    <row r="770" spans="1:8">
      <c r="A770" s="107">
        <v>42</v>
      </c>
      <c r="B770" s="107">
        <v>5</v>
      </c>
      <c r="C770" s="107">
        <v>1</v>
      </c>
      <c r="D770" s="107" t="s">
        <v>608</v>
      </c>
      <c r="E770" s="107" t="s">
        <v>609</v>
      </c>
      <c r="F770" s="107">
        <v>700</v>
      </c>
      <c r="G770" s="195">
        <v>11</v>
      </c>
      <c r="H770" s="107">
        <v>1650</v>
      </c>
    </row>
    <row r="771" spans="1:8">
      <c r="A771" s="107">
        <v>42</v>
      </c>
      <c r="B771" s="107">
        <v>5</v>
      </c>
      <c r="C771" s="107">
        <v>2</v>
      </c>
      <c r="D771" s="107" t="s">
        <v>608</v>
      </c>
      <c r="E771" s="107" t="s">
        <v>609</v>
      </c>
      <c r="F771" s="107">
        <v>1050</v>
      </c>
      <c r="G771" s="195">
        <v>12</v>
      </c>
      <c r="H771" s="107"/>
    </row>
    <row r="772" spans="1:8">
      <c r="A772" s="107">
        <v>42</v>
      </c>
      <c r="B772" s="107">
        <v>5</v>
      </c>
      <c r="C772" s="107">
        <v>3</v>
      </c>
      <c r="D772" s="107" t="s">
        <v>608</v>
      </c>
      <c r="E772" s="107" t="s">
        <v>609</v>
      </c>
      <c r="F772" s="107">
        <v>900</v>
      </c>
      <c r="G772" s="195">
        <v>10</v>
      </c>
      <c r="H772" s="107"/>
    </row>
    <row r="773" spans="1:8">
      <c r="A773" s="107">
        <v>42</v>
      </c>
      <c r="B773" s="107">
        <v>6</v>
      </c>
      <c r="C773" s="107">
        <v>1</v>
      </c>
      <c r="D773" s="107" t="s">
        <v>610</v>
      </c>
      <c r="E773" s="107" t="s">
        <v>611</v>
      </c>
      <c r="F773" s="107">
        <v>870</v>
      </c>
      <c r="G773" s="195">
        <v>11</v>
      </c>
      <c r="H773" s="107">
        <v>1600</v>
      </c>
    </row>
    <row r="774" spans="1:8">
      <c r="A774" s="107">
        <v>42</v>
      </c>
      <c r="B774" s="107">
        <v>6</v>
      </c>
      <c r="C774" s="107">
        <v>2</v>
      </c>
      <c r="D774" s="107" t="s">
        <v>610</v>
      </c>
      <c r="E774" s="107" t="s">
        <v>611</v>
      </c>
      <c r="F774" s="107">
        <v>900</v>
      </c>
      <c r="G774" s="195">
        <v>11</v>
      </c>
      <c r="H774" s="107"/>
    </row>
    <row r="775" spans="1:8">
      <c r="A775" s="107">
        <v>42</v>
      </c>
      <c r="B775" s="107">
        <v>6</v>
      </c>
      <c r="C775" s="107">
        <v>3</v>
      </c>
      <c r="D775" s="107" t="s">
        <v>610</v>
      </c>
      <c r="E775" s="107" t="s">
        <v>611</v>
      </c>
      <c r="F775" s="107">
        <v>320</v>
      </c>
      <c r="G775" s="195">
        <v>7</v>
      </c>
      <c r="H775" s="107"/>
    </row>
    <row r="776" spans="1:8">
      <c r="A776" s="107">
        <v>43</v>
      </c>
      <c r="B776" s="107">
        <v>1</v>
      </c>
      <c r="C776" s="107">
        <v>1</v>
      </c>
      <c r="D776" s="107" t="s">
        <v>612</v>
      </c>
      <c r="E776" s="107" t="s">
        <v>613</v>
      </c>
      <c r="F776" s="107">
        <v>1270</v>
      </c>
      <c r="G776" s="195">
        <v>14</v>
      </c>
      <c r="H776" s="107">
        <v>1800</v>
      </c>
    </row>
    <row r="777" spans="1:8">
      <c r="A777" s="107">
        <v>43</v>
      </c>
      <c r="B777" s="107">
        <v>1</v>
      </c>
      <c r="C777" s="107">
        <v>2</v>
      </c>
      <c r="D777" s="107" t="s">
        <v>612</v>
      </c>
      <c r="E777" s="107" t="s">
        <v>613</v>
      </c>
      <c r="F777" s="107">
        <v>1200</v>
      </c>
      <c r="G777" s="195">
        <v>12</v>
      </c>
      <c r="H777" s="107"/>
    </row>
    <row r="778" spans="1:8">
      <c r="A778" s="107">
        <v>43</v>
      </c>
      <c r="B778" s="107">
        <v>1</v>
      </c>
      <c r="C778" s="107">
        <v>3</v>
      </c>
      <c r="D778" s="107" t="s">
        <v>612</v>
      </c>
      <c r="E778" s="107" t="s">
        <v>613</v>
      </c>
      <c r="F778" s="107">
        <v>1160</v>
      </c>
      <c r="G778" s="195">
        <v>12</v>
      </c>
      <c r="H778" s="107"/>
    </row>
    <row r="779" spans="1:8">
      <c r="A779" s="107">
        <v>43</v>
      </c>
      <c r="B779" s="107">
        <v>2</v>
      </c>
      <c r="C779" s="107">
        <v>1</v>
      </c>
      <c r="D779" s="107" t="s">
        <v>614</v>
      </c>
      <c r="E779" s="107" t="s">
        <v>615</v>
      </c>
      <c r="F779" s="107">
        <v>1050</v>
      </c>
      <c r="G779" s="195">
        <v>14</v>
      </c>
      <c r="H779" s="107">
        <v>1620</v>
      </c>
    </row>
    <row r="780" spans="1:8">
      <c r="A780" s="107">
        <v>43</v>
      </c>
      <c r="B780" s="107">
        <v>2</v>
      </c>
      <c r="C780" s="107">
        <v>2</v>
      </c>
      <c r="D780" s="107" t="s">
        <v>614</v>
      </c>
      <c r="E780" s="107" t="s">
        <v>615</v>
      </c>
      <c r="F780" s="107">
        <v>1000</v>
      </c>
      <c r="G780" s="195">
        <v>9</v>
      </c>
      <c r="H780" s="107"/>
    </row>
    <row r="781" spans="1:8">
      <c r="A781" s="107">
        <v>43</v>
      </c>
      <c r="B781" s="107">
        <v>2</v>
      </c>
      <c r="C781" s="107">
        <v>3</v>
      </c>
      <c r="D781" s="107" t="s">
        <v>614</v>
      </c>
      <c r="E781" s="107" t="s">
        <v>615</v>
      </c>
      <c r="F781" s="107">
        <v>1140</v>
      </c>
      <c r="G781" s="195">
        <v>13</v>
      </c>
      <c r="H781" s="107"/>
    </row>
    <row r="782" spans="1:8">
      <c r="A782" s="107">
        <v>43</v>
      </c>
      <c r="B782" s="107">
        <v>3</v>
      </c>
      <c r="C782" s="107">
        <v>1</v>
      </c>
      <c r="D782" s="107" t="s">
        <v>616</v>
      </c>
      <c r="E782" s="107" t="s">
        <v>617</v>
      </c>
      <c r="F782" s="107">
        <v>1190</v>
      </c>
      <c r="G782" s="195">
        <v>12</v>
      </c>
      <c r="H782" s="107">
        <v>1460</v>
      </c>
    </row>
    <row r="783" spans="1:8">
      <c r="A783" s="107">
        <v>43</v>
      </c>
      <c r="B783" s="107">
        <v>3</v>
      </c>
      <c r="C783" s="107">
        <v>2</v>
      </c>
      <c r="D783" s="107" t="s">
        <v>616</v>
      </c>
      <c r="E783" s="107" t="s">
        <v>617</v>
      </c>
      <c r="F783" s="107">
        <v>940</v>
      </c>
      <c r="G783" s="195">
        <v>11</v>
      </c>
      <c r="H783" s="107"/>
    </row>
    <row r="784" spans="1:8">
      <c r="A784" s="107">
        <v>43</v>
      </c>
      <c r="B784" s="107">
        <v>3</v>
      </c>
      <c r="C784" s="107">
        <v>3</v>
      </c>
      <c r="D784" s="107" t="s">
        <v>616</v>
      </c>
      <c r="E784" s="107" t="s">
        <v>617</v>
      </c>
      <c r="F784" s="107">
        <v>1190</v>
      </c>
      <c r="G784" s="195">
        <v>11</v>
      </c>
      <c r="H784" s="107"/>
    </row>
    <row r="785" spans="1:8">
      <c r="A785" s="107">
        <v>43</v>
      </c>
      <c r="B785" s="107">
        <v>4</v>
      </c>
      <c r="C785" s="107">
        <v>1</v>
      </c>
      <c r="D785" s="107" t="s">
        <v>618</v>
      </c>
      <c r="E785" s="107" t="s">
        <v>619</v>
      </c>
      <c r="F785" s="107">
        <v>1150</v>
      </c>
      <c r="G785" s="195">
        <v>14</v>
      </c>
      <c r="H785" s="107">
        <v>1910</v>
      </c>
    </row>
    <row r="786" spans="1:8">
      <c r="A786" s="107">
        <v>43</v>
      </c>
      <c r="B786" s="107">
        <v>4</v>
      </c>
      <c r="C786" s="107">
        <v>2</v>
      </c>
      <c r="D786" s="107" t="s">
        <v>618</v>
      </c>
      <c r="E786" s="107" t="s">
        <v>619</v>
      </c>
      <c r="F786" s="107">
        <v>1220</v>
      </c>
      <c r="G786" s="195">
        <v>13</v>
      </c>
      <c r="H786" s="107"/>
    </row>
    <row r="787" spans="1:8">
      <c r="A787" s="107">
        <v>43</v>
      </c>
      <c r="B787" s="107">
        <v>4</v>
      </c>
      <c r="C787" s="107">
        <v>3</v>
      </c>
      <c r="D787" s="107" t="s">
        <v>618</v>
      </c>
      <c r="E787" s="107" t="s">
        <v>619</v>
      </c>
      <c r="F787" s="107">
        <v>1120</v>
      </c>
      <c r="G787" s="195">
        <v>13</v>
      </c>
      <c r="H787" s="107"/>
    </row>
    <row r="789" spans="1:8">
      <c r="A789" s="107">
        <v>43</v>
      </c>
      <c r="B789" s="107">
        <v>5</v>
      </c>
      <c r="C789" s="107">
        <v>1</v>
      </c>
      <c r="D789" s="107" t="s">
        <v>620</v>
      </c>
      <c r="E789" s="107" t="s">
        <v>621</v>
      </c>
      <c r="F789" s="107">
        <v>1220</v>
      </c>
      <c r="G789" s="107">
        <v>11</v>
      </c>
      <c r="H789" s="107">
        <v>2090</v>
      </c>
    </row>
    <row r="790" spans="1:8">
      <c r="A790" s="107">
        <v>43</v>
      </c>
      <c r="B790" s="107">
        <v>5</v>
      </c>
      <c r="C790" s="107">
        <v>2</v>
      </c>
      <c r="D790" s="107" t="s">
        <v>620</v>
      </c>
      <c r="E790" s="107" t="s">
        <v>621</v>
      </c>
      <c r="F790" s="107">
        <v>1120</v>
      </c>
      <c r="G790" s="195">
        <v>15</v>
      </c>
      <c r="H790" s="107"/>
    </row>
    <row r="791" spans="1:8">
      <c r="A791" s="107">
        <v>43</v>
      </c>
      <c r="B791" s="107">
        <v>5</v>
      </c>
      <c r="C791" s="107">
        <v>3</v>
      </c>
      <c r="D791" s="107" t="s">
        <v>620</v>
      </c>
      <c r="E791" s="107" t="s">
        <v>621</v>
      </c>
      <c r="F791" s="107">
        <v>410</v>
      </c>
      <c r="G791" s="195">
        <v>10</v>
      </c>
      <c r="H791" s="107"/>
    </row>
    <row r="792" spans="1:8">
      <c r="A792" s="107">
        <v>43</v>
      </c>
      <c r="B792" s="107">
        <v>6</v>
      </c>
      <c r="C792" s="107">
        <v>1</v>
      </c>
      <c r="D792" s="107" t="s">
        <v>622</v>
      </c>
      <c r="E792" s="107" t="s">
        <v>623</v>
      </c>
      <c r="F792" s="107">
        <v>980</v>
      </c>
      <c r="G792" s="195">
        <v>12</v>
      </c>
      <c r="H792" s="107">
        <v>1470</v>
      </c>
    </row>
    <row r="793" spans="1:8">
      <c r="A793" s="107">
        <v>43</v>
      </c>
      <c r="B793" s="107">
        <v>6</v>
      </c>
      <c r="C793" s="107">
        <v>2</v>
      </c>
      <c r="D793" s="107" t="s">
        <v>622</v>
      </c>
      <c r="E793" s="107" t="s">
        <v>623</v>
      </c>
      <c r="F793" s="107">
        <v>680</v>
      </c>
      <c r="G793" s="195">
        <v>13</v>
      </c>
      <c r="H793" s="107"/>
    </row>
    <row r="794" spans="1:8">
      <c r="A794" s="107">
        <v>43</v>
      </c>
      <c r="B794" s="107">
        <v>6</v>
      </c>
      <c r="C794" s="107">
        <v>3</v>
      </c>
      <c r="D794" s="107" t="s">
        <v>622</v>
      </c>
      <c r="E794" s="107" t="s">
        <v>623</v>
      </c>
      <c r="F794" s="107">
        <v>770</v>
      </c>
      <c r="G794" s="195">
        <v>14</v>
      </c>
      <c r="H794" s="107"/>
    </row>
    <row r="795" spans="1:8">
      <c r="A795" s="107">
        <v>44</v>
      </c>
      <c r="B795" s="107">
        <v>1</v>
      </c>
      <c r="C795" s="107">
        <v>1</v>
      </c>
      <c r="D795" s="107" t="s">
        <v>624</v>
      </c>
      <c r="E795" s="107" t="s">
        <v>625</v>
      </c>
      <c r="F795" s="107">
        <v>490</v>
      </c>
      <c r="G795" s="195">
        <v>10</v>
      </c>
      <c r="H795" s="107">
        <v>1430</v>
      </c>
    </row>
    <row r="796" spans="1:8">
      <c r="A796" s="107">
        <v>44</v>
      </c>
      <c r="B796" s="107">
        <v>1</v>
      </c>
      <c r="C796" s="107">
        <v>2</v>
      </c>
      <c r="D796" s="107" t="s">
        <v>624</v>
      </c>
      <c r="E796" s="107" t="s">
        <v>625</v>
      </c>
      <c r="F796" s="107">
        <v>510</v>
      </c>
      <c r="G796" s="195">
        <v>11</v>
      </c>
      <c r="H796" s="107"/>
    </row>
    <row r="797" spans="1:8">
      <c r="A797" s="107">
        <v>44</v>
      </c>
      <c r="B797" s="107">
        <v>1</v>
      </c>
      <c r="C797" s="107">
        <v>3</v>
      </c>
      <c r="D797" s="107" t="s">
        <v>624</v>
      </c>
      <c r="E797" s="107" t="s">
        <v>625</v>
      </c>
      <c r="F797" s="107">
        <v>390</v>
      </c>
      <c r="G797" s="195">
        <v>10</v>
      </c>
      <c r="H797" s="107"/>
    </row>
    <row r="798" spans="1:8">
      <c r="A798" s="107">
        <v>44</v>
      </c>
      <c r="B798" s="107">
        <v>2</v>
      </c>
      <c r="C798" s="107">
        <v>1</v>
      </c>
      <c r="D798" s="107" t="s">
        <v>626</v>
      </c>
      <c r="E798" s="107" t="s">
        <v>627</v>
      </c>
      <c r="F798" s="107">
        <v>1110</v>
      </c>
      <c r="G798" s="195">
        <v>13</v>
      </c>
      <c r="H798" s="107">
        <v>1700</v>
      </c>
    </row>
    <row r="799" spans="1:8">
      <c r="A799" s="107">
        <v>44</v>
      </c>
      <c r="B799" s="107">
        <v>2</v>
      </c>
      <c r="C799" s="107">
        <v>2</v>
      </c>
      <c r="D799" s="107" t="s">
        <v>626</v>
      </c>
      <c r="E799" s="107" t="s">
        <v>627</v>
      </c>
      <c r="F799" s="107">
        <v>1040</v>
      </c>
      <c r="G799" s="195">
        <v>13</v>
      </c>
      <c r="H799" s="107"/>
    </row>
    <row r="800" spans="1:8">
      <c r="A800" s="107">
        <v>44</v>
      </c>
      <c r="B800" s="107">
        <v>2</v>
      </c>
      <c r="C800" s="107">
        <v>3</v>
      </c>
      <c r="D800" s="107" t="s">
        <v>626</v>
      </c>
      <c r="E800" s="107" t="s">
        <v>627</v>
      </c>
      <c r="F800" s="196">
        <v>450</v>
      </c>
      <c r="G800" s="195">
        <v>7</v>
      </c>
      <c r="H800" s="107"/>
    </row>
    <row r="801" spans="1:8">
      <c r="A801" s="107">
        <v>44</v>
      </c>
      <c r="B801" s="107">
        <v>3</v>
      </c>
      <c r="C801" s="107">
        <v>1</v>
      </c>
      <c r="D801" s="107" t="s">
        <v>628</v>
      </c>
      <c r="E801" s="107" t="s">
        <v>629</v>
      </c>
      <c r="F801" s="107">
        <v>560</v>
      </c>
      <c r="G801" s="195">
        <v>7</v>
      </c>
      <c r="H801" s="107">
        <v>1660</v>
      </c>
    </row>
    <row r="802" spans="1:8">
      <c r="A802" s="107">
        <v>44</v>
      </c>
      <c r="B802" s="107">
        <v>3</v>
      </c>
      <c r="C802" s="107">
        <v>2</v>
      </c>
      <c r="D802" s="107" t="s">
        <v>628</v>
      </c>
      <c r="E802" s="107" t="s">
        <v>629</v>
      </c>
      <c r="F802" s="107">
        <v>510</v>
      </c>
      <c r="G802" s="195">
        <v>9</v>
      </c>
      <c r="H802" s="107"/>
    </row>
    <row r="803" spans="1:8">
      <c r="A803" s="107">
        <v>44</v>
      </c>
      <c r="B803" s="107">
        <v>3</v>
      </c>
      <c r="C803" s="107">
        <v>3</v>
      </c>
      <c r="D803" s="107" t="s">
        <v>628</v>
      </c>
      <c r="E803" s="107" t="s">
        <v>629</v>
      </c>
      <c r="F803" s="107">
        <v>450</v>
      </c>
      <c r="G803" s="195">
        <v>8</v>
      </c>
      <c r="H803" s="107"/>
    </row>
    <row r="804" spans="1:8">
      <c r="A804" s="107">
        <v>44</v>
      </c>
      <c r="B804" s="107">
        <v>4</v>
      </c>
      <c r="C804" s="107">
        <v>1</v>
      </c>
      <c r="D804" s="107" t="s">
        <v>630</v>
      </c>
      <c r="E804" s="107" t="s">
        <v>631</v>
      </c>
      <c r="F804" s="107">
        <v>910</v>
      </c>
      <c r="G804" s="195">
        <v>13</v>
      </c>
      <c r="H804" s="107">
        <v>1240</v>
      </c>
    </row>
    <row r="805" spans="1:8">
      <c r="A805" s="107">
        <v>44</v>
      </c>
      <c r="B805" s="107">
        <v>4</v>
      </c>
      <c r="C805" s="107">
        <v>2</v>
      </c>
      <c r="D805" s="107" t="s">
        <v>630</v>
      </c>
      <c r="E805" s="107" t="s">
        <v>631</v>
      </c>
      <c r="F805" s="107">
        <v>500</v>
      </c>
      <c r="G805" s="195">
        <v>11</v>
      </c>
      <c r="H805" s="107"/>
    </row>
    <row r="806" spans="1:8">
      <c r="A806" s="107">
        <v>44</v>
      </c>
      <c r="B806" s="107">
        <v>4</v>
      </c>
      <c r="C806" s="107">
        <v>3</v>
      </c>
      <c r="D806" s="107" t="s">
        <v>630</v>
      </c>
      <c r="E806" s="107" t="s">
        <v>631</v>
      </c>
      <c r="F806" s="107">
        <v>850</v>
      </c>
      <c r="G806" s="195">
        <v>9</v>
      </c>
      <c r="H806" s="107"/>
    </row>
    <row r="807" spans="1:8">
      <c r="A807" s="107">
        <v>44</v>
      </c>
      <c r="B807" s="107">
        <v>5</v>
      </c>
      <c r="C807" s="107">
        <v>1</v>
      </c>
      <c r="D807" s="107" t="s">
        <v>632</v>
      </c>
      <c r="E807" s="107" t="s">
        <v>633</v>
      </c>
      <c r="F807" s="107">
        <v>1000</v>
      </c>
      <c r="G807" s="195">
        <v>12</v>
      </c>
      <c r="H807" s="107">
        <v>1200</v>
      </c>
    </row>
    <row r="808" spans="1:8">
      <c r="A808" s="107">
        <v>44</v>
      </c>
      <c r="B808" s="107">
        <v>5</v>
      </c>
      <c r="C808" s="107">
        <v>2</v>
      </c>
      <c r="D808" s="107" t="s">
        <v>632</v>
      </c>
      <c r="E808" s="107" t="s">
        <v>633</v>
      </c>
      <c r="F808" s="107">
        <v>850</v>
      </c>
      <c r="G808" s="195">
        <v>13</v>
      </c>
      <c r="H808" s="107"/>
    </row>
    <row r="809" spans="1:8">
      <c r="A809" s="107">
        <v>44</v>
      </c>
      <c r="B809" s="107">
        <v>5</v>
      </c>
      <c r="C809" s="107">
        <v>3</v>
      </c>
      <c r="D809" s="107" t="s">
        <v>632</v>
      </c>
      <c r="E809" s="107" t="s">
        <v>633</v>
      </c>
      <c r="F809" s="107">
        <v>880</v>
      </c>
      <c r="G809" s="195">
        <v>11</v>
      </c>
      <c r="H809" s="107"/>
    </row>
    <row r="810" spans="1:8">
      <c r="A810" s="107">
        <v>44</v>
      </c>
      <c r="B810" s="107">
        <v>6</v>
      </c>
      <c r="C810" s="107">
        <v>1</v>
      </c>
      <c r="D810" s="107" t="s">
        <v>634</v>
      </c>
      <c r="E810" s="107" t="s">
        <v>635</v>
      </c>
      <c r="F810" s="107">
        <v>680</v>
      </c>
      <c r="G810" s="195">
        <v>12</v>
      </c>
      <c r="H810" s="107">
        <v>1420</v>
      </c>
    </row>
    <row r="811" spans="1:8">
      <c r="A811" s="107">
        <v>44</v>
      </c>
      <c r="B811" s="107">
        <v>6</v>
      </c>
      <c r="C811" s="107">
        <v>2</v>
      </c>
      <c r="D811" s="107" t="s">
        <v>634</v>
      </c>
      <c r="E811" s="107" t="s">
        <v>635</v>
      </c>
      <c r="F811" s="107">
        <v>740</v>
      </c>
      <c r="G811" s="195">
        <v>13</v>
      </c>
      <c r="H811" s="107"/>
    </row>
    <row r="812" spans="1:8">
      <c r="A812" s="107">
        <v>44</v>
      </c>
      <c r="B812" s="107">
        <v>6</v>
      </c>
      <c r="C812" s="107">
        <v>3</v>
      </c>
      <c r="D812" s="107" t="s">
        <v>634</v>
      </c>
      <c r="E812" s="107" t="s">
        <v>635</v>
      </c>
      <c r="F812" s="107">
        <v>1000</v>
      </c>
      <c r="G812" s="195">
        <v>12</v>
      </c>
      <c r="H812" s="107"/>
    </row>
    <row r="813" spans="1:8">
      <c r="A813" s="107">
        <v>45</v>
      </c>
      <c r="B813" s="107">
        <v>1</v>
      </c>
      <c r="C813" s="107">
        <v>1</v>
      </c>
      <c r="D813" s="107" t="s">
        <v>636</v>
      </c>
      <c r="E813" s="107" t="s">
        <v>637</v>
      </c>
      <c r="F813" s="107">
        <v>880</v>
      </c>
      <c r="G813" s="195">
        <v>11</v>
      </c>
      <c r="H813" s="107">
        <v>1340</v>
      </c>
    </row>
    <row r="814" spans="1:8">
      <c r="A814" s="107">
        <v>45</v>
      </c>
      <c r="B814" s="107">
        <v>1</v>
      </c>
      <c r="C814" s="107">
        <v>2</v>
      </c>
      <c r="D814" s="107" t="s">
        <v>636</v>
      </c>
      <c r="E814" s="107" t="s">
        <v>637</v>
      </c>
      <c r="F814" s="107">
        <v>940</v>
      </c>
      <c r="G814" s="195">
        <v>12</v>
      </c>
      <c r="H814" s="107"/>
    </row>
    <row r="815" spans="1:8">
      <c r="A815" s="107">
        <v>45</v>
      </c>
      <c r="B815" s="107">
        <v>1</v>
      </c>
      <c r="C815" s="107">
        <v>3</v>
      </c>
      <c r="D815" s="107" t="s">
        <v>636</v>
      </c>
      <c r="E815" s="107" t="s">
        <v>637</v>
      </c>
      <c r="F815" s="107">
        <v>850</v>
      </c>
      <c r="G815" s="195">
        <v>10</v>
      </c>
      <c r="H815" s="107"/>
    </row>
    <row r="816" spans="1:8">
      <c r="A816" s="107">
        <v>45</v>
      </c>
      <c r="B816" s="107">
        <v>2</v>
      </c>
      <c r="C816" s="107">
        <v>1</v>
      </c>
      <c r="D816" s="107" t="s">
        <v>638</v>
      </c>
      <c r="E816" s="107" t="s">
        <v>639</v>
      </c>
      <c r="F816" s="107">
        <v>600</v>
      </c>
      <c r="G816" s="195">
        <v>11</v>
      </c>
      <c r="H816" s="107">
        <v>1410</v>
      </c>
    </row>
    <row r="817" spans="1:8">
      <c r="A817" s="107">
        <v>45</v>
      </c>
      <c r="B817" s="107">
        <v>2</v>
      </c>
      <c r="C817" s="107">
        <v>2</v>
      </c>
      <c r="D817" s="107" t="s">
        <v>638</v>
      </c>
      <c r="E817" s="107" t="s">
        <v>639</v>
      </c>
      <c r="F817" s="107">
        <v>680</v>
      </c>
      <c r="G817" s="195">
        <v>11</v>
      </c>
      <c r="H817" s="107"/>
    </row>
    <row r="818" spans="1:8">
      <c r="A818" s="107">
        <v>45</v>
      </c>
      <c r="B818" s="107">
        <v>2</v>
      </c>
      <c r="C818" s="107">
        <v>3</v>
      </c>
      <c r="D818" s="107" t="s">
        <v>638</v>
      </c>
      <c r="E818" s="107" t="s">
        <v>639</v>
      </c>
      <c r="F818" s="107">
        <v>890</v>
      </c>
      <c r="G818" s="195">
        <v>11</v>
      </c>
      <c r="H818" s="107"/>
    </row>
    <row r="819" spans="1:8">
      <c r="A819" s="107">
        <v>45</v>
      </c>
      <c r="B819" s="107">
        <v>3</v>
      </c>
      <c r="C819" s="107">
        <v>1</v>
      </c>
      <c r="D819" s="107" t="s">
        <v>640</v>
      </c>
      <c r="E819" s="107" t="s">
        <v>641</v>
      </c>
      <c r="F819" s="107">
        <v>1060</v>
      </c>
      <c r="G819" s="195">
        <v>10</v>
      </c>
      <c r="H819" s="107">
        <v>1800</v>
      </c>
    </row>
    <row r="820" spans="1:8">
      <c r="A820" s="107">
        <v>45</v>
      </c>
      <c r="B820" s="107">
        <v>3</v>
      </c>
      <c r="C820" s="107">
        <v>2</v>
      </c>
      <c r="D820" s="107" t="s">
        <v>640</v>
      </c>
      <c r="E820" s="107" t="s">
        <v>641</v>
      </c>
      <c r="F820" s="107">
        <v>630</v>
      </c>
      <c r="G820" s="195">
        <v>12</v>
      </c>
      <c r="H820" s="107"/>
    </row>
    <row r="821" spans="1:8">
      <c r="A821" s="107">
        <v>45</v>
      </c>
      <c r="B821" s="107">
        <v>3</v>
      </c>
      <c r="C821" s="107">
        <v>3</v>
      </c>
      <c r="D821" s="107" t="s">
        <v>640</v>
      </c>
      <c r="E821" s="107" t="s">
        <v>641</v>
      </c>
      <c r="F821" s="107">
        <v>900</v>
      </c>
      <c r="G821" s="195">
        <v>13</v>
      </c>
      <c r="H821" s="107"/>
    </row>
    <row r="822" spans="1:8">
      <c r="A822" s="107">
        <v>45</v>
      </c>
      <c r="B822" s="107">
        <v>4</v>
      </c>
      <c r="C822" s="107">
        <v>1</v>
      </c>
      <c r="D822" s="107" t="s">
        <v>642</v>
      </c>
      <c r="E822" s="107" t="s">
        <v>643</v>
      </c>
      <c r="F822" s="107">
        <v>980</v>
      </c>
      <c r="G822" s="195">
        <v>10</v>
      </c>
      <c r="H822" s="107">
        <v>1330</v>
      </c>
    </row>
    <row r="823" spans="1:8">
      <c r="A823" s="107">
        <v>45</v>
      </c>
      <c r="B823" s="107">
        <v>4</v>
      </c>
      <c r="C823" s="107">
        <v>2</v>
      </c>
      <c r="D823" s="107" t="s">
        <v>642</v>
      </c>
      <c r="E823" s="107" t="s">
        <v>643</v>
      </c>
      <c r="F823" s="107">
        <v>1030</v>
      </c>
      <c r="G823" s="195">
        <v>8</v>
      </c>
      <c r="H823" s="196"/>
    </row>
    <row r="824" spans="1:8">
      <c r="A824" s="107">
        <v>45</v>
      </c>
      <c r="B824" s="107">
        <v>4</v>
      </c>
      <c r="C824" s="107">
        <v>3</v>
      </c>
      <c r="D824" s="107" t="s">
        <v>642</v>
      </c>
      <c r="E824" s="107" t="s">
        <v>643</v>
      </c>
      <c r="F824" s="107">
        <v>1130</v>
      </c>
      <c r="G824" s="195">
        <v>7</v>
      </c>
      <c r="H824" s="107"/>
    </row>
    <row r="825" spans="1:8">
      <c r="A825" s="107">
        <v>45</v>
      </c>
      <c r="B825" s="107">
        <v>5</v>
      </c>
      <c r="C825" s="107">
        <v>1</v>
      </c>
      <c r="D825" s="107" t="s">
        <v>644</v>
      </c>
      <c r="E825" s="107" t="s">
        <v>645</v>
      </c>
      <c r="F825" s="107">
        <v>840</v>
      </c>
      <c r="G825" s="195">
        <v>12</v>
      </c>
      <c r="H825" s="107">
        <v>2090</v>
      </c>
    </row>
    <row r="826" spans="1:8">
      <c r="A826" s="107">
        <v>45</v>
      </c>
      <c r="B826" s="107">
        <v>5</v>
      </c>
      <c r="C826" s="107">
        <v>2</v>
      </c>
      <c r="D826" s="107" t="s">
        <v>644</v>
      </c>
      <c r="E826" s="107" t="s">
        <v>645</v>
      </c>
      <c r="F826" s="107">
        <v>400</v>
      </c>
      <c r="G826" s="195">
        <v>9</v>
      </c>
      <c r="H826" s="107"/>
    </row>
    <row r="827" spans="1:8">
      <c r="A827" s="107">
        <v>45</v>
      </c>
      <c r="B827" s="107">
        <v>5</v>
      </c>
      <c r="C827" s="107">
        <v>3</v>
      </c>
      <c r="D827" s="107" t="s">
        <v>644</v>
      </c>
      <c r="E827" s="107" t="s">
        <v>645</v>
      </c>
      <c r="F827" s="107">
        <v>300</v>
      </c>
      <c r="G827" s="195">
        <v>7</v>
      </c>
      <c r="H827" s="107"/>
    </row>
    <row r="828" spans="1:8">
      <c r="A828" s="107">
        <v>45</v>
      </c>
      <c r="B828" s="107">
        <v>6</v>
      </c>
      <c r="C828" s="107">
        <v>1</v>
      </c>
      <c r="D828" s="107" t="s">
        <v>646</v>
      </c>
      <c r="E828" s="107" t="s">
        <v>647</v>
      </c>
      <c r="F828" s="107">
        <v>800</v>
      </c>
      <c r="G828" s="195">
        <v>11</v>
      </c>
      <c r="H828" s="107">
        <v>1350</v>
      </c>
    </row>
    <row r="829" spans="1:8">
      <c r="A829" s="107">
        <v>45</v>
      </c>
      <c r="B829" s="107">
        <v>6</v>
      </c>
      <c r="C829" s="107">
        <v>2</v>
      </c>
      <c r="D829" s="107" t="s">
        <v>646</v>
      </c>
      <c r="E829" s="107" t="s">
        <v>647</v>
      </c>
      <c r="F829" s="107">
        <v>1050</v>
      </c>
      <c r="G829" s="195">
        <v>10</v>
      </c>
      <c r="H829" s="107"/>
    </row>
    <row r="830" spans="1:8">
      <c r="A830" s="107">
        <v>45</v>
      </c>
      <c r="B830" s="107">
        <v>6</v>
      </c>
      <c r="C830" s="107">
        <v>3</v>
      </c>
      <c r="D830" s="107" t="s">
        <v>646</v>
      </c>
      <c r="E830" s="107" t="s">
        <v>647</v>
      </c>
      <c r="F830" s="107">
        <v>800</v>
      </c>
      <c r="G830" s="195">
        <v>10</v>
      </c>
      <c r="H830" s="107"/>
    </row>
    <row r="831" spans="1:8">
      <c r="A831" s="107">
        <v>46</v>
      </c>
      <c r="B831" s="107">
        <v>1</v>
      </c>
      <c r="C831" s="107">
        <v>1</v>
      </c>
      <c r="D831" s="107" t="s">
        <v>648</v>
      </c>
      <c r="E831" s="107" t="s">
        <v>649</v>
      </c>
      <c r="F831" s="107">
        <v>910</v>
      </c>
      <c r="G831" s="195">
        <v>11</v>
      </c>
      <c r="H831" s="107">
        <v>1130</v>
      </c>
    </row>
    <row r="832" spans="1:8">
      <c r="A832" s="107">
        <v>46</v>
      </c>
      <c r="B832" s="107">
        <v>1</v>
      </c>
      <c r="C832" s="107">
        <v>2</v>
      </c>
      <c r="D832" s="107" t="s">
        <v>648</v>
      </c>
      <c r="E832" s="107" t="s">
        <v>649</v>
      </c>
      <c r="F832" s="107">
        <v>910</v>
      </c>
      <c r="G832" s="195">
        <v>13</v>
      </c>
      <c r="H832" s="107"/>
    </row>
    <row r="833" spans="1:8">
      <c r="A833" s="107">
        <v>46</v>
      </c>
      <c r="B833" s="107">
        <v>1</v>
      </c>
      <c r="C833" s="107">
        <v>3</v>
      </c>
      <c r="D833" s="107" t="s">
        <v>648</v>
      </c>
      <c r="E833" s="107" t="s">
        <v>649</v>
      </c>
      <c r="F833" s="107">
        <v>590</v>
      </c>
      <c r="G833" s="195">
        <v>15</v>
      </c>
      <c r="H833" s="107"/>
    </row>
    <row r="834" spans="1:8">
      <c r="A834" s="107">
        <v>46</v>
      </c>
      <c r="B834" s="107">
        <v>2</v>
      </c>
      <c r="C834" s="107">
        <v>1</v>
      </c>
      <c r="D834" s="107" t="s">
        <v>650</v>
      </c>
      <c r="E834" s="107" t="s">
        <v>651</v>
      </c>
      <c r="F834" s="107">
        <v>430</v>
      </c>
      <c r="G834" s="195">
        <v>12</v>
      </c>
      <c r="H834" s="107">
        <v>1170</v>
      </c>
    </row>
    <row r="835" spans="1:8">
      <c r="A835" s="107">
        <v>46</v>
      </c>
      <c r="B835" s="107">
        <v>2</v>
      </c>
      <c r="C835" s="107">
        <v>2</v>
      </c>
      <c r="D835" s="107" t="s">
        <v>650</v>
      </c>
      <c r="E835" s="107" t="s">
        <v>651</v>
      </c>
      <c r="F835" s="107">
        <v>410</v>
      </c>
      <c r="G835" s="195">
        <v>12</v>
      </c>
      <c r="H835" s="107"/>
    </row>
    <row r="836" spans="1:8">
      <c r="A836" s="107">
        <v>46</v>
      </c>
      <c r="B836" s="107">
        <v>2</v>
      </c>
      <c r="C836" s="107">
        <v>3</v>
      </c>
      <c r="D836" s="107" t="s">
        <v>650</v>
      </c>
      <c r="E836" s="107" t="s">
        <v>651</v>
      </c>
      <c r="F836" s="107">
        <v>450</v>
      </c>
      <c r="G836" s="195">
        <v>10</v>
      </c>
      <c r="H836" s="107"/>
    </row>
    <row r="838" spans="1:8">
      <c r="A838" s="107">
        <v>46</v>
      </c>
      <c r="B838" s="107">
        <v>3</v>
      </c>
      <c r="C838" s="107">
        <v>1</v>
      </c>
      <c r="D838" s="107" t="s">
        <v>652</v>
      </c>
      <c r="E838" s="107" t="s">
        <v>653</v>
      </c>
      <c r="F838" s="107">
        <v>1090</v>
      </c>
      <c r="G838" s="195">
        <v>10</v>
      </c>
      <c r="H838" s="107">
        <v>1220</v>
      </c>
    </row>
    <row r="839" spans="1:8">
      <c r="A839" s="107">
        <v>46</v>
      </c>
      <c r="B839" s="107">
        <v>3</v>
      </c>
      <c r="C839" s="107">
        <v>2</v>
      </c>
      <c r="D839" s="107" t="s">
        <v>652</v>
      </c>
      <c r="E839" s="107" t="s">
        <v>653</v>
      </c>
      <c r="F839" s="107">
        <v>980</v>
      </c>
      <c r="G839" s="195">
        <v>8</v>
      </c>
      <c r="H839" s="107"/>
    </row>
    <row r="840" spans="1:8">
      <c r="A840" s="107">
        <v>46</v>
      </c>
      <c r="B840" s="107">
        <v>3</v>
      </c>
      <c r="C840" s="107">
        <v>3</v>
      </c>
      <c r="D840" s="107" t="s">
        <v>652</v>
      </c>
      <c r="E840" s="107" t="s">
        <v>653</v>
      </c>
      <c r="F840" s="107">
        <v>970</v>
      </c>
      <c r="G840" s="195">
        <v>13</v>
      </c>
      <c r="H840" s="107"/>
    </row>
    <row r="841" spans="1:8">
      <c r="A841" s="107">
        <v>46</v>
      </c>
      <c r="B841" s="107">
        <v>4</v>
      </c>
      <c r="C841" s="107">
        <v>1</v>
      </c>
      <c r="D841" s="107" t="s">
        <v>654</v>
      </c>
      <c r="E841" s="107" t="s">
        <v>655</v>
      </c>
      <c r="F841" s="107">
        <v>840</v>
      </c>
      <c r="G841" s="195">
        <v>12</v>
      </c>
      <c r="H841" s="107">
        <v>1430</v>
      </c>
    </row>
    <row r="842" spans="1:8">
      <c r="A842" s="107">
        <v>46</v>
      </c>
      <c r="B842" s="107">
        <v>4</v>
      </c>
      <c r="C842" s="107">
        <v>2</v>
      </c>
      <c r="D842" s="107" t="s">
        <v>654</v>
      </c>
      <c r="E842" s="107" t="s">
        <v>655</v>
      </c>
      <c r="F842" s="107">
        <v>900</v>
      </c>
      <c r="G842" s="195">
        <v>11</v>
      </c>
      <c r="H842" s="107"/>
    </row>
    <row r="843" spans="1:8">
      <c r="A843" s="107">
        <v>46</v>
      </c>
      <c r="B843" s="107">
        <v>4</v>
      </c>
      <c r="C843" s="107">
        <v>3</v>
      </c>
      <c r="D843" s="107" t="s">
        <v>654</v>
      </c>
      <c r="E843" s="107" t="s">
        <v>655</v>
      </c>
      <c r="F843" s="107">
        <v>780</v>
      </c>
      <c r="G843" s="195">
        <v>11</v>
      </c>
      <c r="H843" s="107"/>
    </row>
    <row r="844" spans="1:8">
      <c r="A844" s="107">
        <v>46</v>
      </c>
      <c r="B844" s="107">
        <v>5</v>
      </c>
      <c r="C844" s="107">
        <v>1</v>
      </c>
      <c r="D844" s="107" t="s">
        <v>656</v>
      </c>
      <c r="E844" s="107" t="s">
        <v>657</v>
      </c>
      <c r="F844" s="107">
        <v>1030</v>
      </c>
      <c r="G844" s="195">
        <v>15</v>
      </c>
      <c r="H844" s="107">
        <v>1430</v>
      </c>
    </row>
    <row r="845" spans="1:8">
      <c r="A845" s="107">
        <v>46</v>
      </c>
      <c r="B845" s="107">
        <v>5</v>
      </c>
      <c r="C845" s="107">
        <v>2</v>
      </c>
      <c r="D845" s="107" t="s">
        <v>656</v>
      </c>
      <c r="E845" s="107" t="s">
        <v>657</v>
      </c>
      <c r="F845" s="107">
        <v>1070</v>
      </c>
      <c r="G845" s="195">
        <v>10</v>
      </c>
      <c r="H845" s="107"/>
    </row>
    <row r="846" spans="1:8">
      <c r="A846" s="107">
        <v>46</v>
      </c>
      <c r="B846" s="107">
        <v>5</v>
      </c>
      <c r="C846" s="107">
        <v>3</v>
      </c>
      <c r="D846" s="107" t="s">
        <v>656</v>
      </c>
      <c r="E846" s="107" t="s">
        <v>657</v>
      </c>
      <c r="F846" s="107">
        <v>820</v>
      </c>
      <c r="G846" s="195">
        <v>13</v>
      </c>
      <c r="H846" s="107"/>
    </row>
    <row r="847" spans="1:8">
      <c r="A847" s="107">
        <v>46</v>
      </c>
      <c r="B847" s="107">
        <v>6</v>
      </c>
      <c r="C847" s="107">
        <v>1</v>
      </c>
      <c r="D847" s="107" t="s">
        <v>658</v>
      </c>
      <c r="E847" s="107" t="s">
        <v>659</v>
      </c>
      <c r="F847" s="107">
        <v>940</v>
      </c>
      <c r="G847" s="195">
        <v>10</v>
      </c>
      <c r="H847" s="107">
        <v>1310</v>
      </c>
    </row>
    <row r="848" spans="1:8">
      <c r="A848" s="107">
        <v>46</v>
      </c>
      <c r="B848" s="107">
        <v>6</v>
      </c>
      <c r="C848" s="107">
        <v>2</v>
      </c>
      <c r="D848" s="107" t="s">
        <v>658</v>
      </c>
      <c r="E848" s="107" t="s">
        <v>659</v>
      </c>
      <c r="F848" s="107">
        <v>780</v>
      </c>
      <c r="G848" s="195">
        <v>12</v>
      </c>
      <c r="H848" s="107"/>
    </row>
    <row r="849" spans="1:8">
      <c r="A849" s="107">
        <v>46</v>
      </c>
      <c r="B849" s="107">
        <v>6</v>
      </c>
      <c r="C849" s="107">
        <v>3</v>
      </c>
      <c r="D849" s="107" t="s">
        <v>658</v>
      </c>
      <c r="E849" s="107" t="s">
        <v>659</v>
      </c>
      <c r="F849" s="107">
        <v>940</v>
      </c>
      <c r="G849" s="195">
        <v>13</v>
      </c>
      <c r="H849" s="107"/>
    </row>
    <row r="850" spans="1:8">
      <c r="A850" s="107">
        <v>47</v>
      </c>
      <c r="B850" s="107">
        <v>1</v>
      </c>
      <c r="C850" s="107">
        <v>1</v>
      </c>
      <c r="D850" s="107" t="s">
        <v>660</v>
      </c>
      <c r="E850" s="107" t="s">
        <v>661</v>
      </c>
      <c r="F850" s="196">
        <v>910</v>
      </c>
      <c r="G850" s="195">
        <v>9</v>
      </c>
      <c r="H850" s="107">
        <v>1350</v>
      </c>
    </row>
    <row r="851" spans="1:8">
      <c r="A851" s="107">
        <v>47</v>
      </c>
      <c r="B851" s="107">
        <v>1</v>
      </c>
      <c r="C851" s="107">
        <v>2</v>
      </c>
      <c r="D851" s="107" t="s">
        <v>660</v>
      </c>
      <c r="E851" s="107" t="s">
        <v>661</v>
      </c>
      <c r="F851" s="107">
        <v>1070</v>
      </c>
      <c r="G851" s="195">
        <v>12</v>
      </c>
      <c r="H851" s="107"/>
    </row>
    <row r="852" spans="1:8">
      <c r="A852" s="107">
        <v>47</v>
      </c>
      <c r="B852" s="107">
        <v>1</v>
      </c>
      <c r="C852" s="107">
        <v>3</v>
      </c>
      <c r="D852" s="107" t="s">
        <v>660</v>
      </c>
      <c r="E852" s="107" t="s">
        <v>661</v>
      </c>
      <c r="F852" s="107">
        <v>990</v>
      </c>
      <c r="G852" s="195">
        <v>9</v>
      </c>
      <c r="H852" s="107"/>
    </row>
    <row r="853" spans="1:8">
      <c r="A853" s="107">
        <v>47</v>
      </c>
      <c r="B853" s="107">
        <v>2</v>
      </c>
      <c r="C853" s="107">
        <v>1</v>
      </c>
      <c r="D853" s="107" t="s">
        <v>662</v>
      </c>
      <c r="E853" s="107" t="s">
        <v>663</v>
      </c>
      <c r="F853" s="107">
        <v>890</v>
      </c>
      <c r="G853" s="195">
        <v>10</v>
      </c>
      <c r="H853" s="107">
        <v>1060</v>
      </c>
    </row>
    <row r="854" spans="1:8">
      <c r="A854" s="107">
        <v>47</v>
      </c>
      <c r="B854" s="107">
        <v>2</v>
      </c>
      <c r="C854" s="107">
        <v>2</v>
      </c>
      <c r="D854" s="107" t="s">
        <v>662</v>
      </c>
      <c r="E854" s="107" t="s">
        <v>663</v>
      </c>
      <c r="F854" s="107">
        <v>940</v>
      </c>
      <c r="G854" s="195">
        <v>7</v>
      </c>
      <c r="H854" s="107"/>
    </row>
    <row r="855" spans="1:8">
      <c r="A855" s="107">
        <v>47</v>
      </c>
      <c r="B855" s="107">
        <v>2</v>
      </c>
      <c r="C855" s="107">
        <v>3</v>
      </c>
      <c r="D855" s="107" t="s">
        <v>662</v>
      </c>
      <c r="E855" s="107" t="s">
        <v>663</v>
      </c>
      <c r="F855" s="107">
        <v>880</v>
      </c>
      <c r="G855" s="195">
        <v>10</v>
      </c>
      <c r="H855" s="107"/>
    </row>
    <row r="856" spans="1:8">
      <c r="A856" s="107">
        <v>47</v>
      </c>
      <c r="B856" s="107">
        <v>3</v>
      </c>
      <c r="C856" s="107">
        <v>1</v>
      </c>
      <c r="D856" s="107" t="s">
        <v>664</v>
      </c>
      <c r="E856" s="107" t="s">
        <v>665</v>
      </c>
      <c r="F856" s="107">
        <v>650</v>
      </c>
      <c r="G856" s="195">
        <v>7</v>
      </c>
      <c r="H856" s="107">
        <v>1050</v>
      </c>
    </row>
    <row r="857" spans="1:8">
      <c r="A857" s="107">
        <v>47</v>
      </c>
      <c r="B857" s="107">
        <v>3</v>
      </c>
      <c r="C857" s="107">
        <v>2</v>
      </c>
      <c r="D857" s="107" t="s">
        <v>664</v>
      </c>
      <c r="E857" s="107" t="s">
        <v>665</v>
      </c>
      <c r="F857" s="107">
        <v>640</v>
      </c>
      <c r="G857" s="195">
        <v>7</v>
      </c>
      <c r="H857" s="107"/>
    </row>
    <row r="858" spans="1:8">
      <c r="A858" s="107">
        <v>47</v>
      </c>
      <c r="B858" s="107">
        <v>3</v>
      </c>
      <c r="C858" s="107">
        <v>3</v>
      </c>
      <c r="D858" s="107" t="s">
        <v>664</v>
      </c>
      <c r="E858" s="107" t="s">
        <v>665</v>
      </c>
      <c r="F858" s="107">
        <v>950</v>
      </c>
      <c r="G858" s="195">
        <v>7</v>
      </c>
      <c r="H858" s="107"/>
    </row>
    <row r="859" spans="1:8">
      <c r="A859" s="107">
        <v>47</v>
      </c>
      <c r="B859" s="107">
        <v>4</v>
      </c>
      <c r="C859" s="107">
        <v>1</v>
      </c>
      <c r="D859" s="107" t="s">
        <v>666</v>
      </c>
      <c r="E859" s="107" t="s">
        <v>667</v>
      </c>
      <c r="F859" s="107">
        <v>650</v>
      </c>
      <c r="G859" s="195">
        <v>11</v>
      </c>
      <c r="H859" s="107">
        <v>980</v>
      </c>
    </row>
    <row r="860" spans="1:8">
      <c r="A860" s="107">
        <v>47</v>
      </c>
      <c r="B860" s="107">
        <v>4</v>
      </c>
      <c r="C860" s="107">
        <v>2</v>
      </c>
      <c r="D860" s="107" t="s">
        <v>666</v>
      </c>
      <c r="E860" s="107" t="s">
        <v>667</v>
      </c>
      <c r="F860" s="107">
        <v>620</v>
      </c>
      <c r="G860" s="195">
        <v>8</v>
      </c>
      <c r="H860" s="107"/>
    </row>
    <row r="861" spans="1:8">
      <c r="A861" s="107">
        <v>47</v>
      </c>
      <c r="B861" s="107">
        <v>4</v>
      </c>
      <c r="C861" s="107">
        <v>3</v>
      </c>
      <c r="D861" s="107" t="s">
        <v>666</v>
      </c>
      <c r="E861" s="107" t="s">
        <v>667</v>
      </c>
      <c r="F861" s="107">
        <v>670</v>
      </c>
      <c r="G861" s="195">
        <v>10</v>
      </c>
      <c r="H861" s="107"/>
    </row>
    <row r="862" spans="1:8">
      <c r="A862" s="107">
        <v>47</v>
      </c>
      <c r="B862" s="107">
        <v>5</v>
      </c>
      <c r="C862" s="107">
        <v>1</v>
      </c>
      <c r="D862" s="107" t="s">
        <v>668</v>
      </c>
      <c r="E862" s="107" t="s">
        <v>669</v>
      </c>
      <c r="F862" s="107">
        <v>960</v>
      </c>
      <c r="G862" s="195">
        <v>12</v>
      </c>
      <c r="H862" s="107">
        <v>1370</v>
      </c>
    </row>
    <row r="863" spans="1:8">
      <c r="A863" s="107">
        <v>47</v>
      </c>
      <c r="B863" s="107">
        <v>5</v>
      </c>
      <c r="C863" s="107">
        <v>2</v>
      </c>
      <c r="D863" s="107" t="s">
        <v>668</v>
      </c>
      <c r="E863" s="107" t="s">
        <v>669</v>
      </c>
      <c r="F863" s="107">
        <v>800</v>
      </c>
      <c r="G863" s="195">
        <v>8</v>
      </c>
      <c r="H863" s="107"/>
    </row>
    <row r="864" spans="1:8">
      <c r="A864" s="107">
        <v>47</v>
      </c>
      <c r="B864" s="107">
        <v>5</v>
      </c>
      <c r="C864" s="107">
        <v>3</v>
      </c>
      <c r="D864" s="107" t="s">
        <v>668</v>
      </c>
      <c r="E864" s="107" t="s">
        <v>669</v>
      </c>
      <c r="F864" s="107">
        <v>990</v>
      </c>
      <c r="G864" s="195">
        <v>11</v>
      </c>
      <c r="H864" s="107"/>
    </row>
    <row r="865" spans="1:8">
      <c r="A865" s="107">
        <v>47</v>
      </c>
      <c r="B865" s="107">
        <v>6</v>
      </c>
      <c r="C865" s="107">
        <v>1</v>
      </c>
      <c r="D865" s="107" t="s">
        <v>670</v>
      </c>
      <c r="E865" s="107" t="s">
        <v>671</v>
      </c>
      <c r="F865" s="107">
        <v>350</v>
      </c>
      <c r="G865" s="195">
        <v>10</v>
      </c>
      <c r="H865" s="107">
        <v>1120</v>
      </c>
    </row>
    <row r="866" spans="1:8">
      <c r="A866" s="107">
        <v>47</v>
      </c>
      <c r="B866" s="107">
        <v>6</v>
      </c>
      <c r="C866" s="107">
        <v>2</v>
      </c>
      <c r="D866" s="107" t="s">
        <v>670</v>
      </c>
      <c r="E866" s="107" t="s">
        <v>671</v>
      </c>
      <c r="F866" s="107">
        <v>520</v>
      </c>
      <c r="G866" s="195">
        <v>10</v>
      </c>
      <c r="H866" s="107"/>
    </row>
    <row r="867" spans="1:8">
      <c r="A867" s="107">
        <v>47</v>
      </c>
      <c r="B867" s="107">
        <v>6</v>
      </c>
      <c r="C867" s="107">
        <v>3</v>
      </c>
      <c r="D867" s="107" t="s">
        <v>670</v>
      </c>
      <c r="E867" s="107" t="s">
        <v>671</v>
      </c>
      <c r="F867" s="107">
        <v>490</v>
      </c>
      <c r="G867" s="195">
        <v>10</v>
      </c>
      <c r="H867" s="107"/>
    </row>
    <row r="868" spans="1:8">
      <c r="A868" s="107">
        <v>48</v>
      </c>
      <c r="B868" s="107">
        <v>1</v>
      </c>
      <c r="C868" s="107">
        <v>1</v>
      </c>
      <c r="D868" s="107" t="s">
        <v>672</v>
      </c>
      <c r="E868" s="107" t="s">
        <v>673</v>
      </c>
      <c r="F868" s="107">
        <v>1170</v>
      </c>
      <c r="G868" s="195">
        <v>14</v>
      </c>
      <c r="H868" s="107">
        <v>1390</v>
      </c>
    </row>
    <row r="869" spans="1:8">
      <c r="A869" s="107">
        <v>48</v>
      </c>
      <c r="B869" s="107">
        <v>1</v>
      </c>
      <c r="C869" s="107">
        <v>2</v>
      </c>
      <c r="D869" s="107" t="s">
        <v>672</v>
      </c>
      <c r="E869" s="107" t="s">
        <v>673</v>
      </c>
      <c r="F869" s="107">
        <v>1040</v>
      </c>
      <c r="G869" s="195">
        <v>11</v>
      </c>
      <c r="H869" s="107"/>
    </row>
    <row r="870" spans="1:8">
      <c r="A870" s="107">
        <v>48</v>
      </c>
      <c r="B870" s="107">
        <v>1</v>
      </c>
      <c r="C870" s="107">
        <v>3</v>
      </c>
      <c r="D870" s="107" t="s">
        <v>672</v>
      </c>
      <c r="E870" s="107" t="s">
        <v>673</v>
      </c>
      <c r="F870" s="107">
        <v>1160</v>
      </c>
      <c r="G870" s="195">
        <v>12</v>
      </c>
      <c r="H870" s="107"/>
    </row>
    <row r="871" spans="1:8">
      <c r="A871" s="107">
        <v>48</v>
      </c>
      <c r="B871" s="107">
        <v>2</v>
      </c>
      <c r="C871" s="107">
        <v>1</v>
      </c>
      <c r="D871" s="107" t="s">
        <v>674</v>
      </c>
      <c r="E871" s="107" t="s">
        <v>675</v>
      </c>
      <c r="F871" s="107">
        <v>770</v>
      </c>
      <c r="G871" s="195">
        <v>8</v>
      </c>
      <c r="H871" s="107">
        <v>880</v>
      </c>
    </row>
    <row r="872" spans="1:8">
      <c r="A872" s="107">
        <v>48</v>
      </c>
      <c r="B872" s="107">
        <v>2</v>
      </c>
      <c r="C872" s="107">
        <v>2</v>
      </c>
      <c r="D872" s="107" t="s">
        <v>674</v>
      </c>
      <c r="E872" s="107" t="s">
        <v>675</v>
      </c>
      <c r="F872" s="107">
        <v>770</v>
      </c>
      <c r="G872" s="195">
        <v>7</v>
      </c>
      <c r="H872" s="107"/>
    </row>
    <row r="873" spans="1:8">
      <c r="A873" s="107">
        <v>48</v>
      </c>
      <c r="B873" s="107">
        <v>2</v>
      </c>
      <c r="C873" s="107">
        <v>3</v>
      </c>
      <c r="D873" s="107" t="s">
        <v>674</v>
      </c>
      <c r="E873" s="107" t="s">
        <v>675</v>
      </c>
      <c r="F873" s="107">
        <v>820</v>
      </c>
      <c r="G873" s="195">
        <v>8</v>
      </c>
      <c r="H873" s="107"/>
    </row>
    <row r="874" spans="1:8">
      <c r="A874" s="107">
        <v>48</v>
      </c>
      <c r="B874" s="107">
        <v>3</v>
      </c>
      <c r="C874" s="107">
        <v>1</v>
      </c>
      <c r="D874" s="107" t="s">
        <v>676</v>
      </c>
      <c r="E874" s="107" t="s">
        <v>677</v>
      </c>
      <c r="F874" s="107">
        <v>990</v>
      </c>
      <c r="G874" s="195">
        <v>11</v>
      </c>
      <c r="H874" s="196">
        <v>1480</v>
      </c>
    </row>
    <row r="875" spans="1:8">
      <c r="A875" s="107">
        <v>48</v>
      </c>
      <c r="B875" s="107">
        <v>3</v>
      </c>
      <c r="C875" s="107">
        <v>2</v>
      </c>
      <c r="D875" s="107" t="s">
        <v>676</v>
      </c>
      <c r="E875" s="107" t="s">
        <v>677</v>
      </c>
      <c r="F875" s="107">
        <v>1070</v>
      </c>
      <c r="G875" s="195">
        <v>10</v>
      </c>
      <c r="H875" s="107"/>
    </row>
    <row r="876" spans="1:8">
      <c r="A876" s="107">
        <v>48</v>
      </c>
      <c r="B876" s="107">
        <v>3</v>
      </c>
      <c r="C876" s="107">
        <v>3</v>
      </c>
      <c r="D876" s="107" t="s">
        <v>676</v>
      </c>
      <c r="E876" s="107" t="s">
        <v>677</v>
      </c>
      <c r="F876" s="107">
        <v>920</v>
      </c>
      <c r="G876" s="195">
        <v>12</v>
      </c>
      <c r="H876" s="107"/>
    </row>
    <row r="877" spans="1:8">
      <c r="A877" s="107">
        <v>48</v>
      </c>
      <c r="B877" s="107">
        <v>4</v>
      </c>
      <c r="C877" s="107">
        <v>1</v>
      </c>
      <c r="D877" s="107" t="s">
        <v>678</v>
      </c>
      <c r="E877" s="107" t="s">
        <v>679</v>
      </c>
      <c r="F877" s="107">
        <v>440</v>
      </c>
      <c r="G877" s="195">
        <v>7</v>
      </c>
      <c r="H877" s="107">
        <v>880</v>
      </c>
    </row>
    <row r="878" spans="1:8">
      <c r="A878" s="107">
        <v>48</v>
      </c>
      <c r="B878" s="107">
        <v>4</v>
      </c>
      <c r="C878" s="107">
        <v>2</v>
      </c>
      <c r="D878" s="107" t="s">
        <v>678</v>
      </c>
      <c r="E878" s="107" t="s">
        <v>679</v>
      </c>
      <c r="F878" s="107">
        <v>690</v>
      </c>
      <c r="G878" s="195">
        <v>8</v>
      </c>
      <c r="H878" s="107"/>
    </row>
    <row r="879" spans="1:8">
      <c r="A879" s="107">
        <v>48</v>
      </c>
      <c r="B879" s="107">
        <v>4</v>
      </c>
      <c r="C879" s="107">
        <v>3</v>
      </c>
      <c r="D879" s="107" t="s">
        <v>678</v>
      </c>
      <c r="E879" s="107" t="s">
        <v>679</v>
      </c>
      <c r="F879" s="107">
        <v>600</v>
      </c>
      <c r="G879" s="195">
        <v>8</v>
      </c>
      <c r="H879" s="107"/>
    </row>
    <row r="880" spans="1:8">
      <c r="A880" s="107">
        <v>48</v>
      </c>
      <c r="B880" s="107">
        <v>5</v>
      </c>
      <c r="C880" s="107">
        <v>1</v>
      </c>
      <c r="D880" s="107" t="s">
        <v>680</v>
      </c>
      <c r="E880" s="107" t="s">
        <v>681</v>
      </c>
      <c r="F880" s="107">
        <v>1180</v>
      </c>
      <c r="G880" s="195">
        <v>15</v>
      </c>
      <c r="H880" s="107">
        <v>1710</v>
      </c>
    </row>
    <row r="881" spans="1:8">
      <c r="A881" s="107">
        <v>48</v>
      </c>
      <c r="B881" s="107">
        <v>5</v>
      </c>
      <c r="C881" s="107">
        <v>2</v>
      </c>
      <c r="D881" s="107" t="s">
        <v>680</v>
      </c>
      <c r="E881" s="107" t="s">
        <v>681</v>
      </c>
      <c r="F881" s="107">
        <v>1090</v>
      </c>
      <c r="G881" s="195">
        <v>14</v>
      </c>
      <c r="H881" s="107"/>
    </row>
    <row r="882" spans="1:8">
      <c r="A882" s="107">
        <v>48</v>
      </c>
      <c r="B882" s="107">
        <v>5</v>
      </c>
      <c r="C882" s="107">
        <v>3</v>
      </c>
      <c r="D882" s="107" t="s">
        <v>680</v>
      </c>
      <c r="E882" s="107" t="s">
        <v>681</v>
      </c>
      <c r="F882" s="107">
        <v>1070</v>
      </c>
      <c r="G882" s="195">
        <v>16</v>
      </c>
      <c r="H882" s="107"/>
    </row>
    <row r="883" spans="1:8">
      <c r="A883" s="107">
        <v>48</v>
      </c>
      <c r="B883" s="107">
        <v>6</v>
      </c>
      <c r="C883" s="107">
        <v>1</v>
      </c>
      <c r="D883" s="107" t="s">
        <v>682</v>
      </c>
      <c r="E883" s="107" t="s">
        <v>683</v>
      </c>
      <c r="F883" s="107">
        <v>680</v>
      </c>
      <c r="G883" s="195">
        <v>12</v>
      </c>
      <c r="H883" s="107">
        <v>1570</v>
      </c>
    </row>
    <row r="884" spans="1:8">
      <c r="A884" s="107">
        <v>48</v>
      </c>
      <c r="B884" s="107">
        <v>6</v>
      </c>
      <c r="C884" s="107">
        <v>2</v>
      </c>
      <c r="D884" s="107" t="s">
        <v>682</v>
      </c>
      <c r="E884" s="107" t="s">
        <v>683</v>
      </c>
      <c r="F884" s="107">
        <v>850</v>
      </c>
      <c r="G884" s="195">
        <v>12</v>
      </c>
      <c r="H884" s="107"/>
    </row>
    <row r="885" spans="1:8">
      <c r="A885" s="107">
        <v>48</v>
      </c>
      <c r="B885" s="107">
        <v>6</v>
      </c>
      <c r="C885" s="107">
        <v>3</v>
      </c>
      <c r="D885" s="107" t="s">
        <v>682</v>
      </c>
      <c r="E885" s="159" t="s">
        <v>683</v>
      </c>
      <c r="F885" s="159">
        <v>790</v>
      </c>
      <c r="G885" s="198">
        <v>12</v>
      </c>
      <c r="H885" s="107"/>
    </row>
    <row r="886" spans="1:8">
      <c r="E886" s="139"/>
      <c r="F886" s="139"/>
      <c r="G886" s="139"/>
      <c r="H886" s="139"/>
    </row>
    <row r="887" spans="1:8">
      <c r="A887" s="107">
        <v>49</v>
      </c>
      <c r="B887" s="107">
        <v>1</v>
      </c>
      <c r="C887" s="107">
        <v>1</v>
      </c>
      <c r="D887" s="107" t="s">
        <v>684</v>
      </c>
      <c r="E887" s="170" t="s">
        <v>685</v>
      </c>
      <c r="F887" s="170">
        <v>1220</v>
      </c>
      <c r="G887" s="199">
        <v>10</v>
      </c>
      <c r="H887" s="107">
        <v>1330</v>
      </c>
    </row>
    <row r="888" spans="1:8">
      <c r="A888" s="107">
        <v>49</v>
      </c>
      <c r="B888" s="107">
        <v>1</v>
      </c>
      <c r="C888" s="107">
        <v>2</v>
      </c>
      <c r="D888" s="107" t="s">
        <v>684</v>
      </c>
      <c r="E888" s="107" t="s">
        <v>685</v>
      </c>
      <c r="F888" s="107">
        <v>960</v>
      </c>
      <c r="G888" s="200">
        <v>11</v>
      </c>
      <c r="H888" s="107"/>
    </row>
    <row r="889" spans="1:8">
      <c r="A889" s="107">
        <v>49</v>
      </c>
      <c r="B889" s="107">
        <v>1</v>
      </c>
      <c r="C889" s="107">
        <v>3</v>
      </c>
      <c r="D889" s="107" t="s">
        <v>684</v>
      </c>
      <c r="E889" s="107" t="s">
        <v>685</v>
      </c>
      <c r="F889" s="107">
        <v>1200</v>
      </c>
      <c r="G889" s="195">
        <v>13</v>
      </c>
      <c r="H889" s="107"/>
    </row>
    <row r="890" spans="1:8">
      <c r="A890" s="107">
        <v>49</v>
      </c>
      <c r="B890" s="107">
        <v>2</v>
      </c>
      <c r="C890" s="107">
        <v>1</v>
      </c>
      <c r="D890" s="107" t="s">
        <v>686</v>
      </c>
      <c r="E890" s="107" t="s">
        <v>687</v>
      </c>
      <c r="F890" s="107">
        <v>1270</v>
      </c>
      <c r="G890" s="195">
        <v>8</v>
      </c>
      <c r="H890" s="107">
        <v>1380</v>
      </c>
    </row>
    <row r="891" spans="1:8">
      <c r="A891" s="107">
        <v>49</v>
      </c>
      <c r="B891" s="107">
        <v>2</v>
      </c>
      <c r="C891" s="107">
        <v>2</v>
      </c>
      <c r="D891" s="107" t="s">
        <v>686</v>
      </c>
      <c r="E891" s="107" t="s">
        <v>687</v>
      </c>
      <c r="F891" s="107">
        <v>1210</v>
      </c>
      <c r="G891" s="195">
        <v>7</v>
      </c>
      <c r="H891" s="107"/>
    </row>
    <row r="892" spans="1:8">
      <c r="A892" s="107">
        <v>49</v>
      </c>
      <c r="B892" s="107">
        <v>2</v>
      </c>
      <c r="C892" s="107">
        <v>3</v>
      </c>
      <c r="D892" s="107" t="s">
        <v>686</v>
      </c>
      <c r="E892" s="107" t="s">
        <v>687</v>
      </c>
      <c r="F892" s="107">
        <v>1160</v>
      </c>
      <c r="G892" s="195">
        <v>11</v>
      </c>
      <c r="H892" s="107"/>
    </row>
    <row r="893" spans="1:8">
      <c r="A893" s="107">
        <v>49</v>
      </c>
      <c r="B893" s="107">
        <v>3</v>
      </c>
      <c r="C893" s="107">
        <v>1</v>
      </c>
      <c r="D893" s="107" t="s">
        <v>688</v>
      </c>
      <c r="E893" s="107" t="s">
        <v>689</v>
      </c>
      <c r="F893" s="107">
        <v>1240</v>
      </c>
      <c r="G893" s="195">
        <v>8</v>
      </c>
      <c r="H893" s="107">
        <v>1440</v>
      </c>
    </row>
    <row r="894" spans="1:8">
      <c r="A894" s="107">
        <v>49</v>
      </c>
      <c r="B894" s="107">
        <v>3</v>
      </c>
      <c r="C894" s="107">
        <v>2</v>
      </c>
      <c r="D894" s="107" t="s">
        <v>688</v>
      </c>
      <c r="E894" s="107" t="s">
        <v>689</v>
      </c>
      <c r="F894" s="107">
        <v>1060</v>
      </c>
      <c r="G894" s="195">
        <v>8</v>
      </c>
      <c r="H894" s="107"/>
    </row>
    <row r="895" spans="1:8">
      <c r="A895" s="107">
        <v>49</v>
      </c>
      <c r="B895" s="107">
        <v>3</v>
      </c>
      <c r="C895" s="107">
        <v>3</v>
      </c>
      <c r="D895" s="107" t="s">
        <v>688</v>
      </c>
      <c r="E895" s="107" t="s">
        <v>689</v>
      </c>
      <c r="F895" s="107">
        <v>1270</v>
      </c>
      <c r="G895" s="195">
        <v>11</v>
      </c>
      <c r="H895" s="107"/>
    </row>
    <row r="896" spans="1:8">
      <c r="A896" s="107">
        <v>49</v>
      </c>
      <c r="B896" s="107">
        <v>4</v>
      </c>
      <c r="C896" s="107">
        <v>1</v>
      </c>
      <c r="D896" s="107" t="s">
        <v>690</v>
      </c>
      <c r="E896" s="107" t="s">
        <v>691</v>
      </c>
      <c r="F896" s="107">
        <v>1120</v>
      </c>
      <c r="G896" s="195">
        <v>9</v>
      </c>
      <c r="H896" s="107">
        <v>1680</v>
      </c>
    </row>
    <row r="897" spans="1:8">
      <c r="A897" s="107">
        <v>49</v>
      </c>
      <c r="B897" s="107">
        <v>4</v>
      </c>
      <c r="C897" s="107">
        <v>2</v>
      </c>
      <c r="D897" s="107" t="s">
        <v>690</v>
      </c>
      <c r="E897" s="107" t="s">
        <v>691</v>
      </c>
      <c r="F897" s="107">
        <v>1320</v>
      </c>
      <c r="G897" s="195">
        <v>11</v>
      </c>
      <c r="H897" s="107"/>
    </row>
    <row r="898" spans="1:8">
      <c r="A898" s="107">
        <v>49</v>
      </c>
      <c r="B898" s="107">
        <v>4</v>
      </c>
      <c r="C898" s="107">
        <v>3</v>
      </c>
      <c r="D898" s="107" t="s">
        <v>690</v>
      </c>
      <c r="E898" s="107" t="s">
        <v>691</v>
      </c>
      <c r="F898" s="107">
        <v>890</v>
      </c>
      <c r="G898" s="195">
        <v>14</v>
      </c>
      <c r="H898" s="107"/>
    </row>
    <row r="899" spans="1:8">
      <c r="A899" s="107">
        <v>49</v>
      </c>
      <c r="B899" s="107">
        <v>5</v>
      </c>
      <c r="C899" s="107">
        <v>1</v>
      </c>
      <c r="D899" s="107" t="s">
        <v>692</v>
      </c>
      <c r="E899" s="107" t="s">
        <v>693</v>
      </c>
      <c r="F899" s="107">
        <v>1160</v>
      </c>
      <c r="G899" s="195">
        <v>10</v>
      </c>
      <c r="H899" s="107">
        <v>1250</v>
      </c>
    </row>
    <row r="900" spans="1:8">
      <c r="A900" s="107">
        <v>49</v>
      </c>
      <c r="B900" s="107">
        <v>5</v>
      </c>
      <c r="C900" s="107">
        <v>2</v>
      </c>
      <c r="D900" s="107" t="s">
        <v>692</v>
      </c>
      <c r="E900" s="107" t="s">
        <v>693</v>
      </c>
      <c r="F900" s="196">
        <v>940</v>
      </c>
      <c r="G900" s="195">
        <v>8</v>
      </c>
      <c r="H900" s="107"/>
    </row>
    <row r="901" spans="1:8">
      <c r="A901" s="107">
        <v>49</v>
      </c>
      <c r="B901" s="107">
        <v>5</v>
      </c>
      <c r="C901" s="107">
        <v>3</v>
      </c>
      <c r="D901" s="107" t="s">
        <v>692</v>
      </c>
      <c r="E901" s="107" t="s">
        <v>693</v>
      </c>
      <c r="F901" s="107">
        <v>970</v>
      </c>
      <c r="G901" s="195">
        <v>9</v>
      </c>
      <c r="H901" s="107"/>
    </row>
    <row r="902" spans="1:8">
      <c r="A902" s="107">
        <v>49</v>
      </c>
      <c r="B902" s="107">
        <v>6</v>
      </c>
      <c r="C902" s="107">
        <v>1</v>
      </c>
      <c r="D902" s="107" t="s">
        <v>694</v>
      </c>
      <c r="E902" s="107" t="s">
        <v>695</v>
      </c>
      <c r="F902" s="107">
        <v>1140</v>
      </c>
      <c r="G902" s="195">
        <v>10</v>
      </c>
      <c r="H902" s="107">
        <v>1400</v>
      </c>
    </row>
    <row r="903" spans="1:8">
      <c r="A903" s="107">
        <v>49</v>
      </c>
      <c r="B903" s="107">
        <v>6</v>
      </c>
      <c r="C903" s="107">
        <v>2</v>
      </c>
      <c r="D903" s="107" t="s">
        <v>694</v>
      </c>
      <c r="E903" s="107" t="s">
        <v>695</v>
      </c>
      <c r="F903" s="107">
        <v>1160</v>
      </c>
      <c r="G903" s="195">
        <v>11</v>
      </c>
      <c r="H903" s="107"/>
    </row>
    <row r="904" spans="1:8">
      <c r="A904" s="107">
        <v>49</v>
      </c>
      <c r="B904" s="107">
        <v>6</v>
      </c>
      <c r="C904" s="107">
        <v>3</v>
      </c>
      <c r="D904" s="107" t="s">
        <v>694</v>
      </c>
      <c r="E904" s="107" t="s">
        <v>695</v>
      </c>
      <c r="F904" s="107">
        <v>1220</v>
      </c>
      <c r="G904" s="195">
        <v>11</v>
      </c>
      <c r="H904" s="107"/>
    </row>
    <row r="905" spans="1:8">
      <c r="A905" s="107">
        <v>50</v>
      </c>
      <c r="B905" s="107">
        <v>1</v>
      </c>
      <c r="C905" s="107">
        <v>1</v>
      </c>
      <c r="D905" s="107" t="s">
        <v>696</v>
      </c>
      <c r="E905" s="107" t="s">
        <v>697</v>
      </c>
      <c r="F905" s="107">
        <v>1040</v>
      </c>
      <c r="G905" s="195">
        <v>8</v>
      </c>
      <c r="H905" s="107">
        <v>1255</v>
      </c>
    </row>
    <row r="906" spans="1:8">
      <c r="A906" s="107">
        <v>50</v>
      </c>
      <c r="B906" s="107">
        <v>1</v>
      </c>
      <c r="C906" s="107">
        <v>2</v>
      </c>
      <c r="D906" s="107" t="s">
        <v>696</v>
      </c>
      <c r="E906" s="107" t="s">
        <v>697</v>
      </c>
      <c r="F906" s="107">
        <v>960</v>
      </c>
      <c r="G906" s="195">
        <v>9</v>
      </c>
      <c r="H906" s="107"/>
    </row>
    <row r="907" spans="1:8">
      <c r="A907" s="107">
        <v>50</v>
      </c>
      <c r="B907" s="107">
        <v>1</v>
      </c>
      <c r="C907" s="107">
        <v>3</v>
      </c>
      <c r="D907" s="107" t="s">
        <v>696</v>
      </c>
      <c r="E907" s="107" t="s">
        <v>697</v>
      </c>
      <c r="F907" s="107">
        <v>860</v>
      </c>
      <c r="G907" s="195">
        <v>10</v>
      </c>
      <c r="H907" s="107"/>
    </row>
    <row r="908" spans="1:8">
      <c r="A908" s="107">
        <v>50</v>
      </c>
      <c r="B908" s="107">
        <v>2</v>
      </c>
      <c r="C908" s="107">
        <v>1</v>
      </c>
      <c r="D908" s="107" t="s">
        <v>698</v>
      </c>
      <c r="E908" s="107" t="s">
        <v>699</v>
      </c>
      <c r="F908" s="107">
        <v>410</v>
      </c>
      <c r="G908" s="195">
        <v>10</v>
      </c>
      <c r="H908" s="107">
        <v>1400</v>
      </c>
    </row>
    <row r="909" spans="1:8">
      <c r="A909" s="107">
        <v>50</v>
      </c>
      <c r="B909" s="107">
        <v>2</v>
      </c>
      <c r="C909" s="107">
        <v>2</v>
      </c>
      <c r="D909" s="107" t="s">
        <v>698</v>
      </c>
      <c r="E909" s="107" t="s">
        <v>699</v>
      </c>
      <c r="F909" s="107">
        <v>990</v>
      </c>
      <c r="G909" s="195">
        <v>11</v>
      </c>
      <c r="H909" s="107"/>
    </row>
    <row r="910" spans="1:8">
      <c r="A910" s="107">
        <v>50</v>
      </c>
      <c r="B910" s="107">
        <v>2</v>
      </c>
      <c r="C910" s="107">
        <v>3</v>
      </c>
      <c r="D910" s="107" t="s">
        <v>698</v>
      </c>
      <c r="E910" s="107" t="s">
        <v>699</v>
      </c>
      <c r="F910" s="107">
        <v>830</v>
      </c>
      <c r="G910" s="195">
        <v>11</v>
      </c>
      <c r="H910" s="159"/>
    </row>
    <row r="911" spans="1:8">
      <c r="A911" s="107">
        <v>50</v>
      </c>
      <c r="B911" s="107">
        <v>3</v>
      </c>
      <c r="C911" s="107">
        <v>1</v>
      </c>
      <c r="D911" s="107" t="s">
        <v>700</v>
      </c>
      <c r="E911" s="107" t="s">
        <v>701</v>
      </c>
      <c r="F911" s="107">
        <v>1060</v>
      </c>
      <c r="G911" s="195">
        <v>13</v>
      </c>
      <c r="H911" s="107">
        <v>1440</v>
      </c>
    </row>
    <row r="912" spans="1:8">
      <c r="A912" s="107">
        <v>50</v>
      </c>
      <c r="B912" s="107">
        <v>3</v>
      </c>
      <c r="C912" s="107">
        <v>2</v>
      </c>
      <c r="D912" s="107" t="s">
        <v>700</v>
      </c>
      <c r="E912" s="107" t="s">
        <v>701</v>
      </c>
      <c r="F912" s="107">
        <v>1030</v>
      </c>
      <c r="G912" s="195">
        <v>12</v>
      </c>
      <c r="H912" s="170"/>
    </row>
    <row r="913" spans="1:8">
      <c r="A913" s="107">
        <v>50</v>
      </c>
      <c r="B913" s="107">
        <v>3</v>
      </c>
      <c r="C913" s="107">
        <v>3</v>
      </c>
      <c r="D913" s="107" t="s">
        <v>700</v>
      </c>
      <c r="E913" s="107" t="s">
        <v>701</v>
      </c>
      <c r="F913" s="107">
        <v>850</v>
      </c>
      <c r="G913" s="195">
        <v>13</v>
      </c>
      <c r="H913" s="107"/>
    </row>
    <row r="914" spans="1:8">
      <c r="A914" s="107">
        <v>50</v>
      </c>
      <c r="B914" s="107">
        <v>4</v>
      </c>
      <c r="C914" s="107">
        <v>1</v>
      </c>
      <c r="D914" s="107" t="s">
        <v>702</v>
      </c>
      <c r="E914" s="107" t="s">
        <v>703</v>
      </c>
      <c r="F914" s="107">
        <v>1100</v>
      </c>
      <c r="G914" s="195">
        <v>11</v>
      </c>
      <c r="H914" s="107">
        <v>1620</v>
      </c>
    </row>
    <row r="915" spans="1:8">
      <c r="A915" s="107">
        <v>50</v>
      </c>
      <c r="B915" s="107">
        <v>4</v>
      </c>
      <c r="C915" s="107">
        <v>2</v>
      </c>
      <c r="D915" s="107" t="s">
        <v>702</v>
      </c>
      <c r="E915" s="107" t="s">
        <v>703</v>
      </c>
      <c r="F915" s="107">
        <v>970</v>
      </c>
      <c r="G915" s="195">
        <v>9</v>
      </c>
      <c r="H915" s="107"/>
    </row>
    <row r="916" spans="1:8">
      <c r="A916" s="107">
        <v>50</v>
      </c>
      <c r="B916" s="107">
        <v>4</v>
      </c>
      <c r="C916" s="107">
        <v>3</v>
      </c>
      <c r="D916" s="107" t="s">
        <v>702</v>
      </c>
      <c r="E916" s="107" t="s">
        <v>703</v>
      </c>
      <c r="F916" s="107">
        <v>1010</v>
      </c>
      <c r="G916" s="195">
        <v>11</v>
      </c>
      <c r="H916" s="107"/>
    </row>
    <row r="917" spans="1:8">
      <c r="A917" s="107">
        <v>50</v>
      </c>
      <c r="B917" s="107">
        <v>5</v>
      </c>
      <c r="C917" s="107">
        <v>1</v>
      </c>
      <c r="D917" s="107" t="s">
        <v>704</v>
      </c>
      <c r="E917" s="107" t="s">
        <v>705</v>
      </c>
      <c r="F917" s="107">
        <v>960</v>
      </c>
      <c r="G917" s="195">
        <v>9</v>
      </c>
      <c r="H917" s="107">
        <v>1340</v>
      </c>
    </row>
    <row r="918" spans="1:8">
      <c r="A918" s="107">
        <v>50</v>
      </c>
      <c r="B918" s="107">
        <v>5</v>
      </c>
      <c r="C918" s="107">
        <v>2</v>
      </c>
      <c r="D918" s="107" t="s">
        <v>704</v>
      </c>
      <c r="E918" s="107" t="s">
        <v>705</v>
      </c>
      <c r="F918" s="107">
        <v>1210</v>
      </c>
      <c r="G918" s="195">
        <v>12</v>
      </c>
      <c r="H918" s="107"/>
    </row>
    <row r="919" spans="1:8">
      <c r="A919" s="107">
        <v>50</v>
      </c>
      <c r="B919" s="107">
        <v>5</v>
      </c>
      <c r="C919" s="107">
        <v>3</v>
      </c>
      <c r="D919" s="107" t="s">
        <v>704</v>
      </c>
      <c r="E919" s="107" t="s">
        <v>705</v>
      </c>
      <c r="F919" s="107">
        <v>930</v>
      </c>
      <c r="G919" s="195">
        <v>9</v>
      </c>
      <c r="H919" s="107"/>
    </row>
    <row r="920" spans="1:8">
      <c r="A920" s="107">
        <v>50</v>
      </c>
      <c r="B920" s="107">
        <v>6</v>
      </c>
      <c r="C920" s="107">
        <v>1</v>
      </c>
      <c r="D920" s="107" t="s">
        <v>706</v>
      </c>
      <c r="E920" s="107" t="s">
        <v>137</v>
      </c>
      <c r="F920" s="107">
        <v>910</v>
      </c>
      <c r="G920" s="195">
        <v>6</v>
      </c>
      <c r="H920" s="107">
        <v>1280</v>
      </c>
    </row>
    <row r="921" spans="1:8">
      <c r="A921" s="107">
        <v>50</v>
      </c>
      <c r="B921" s="107">
        <v>6</v>
      </c>
      <c r="C921" s="107">
        <v>2</v>
      </c>
      <c r="D921" s="107" t="s">
        <v>706</v>
      </c>
      <c r="E921" s="107" t="s">
        <v>137</v>
      </c>
      <c r="F921" s="107">
        <v>1150</v>
      </c>
      <c r="G921" s="195">
        <v>9</v>
      </c>
      <c r="H921" s="107"/>
    </row>
    <row r="922" spans="1:8">
      <c r="A922" s="107">
        <v>50</v>
      </c>
      <c r="B922" s="107">
        <v>6</v>
      </c>
      <c r="C922" s="107">
        <v>3</v>
      </c>
      <c r="D922" s="107" t="s">
        <v>706</v>
      </c>
      <c r="E922" s="107" t="s">
        <v>137</v>
      </c>
      <c r="F922" s="107">
        <v>1120</v>
      </c>
      <c r="G922" s="195">
        <v>10</v>
      </c>
      <c r="H922" s="107"/>
    </row>
    <row r="923" spans="1:8">
      <c r="A923" s="107">
        <v>52</v>
      </c>
      <c r="B923" s="107">
        <v>1</v>
      </c>
      <c r="C923" s="107">
        <v>1</v>
      </c>
      <c r="D923" s="107" t="s">
        <v>707</v>
      </c>
      <c r="E923" s="107" t="s">
        <v>708</v>
      </c>
      <c r="F923" s="107">
        <v>1140</v>
      </c>
      <c r="G923" s="195">
        <v>13</v>
      </c>
      <c r="H923" s="107">
        <v>1550</v>
      </c>
    </row>
    <row r="924" spans="1:8">
      <c r="A924" s="107">
        <v>52</v>
      </c>
      <c r="B924" s="107">
        <v>1</v>
      </c>
      <c r="C924" s="107">
        <v>2</v>
      </c>
      <c r="D924" s="107" t="s">
        <v>707</v>
      </c>
      <c r="E924" s="107" t="s">
        <v>708</v>
      </c>
      <c r="F924" s="107">
        <v>1030</v>
      </c>
      <c r="G924" s="195">
        <v>14</v>
      </c>
      <c r="H924" s="107"/>
    </row>
    <row r="925" spans="1:8">
      <c r="A925" s="107">
        <v>52</v>
      </c>
      <c r="B925" s="107">
        <v>1</v>
      </c>
      <c r="C925" s="107">
        <v>3</v>
      </c>
      <c r="D925" s="107" t="s">
        <v>707</v>
      </c>
      <c r="E925" s="107" t="s">
        <v>708</v>
      </c>
      <c r="F925" s="107">
        <v>1040</v>
      </c>
      <c r="G925" s="195">
        <v>13</v>
      </c>
      <c r="H925" s="196"/>
    </row>
    <row r="926" spans="1:8">
      <c r="A926" s="107">
        <v>52</v>
      </c>
      <c r="B926" s="107">
        <v>2</v>
      </c>
      <c r="C926" s="107">
        <v>1</v>
      </c>
      <c r="D926" s="107" t="s">
        <v>709</v>
      </c>
      <c r="E926" s="107" t="s">
        <v>710</v>
      </c>
      <c r="F926" s="107">
        <v>1050</v>
      </c>
      <c r="G926" s="195">
        <v>10</v>
      </c>
      <c r="H926" s="107">
        <v>1310</v>
      </c>
    </row>
    <row r="927" spans="1:8">
      <c r="A927" s="107">
        <v>52</v>
      </c>
      <c r="B927" s="107">
        <v>2</v>
      </c>
      <c r="C927" s="107">
        <v>2</v>
      </c>
      <c r="D927" s="107" t="s">
        <v>709</v>
      </c>
      <c r="E927" s="107" t="s">
        <v>710</v>
      </c>
      <c r="F927" s="107">
        <v>1160</v>
      </c>
      <c r="G927" s="195">
        <v>11</v>
      </c>
      <c r="H927" s="107"/>
    </row>
    <row r="928" spans="1:8">
      <c r="A928" s="107">
        <v>52</v>
      </c>
      <c r="B928" s="107">
        <v>2</v>
      </c>
      <c r="C928" s="107">
        <v>3</v>
      </c>
      <c r="D928" s="107" t="s">
        <v>709</v>
      </c>
      <c r="E928" s="107" t="s">
        <v>710</v>
      </c>
      <c r="F928" s="107">
        <v>580</v>
      </c>
      <c r="G928" s="195">
        <v>9</v>
      </c>
      <c r="H928" s="107"/>
    </row>
    <row r="929" spans="1:8">
      <c r="A929" s="107">
        <v>52</v>
      </c>
      <c r="B929" s="107">
        <v>3</v>
      </c>
      <c r="C929" s="107">
        <v>1</v>
      </c>
      <c r="D929" s="107" t="s">
        <v>711</v>
      </c>
      <c r="E929" s="107" t="s">
        <v>712</v>
      </c>
      <c r="F929" s="107">
        <v>830</v>
      </c>
      <c r="G929" s="195">
        <v>10</v>
      </c>
      <c r="H929" s="107">
        <v>1700</v>
      </c>
    </row>
    <row r="930" spans="1:8">
      <c r="A930" s="107">
        <v>52</v>
      </c>
      <c r="B930" s="107">
        <v>3</v>
      </c>
      <c r="C930" s="107">
        <v>2</v>
      </c>
      <c r="D930" s="107" t="s">
        <v>711</v>
      </c>
      <c r="E930" s="107" t="s">
        <v>712</v>
      </c>
      <c r="F930" s="107">
        <v>920</v>
      </c>
      <c r="G930" s="195">
        <v>13</v>
      </c>
      <c r="H930" s="107"/>
    </row>
    <row r="931" spans="1:8">
      <c r="A931" s="107">
        <v>52</v>
      </c>
      <c r="B931" s="107">
        <v>3</v>
      </c>
      <c r="C931" s="107">
        <v>3</v>
      </c>
      <c r="D931" s="107" t="s">
        <v>711</v>
      </c>
      <c r="E931" s="107" t="s">
        <v>712</v>
      </c>
      <c r="F931" s="107">
        <v>1020</v>
      </c>
      <c r="G931" s="195">
        <v>15</v>
      </c>
      <c r="H931" s="107"/>
    </row>
    <row r="932" spans="1:8">
      <c r="A932" s="107">
        <v>52</v>
      </c>
      <c r="B932" s="107">
        <v>4</v>
      </c>
      <c r="C932" s="107">
        <v>1</v>
      </c>
      <c r="D932" s="107" t="s">
        <v>713</v>
      </c>
      <c r="E932" s="107" t="s">
        <v>714</v>
      </c>
      <c r="F932" s="107">
        <v>1150</v>
      </c>
      <c r="G932" s="195">
        <v>15</v>
      </c>
      <c r="H932" s="107">
        <v>1650</v>
      </c>
    </row>
    <row r="933" spans="1:8">
      <c r="A933" s="107">
        <v>52</v>
      </c>
      <c r="B933" s="107">
        <v>4</v>
      </c>
      <c r="C933" s="107">
        <v>2</v>
      </c>
      <c r="D933" s="107" t="s">
        <v>713</v>
      </c>
      <c r="E933" s="107" t="s">
        <v>714</v>
      </c>
      <c r="F933" s="107">
        <v>840</v>
      </c>
      <c r="G933" s="195">
        <v>17</v>
      </c>
      <c r="H933" s="107"/>
    </row>
    <row r="934" spans="1:8">
      <c r="A934" s="107">
        <v>52</v>
      </c>
      <c r="B934" s="107">
        <v>4</v>
      </c>
      <c r="C934" s="107">
        <v>3</v>
      </c>
      <c r="D934" s="107" t="s">
        <v>713</v>
      </c>
      <c r="E934" s="159" t="s">
        <v>714</v>
      </c>
      <c r="F934" s="159">
        <v>550</v>
      </c>
      <c r="G934" s="198">
        <v>12</v>
      </c>
      <c r="H934" s="107"/>
    </row>
    <row r="935" spans="1:8">
      <c r="A935" s="139"/>
      <c r="B935" s="139"/>
      <c r="C935" s="139"/>
      <c r="D935" s="139"/>
      <c r="E935" s="139"/>
      <c r="F935" s="139"/>
      <c r="G935" s="139"/>
      <c r="H935" s="139"/>
    </row>
    <row r="936" spans="1:8">
      <c r="A936" s="107">
        <v>52</v>
      </c>
      <c r="B936" s="107">
        <v>5</v>
      </c>
      <c r="C936" s="107">
        <v>1</v>
      </c>
      <c r="D936" s="107" t="s">
        <v>715</v>
      </c>
      <c r="E936" s="170" t="s">
        <v>716</v>
      </c>
      <c r="F936" s="170">
        <v>1290</v>
      </c>
      <c r="G936" s="199">
        <v>14</v>
      </c>
      <c r="H936" s="107">
        <v>1530</v>
      </c>
    </row>
    <row r="937" spans="1:8">
      <c r="A937" s="107">
        <v>52</v>
      </c>
      <c r="B937" s="107">
        <v>5</v>
      </c>
      <c r="C937" s="107">
        <v>2</v>
      </c>
      <c r="D937" s="107" t="s">
        <v>715</v>
      </c>
      <c r="E937" s="107" t="s">
        <v>716</v>
      </c>
      <c r="F937" s="107">
        <v>1250</v>
      </c>
      <c r="G937" s="200">
        <v>9</v>
      </c>
      <c r="H937" s="107"/>
    </row>
    <row r="938" spans="1:8">
      <c r="A938" s="107">
        <v>52</v>
      </c>
      <c r="B938" s="107">
        <v>5</v>
      </c>
      <c r="C938" s="107">
        <v>3</v>
      </c>
      <c r="D938" s="107" t="s">
        <v>715</v>
      </c>
      <c r="E938" s="107" t="s">
        <v>716</v>
      </c>
      <c r="F938" s="107">
        <v>1020</v>
      </c>
      <c r="G938" s="195">
        <v>14</v>
      </c>
      <c r="H938" s="107"/>
    </row>
    <row r="939" spans="1:8">
      <c r="A939" s="107">
        <v>52</v>
      </c>
      <c r="B939" s="107">
        <v>6</v>
      </c>
      <c r="C939" s="107">
        <v>1</v>
      </c>
      <c r="D939" s="107" t="s">
        <v>717</v>
      </c>
      <c r="E939" s="107" t="s">
        <v>718</v>
      </c>
      <c r="F939" s="107">
        <v>1200</v>
      </c>
      <c r="G939" s="195">
        <v>11</v>
      </c>
      <c r="H939" s="107">
        <v>1620</v>
      </c>
    </row>
    <row r="940" spans="1:8">
      <c r="A940" s="107">
        <v>52</v>
      </c>
      <c r="B940" s="107">
        <v>6</v>
      </c>
      <c r="C940" s="107">
        <v>2</v>
      </c>
      <c r="D940" s="107" t="s">
        <v>717</v>
      </c>
      <c r="E940" s="107" t="s">
        <v>718</v>
      </c>
      <c r="F940" s="107">
        <v>900</v>
      </c>
      <c r="G940" s="195">
        <v>10</v>
      </c>
      <c r="H940" s="107"/>
    </row>
    <row r="941" spans="1:8">
      <c r="A941" s="107">
        <v>52</v>
      </c>
      <c r="B941" s="107">
        <v>6</v>
      </c>
      <c r="C941" s="107">
        <v>3</v>
      </c>
      <c r="D941" s="107" t="s">
        <v>717</v>
      </c>
      <c r="E941" s="107" t="s">
        <v>718</v>
      </c>
      <c r="F941" s="107">
        <v>1110</v>
      </c>
      <c r="G941" s="195">
        <v>13</v>
      </c>
      <c r="H941" s="107"/>
    </row>
    <row r="942" spans="1:8">
      <c r="A942" s="107">
        <v>53</v>
      </c>
      <c r="B942" s="107">
        <v>1</v>
      </c>
      <c r="C942" s="107">
        <v>1</v>
      </c>
      <c r="D942" s="107" t="s">
        <v>719</v>
      </c>
      <c r="E942" s="107" t="s">
        <v>720</v>
      </c>
      <c r="F942" s="107">
        <v>1050</v>
      </c>
      <c r="G942" s="195">
        <v>10</v>
      </c>
      <c r="H942" s="107">
        <v>1730</v>
      </c>
    </row>
    <row r="943" spans="1:8">
      <c r="A943" s="107">
        <v>53</v>
      </c>
      <c r="B943" s="107">
        <v>1</v>
      </c>
      <c r="C943" s="107">
        <v>2</v>
      </c>
      <c r="D943" s="107" t="s">
        <v>719</v>
      </c>
      <c r="E943" s="107" t="s">
        <v>720</v>
      </c>
      <c r="F943" s="107">
        <v>790</v>
      </c>
      <c r="G943" s="195">
        <v>13</v>
      </c>
      <c r="H943" s="107"/>
    </row>
    <row r="944" spans="1:8">
      <c r="A944" s="107">
        <v>53</v>
      </c>
      <c r="B944" s="107">
        <v>1</v>
      </c>
      <c r="C944" s="107">
        <v>3</v>
      </c>
      <c r="D944" s="107" t="s">
        <v>719</v>
      </c>
      <c r="E944" s="107" t="s">
        <v>720</v>
      </c>
      <c r="F944" s="107">
        <v>1070</v>
      </c>
      <c r="G944" s="195">
        <v>12</v>
      </c>
      <c r="H944" s="107"/>
    </row>
    <row r="945" spans="1:8">
      <c r="A945" s="107">
        <v>53</v>
      </c>
      <c r="B945" s="107">
        <v>2</v>
      </c>
      <c r="C945" s="107">
        <v>1</v>
      </c>
      <c r="D945" s="107" t="s">
        <v>721</v>
      </c>
      <c r="E945" s="107" t="s">
        <v>722</v>
      </c>
      <c r="F945" s="107">
        <v>1010</v>
      </c>
      <c r="G945" s="195">
        <v>13</v>
      </c>
      <c r="H945" s="107">
        <v>1620</v>
      </c>
    </row>
    <row r="946" spans="1:8">
      <c r="A946" s="107">
        <v>53</v>
      </c>
      <c r="B946" s="107">
        <v>2</v>
      </c>
      <c r="C946" s="107">
        <v>2</v>
      </c>
      <c r="D946" s="107" t="s">
        <v>721</v>
      </c>
      <c r="E946" s="107" t="s">
        <v>722</v>
      </c>
      <c r="F946" s="107">
        <v>810</v>
      </c>
      <c r="G946" s="195">
        <v>14</v>
      </c>
      <c r="H946" s="107"/>
    </row>
    <row r="947" spans="1:8">
      <c r="A947" s="107">
        <v>53</v>
      </c>
      <c r="B947" s="107">
        <v>2</v>
      </c>
      <c r="C947" s="107">
        <v>3</v>
      </c>
      <c r="D947" s="107" t="s">
        <v>721</v>
      </c>
      <c r="E947" s="107" t="s">
        <v>722</v>
      </c>
      <c r="F947" s="107">
        <v>360</v>
      </c>
      <c r="G947" s="195">
        <v>10</v>
      </c>
      <c r="H947" s="107"/>
    </row>
    <row r="948" spans="1:8">
      <c r="A948" s="107">
        <v>53</v>
      </c>
      <c r="B948" s="107">
        <v>3</v>
      </c>
      <c r="C948" s="107">
        <v>1</v>
      </c>
      <c r="D948" s="107" t="s">
        <v>723</v>
      </c>
      <c r="E948" s="107" t="s">
        <v>724</v>
      </c>
      <c r="F948" s="107">
        <v>870</v>
      </c>
      <c r="G948" s="195">
        <v>12</v>
      </c>
      <c r="H948" s="107">
        <v>1360</v>
      </c>
    </row>
    <row r="949" spans="1:8">
      <c r="A949" s="107">
        <v>53</v>
      </c>
      <c r="B949" s="107">
        <v>3</v>
      </c>
      <c r="C949" s="107">
        <v>2</v>
      </c>
      <c r="D949" s="107" t="s">
        <v>723</v>
      </c>
      <c r="E949" s="107" t="s">
        <v>724</v>
      </c>
      <c r="F949" s="196">
        <v>1060</v>
      </c>
      <c r="G949" s="195">
        <v>14</v>
      </c>
      <c r="H949" s="107"/>
    </row>
    <row r="950" spans="1:8">
      <c r="A950" s="107">
        <v>53</v>
      </c>
      <c r="B950" s="107">
        <v>3</v>
      </c>
      <c r="C950" s="107">
        <v>3</v>
      </c>
      <c r="D950" s="107" t="s">
        <v>723</v>
      </c>
      <c r="E950" s="107" t="s">
        <v>724</v>
      </c>
      <c r="F950" s="107">
        <v>820</v>
      </c>
      <c r="G950" s="195">
        <v>11</v>
      </c>
      <c r="H950" s="107"/>
    </row>
    <row r="951" spans="1:8">
      <c r="A951" s="107">
        <v>53</v>
      </c>
      <c r="B951" s="107">
        <v>4</v>
      </c>
      <c r="C951" s="107">
        <v>1</v>
      </c>
      <c r="D951" s="107" t="s">
        <v>725</v>
      </c>
      <c r="E951" s="107" t="s">
        <v>726</v>
      </c>
      <c r="F951" s="107">
        <v>680</v>
      </c>
      <c r="G951" s="195">
        <v>13</v>
      </c>
      <c r="H951" s="107">
        <v>1530</v>
      </c>
    </row>
    <row r="952" spans="1:8">
      <c r="A952" s="107">
        <v>53</v>
      </c>
      <c r="B952" s="107">
        <v>4</v>
      </c>
      <c r="C952" s="107">
        <v>2</v>
      </c>
      <c r="D952" s="107" t="s">
        <v>725</v>
      </c>
      <c r="E952" s="107" t="s">
        <v>726</v>
      </c>
      <c r="F952" s="107">
        <v>800</v>
      </c>
      <c r="G952" s="195">
        <v>13</v>
      </c>
      <c r="H952" s="107"/>
    </row>
    <row r="953" spans="1:8">
      <c r="A953" s="107">
        <v>53</v>
      </c>
      <c r="B953" s="107">
        <v>4</v>
      </c>
      <c r="C953" s="107">
        <v>3</v>
      </c>
      <c r="D953" s="107" t="s">
        <v>725</v>
      </c>
      <c r="E953" s="107" t="s">
        <v>726</v>
      </c>
      <c r="F953" s="107">
        <v>1050</v>
      </c>
      <c r="G953" s="195">
        <v>10</v>
      </c>
      <c r="H953" s="107"/>
    </row>
    <row r="954" spans="1:8">
      <c r="A954" s="107">
        <v>53</v>
      </c>
      <c r="B954" s="107">
        <v>5</v>
      </c>
      <c r="C954" s="107">
        <v>1</v>
      </c>
      <c r="D954" s="107" t="s">
        <v>727</v>
      </c>
      <c r="E954" s="107" t="s">
        <v>728</v>
      </c>
      <c r="F954" s="107">
        <v>1160</v>
      </c>
      <c r="G954" s="195">
        <v>13</v>
      </c>
      <c r="H954" s="107">
        <v>1680</v>
      </c>
    </row>
    <row r="955" spans="1:8">
      <c r="A955" s="107">
        <v>53</v>
      </c>
      <c r="B955" s="107">
        <v>5</v>
      </c>
      <c r="C955" s="107">
        <v>2</v>
      </c>
      <c r="D955" s="107" t="s">
        <v>727</v>
      </c>
      <c r="E955" s="107" t="s">
        <v>728</v>
      </c>
      <c r="F955" s="107">
        <v>1180</v>
      </c>
      <c r="G955" s="195">
        <v>12</v>
      </c>
      <c r="H955" s="107"/>
    </row>
    <row r="956" spans="1:8">
      <c r="A956" s="107">
        <v>53</v>
      </c>
      <c r="B956" s="107">
        <v>5</v>
      </c>
      <c r="C956" s="107">
        <v>3</v>
      </c>
      <c r="D956" s="107" t="s">
        <v>727</v>
      </c>
      <c r="E956" s="107" t="s">
        <v>728</v>
      </c>
      <c r="F956" s="107">
        <v>1060</v>
      </c>
      <c r="G956" s="195">
        <v>14</v>
      </c>
      <c r="H956" s="107"/>
    </row>
    <row r="957" spans="1:8">
      <c r="A957" s="107">
        <v>53</v>
      </c>
      <c r="B957" s="107">
        <v>6</v>
      </c>
      <c r="C957" s="107">
        <v>1</v>
      </c>
      <c r="D957" s="107" t="s">
        <v>729</v>
      </c>
      <c r="E957" s="107" t="s">
        <v>730</v>
      </c>
      <c r="F957" s="107">
        <v>1100</v>
      </c>
      <c r="G957" s="195">
        <v>11</v>
      </c>
      <c r="H957" s="107">
        <v>1480</v>
      </c>
    </row>
    <row r="958" spans="1:8">
      <c r="A958" s="107">
        <v>53</v>
      </c>
      <c r="B958" s="107">
        <v>6</v>
      </c>
      <c r="C958" s="107">
        <v>2</v>
      </c>
      <c r="D958" s="107" t="s">
        <v>729</v>
      </c>
      <c r="E958" s="107" t="s">
        <v>730</v>
      </c>
      <c r="F958" s="107">
        <v>810</v>
      </c>
      <c r="G958" s="195">
        <v>12</v>
      </c>
      <c r="H958" s="107"/>
    </row>
    <row r="959" spans="1:8">
      <c r="A959" s="107">
        <v>53</v>
      </c>
      <c r="B959" s="107">
        <v>6</v>
      </c>
      <c r="C959" s="107">
        <v>3</v>
      </c>
      <c r="D959" s="107" t="s">
        <v>729</v>
      </c>
      <c r="E959" s="107" t="s">
        <v>730</v>
      </c>
      <c r="F959" s="107">
        <v>790</v>
      </c>
      <c r="G959" s="195">
        <v>11</v>
      </c>
      <c r="H959" s="107"/>
    </row>
    <row r="960" spans="1:8">
      <c r="A960" s="107">
        <v>54</v>
      </c>
      <c r="B960" s="107">
        <v>1</v>
      </c>
      <c r="C960" s="107">
        <v>1</v>
      </c>
      <c r="D960" s="107" t="s">
        <v>731</v>
      </c>
      <c r="E960" s="107" t="s">
        <v>732</v>
      </c>
      <c r="F960" s="107">
        <v>1170</v>
      </c>
      <c r="G960" s="195">
        <v>12</v>
      </c>
      <c r="H960" s="159">
        <v>1480</v>
      </c>
    </row>
    <row r="961" spans="1:8">
      <c r="A961" s="107">
        <v>54</v>
      </c>
      <c r="B961" s="107">
        <v>1</v>
      </c>
      <c r="C961" s="107">
        <v>2</v>
      </c>
      <c r="D961" s="107" t="s">
        <v>731</v>
      </c>
      <c r="E961" s="107" t="s">
        <v>732</v>
      </c>
      <c r="F961" s="107">
        <v>1010</v>
      </c>
      <c r="G961" s="195">
        <v>11</v>
      </c>
      <c r="H961" s="107"/>
    </row>
    <row r="962" spans="1:8">
      <c r="A962" s="107">
        <v>54</v>
      </c>
      <c r="B962" s="107">
        <v>1</v>
      </c>
      <c r="C962" s="107">
        <v>3</v>
      </c>
      <c r="D962" s="107" t="s">
        <v>731</v>
      </c>
      <c r="E962" s="107" t="s">
        <v>732</v>
      </c>
      <c r="F962" s="107">
        <v>1170</v>
      </c>
      <c r="G962" s="195">
        <v>9</v>
      </c>
      <c r="H962" s="170"/>
    </row>
    <row r="963" spans="1:8">
      <c r="A963" s="107">
        <v>54</v>
      </c>
      <c r="B963" s="107">
        <v>2</v>
      </c>
      <c r="C963" s="107">
        <v>1</v>
      </c>
      <c r="D963" s="107" t="s">
        <v>733</v>
      </c>
      <c r="E963" s="107" t="s">
        <v>734</v>
      </c>
      <c r="F963" s="107">
        <v>1090</v>
      </c>
      <c r="G963" s="195">
        <v>10</v>
      </c>
      <c r="H963" s="107">
        <v>1410</v>
      </c>
    </row>
    <row r="964" spans="1:8">
      <c r="A964" s="107">
        <v>54</v>
      </c>
      <c r="B964" s="107">
        <v>2</v>
      </c>
      <c r="C964" s="107">
        <v>2</v>
      </c>
      <c r="D964" s="107" t="s">
        <v>733</v>
      </c>
      <c r="E964" s="107" t="s">
        <v>734</v>
      </c>
      <c r="F964" s="107">
        <v>1000</v>
      </c>
      <c r="G964" s="195">
        <v>11</v>
      </c>
      <c r="H964" s="107"/>
    </row>
    <row r="965" spans="1:8">
      <c r="A965" s="107">
        <v>54</v>
      </c>
      <c r="B965" s="107">
        <v>2</v>
      </c>
      <c r="C965" s="107">
        <v>3</v>
      </c>
      <c r="D965" s="107" t="s">
        <v>733</v>
      </c>
      <c r="E965" s="107" t="s">
        <v>734</v>
      </c>
      <c r="F965" s="107">
        <v>1240</v>
      </c>
      <c r="G965" s="195">
        <v>10</v>
      </c>
      <c r="H965" s="107"/>
    </row>
    <row r="966" spans="1:8">
      <c r="A966" s="107">
        <v>54</v>
      </c>
      <c r="B966" s="107">
        <v>3</v>
      </c>
      <c r="C966" s="107">
        <v>1</v>
      </c>
      <c r="D966" s="107" t="s">
        <v>735</v>
      </c>
      <c r="E966" s="107" t="s">
        <v>736</v>
      </c>
      <c r="F966" s="107">
        <v>1010</v>
      </c>
      <c r="G966" s="195">
        <v>9</v>
      </c>
      <c r="H966" s="107">
        <v>1700</v>
      </c>
    </row>
    <row r="967" spans="1:8">
      <c r="A967" s="107">
        <v>54</v>
      </c>
      <c r="B967" s="107">
        <v>3</v>
      </c>
      <c r="C967" s="107">
        <v>2</v>
      </c>
      <c r="D967" s="107" t="s">
        <v>735</v>
      </c>
      <c r="E967" s="107" t="s">
        <v>736</v>
      </c>
      <c r="F967" s="107">
        <v>1220</v>
      </c>
      <c r="G967" s="195">
        <v>14</v>
      </c>
      <c r="H967" s="107"/>
    </row>
    <row r="968" spans="1:8">
      <c r="A968" s="107">
        <v>54</v>
      </c>
      <c r="B968" s="107">
        <v>3</v>
      </c>
      <c r="C968" s="107">
        <v>3</v>
      </c>
      <c r="D968" s="107" t="s">
        <v>735</v>
      </c>
      <c r="E968" s="107" t="s">
        <v>736</v>
      </c>
      <c r="F968" s="107">
        <v>880</v>
      </c>
      <c r="G968" s="195">
        <v>11</v>
      </c>
      <c r="H968" s="107"/>
    </row>
    <row r="969" spans="1:8">
      <c r="A969" s="107">
        <v>54</v>
      </c>
      <c r="B969" s="107">
        <v>4</v>
      </c>
      <c r="C969" s="107">
        <v>1</v>
      </c>
      <c r="D969" s="107" t="s">
        <v>737</v>
      </c>
      <c r="E969" s="107" t="s">
        <v>738</v>
      </c>
      <c r="F969" s="107">
        <v>790</v>
      </c>
      <c r="G969" s="195">
        <v>11</v>
      </c>
      <c r="H969" s="107">
        <v>1770</v>
      </c>
    </row>
    <row r="970" spans="1:8">
      <c r="A970" s="107">
        <v>54</v>
      </c>
      <c r="B970" s="107">
        <v>4</v>
      </c>
      <c r="C970" s="107">
        <v>2</v>
      </c>
      <c r="D970" s="107" t="s">
        <v>737</v>
      </c>
      <c r="E970" s="107" t="s">
        <v>738</v>
      </c>
      <c r="F970" s="107">
        <v>1280</v>
      </c>
      <c r="G970" s="195">
        <v>11</v>
      </c>
      <c r="H970" s="107"/>
    </row>
    <row r="971" spans="1:8">
      <c r="A971" s="107">
        <v>54</v>
      </c>
      <c r="B971" s="107">
        <v>4</v>
      </c>
      <c r="C971" s="107">
        <v>3</v>
      </c>
      <c r="D971" s="107" t="s">
        <v>737</v>
      </c>
      <c r="E971" s="107" t="s">
        <v>738</v>
      </c>
      <c r="F971" s="107">
        <v>990</v>
      </c>
      <c r="G971" s="195">
        <v>12</v>
      </c>
      <c r="H971" s="107"/>
    </row>
    <row r="972" spans="1:8">
      <c r="A972" s="107">
        <v>54</v>
      </c>
      <c r="B972" s="107">
        <v>5</v>
      </c>
      <c r="C972" s="107">
        <v>1</v>
      </c>
      <c r="D972" s="107" t="s">
        <v>739</v>
      </c>
      <c r="E972" s="107" t="s">
        <v>740</v>
      </c>
      <c r="F972" s="107">
        <v>1180</v>
      </c>
      <c r="G972" s="195">
        <v>11</v>
      </c>
      <c r="H972" s="107">
        <v>1760</v>
      </c>
    </row>
    <row r="973" spans="1:8">
      <c r="A973" s="107">
        <v>54</v>
      </c>
      <c r="B973" s="107">
        <v>5</v>
      </c>
      <c r="C973" s="107">
        <v>2</v>
      </c>
      <c r="D973" s="107" t="s">
        <v>739</v>
      </c>
      <c r="E973" s="107" t="s">
        <v>740</v>
      </c>
      <c r="F973" s="107">
        <v>1180</v>
      </c>
      <c r="G973" s="195">
        <v>10</v>
      </c>
      <c r="H973" s="107"/>
    </row>
    <row r="974" spans="1:8">
      <c r="A974" s="107">
        <v>54</v>
      </c>
      <c r="B974" s="107">
        <v>5</v>
      </c>
      <c r="C974" s="107">
        <v>3</v>
      </c>
      <c r="D974" s="107" t="s">
        <v>739</v>
      </c>
      <c r="E974" s="107" t="s">
        <v>740</v>
      </c>
      <c r="F974" s="107">
        <v>1110</v>
      </c>
      <c r="G974" s="195">
        <v>10</v>
      </c>
      <c r="H974" s="107"/>
    </row>
    <row r="975" spans="1:8">
      <c r="A975" s="107">
        <v>54</v>
      </c>
      <c r="B975" s="107">
        <v>6</v>
      </c>
      <c r="C975" s="107">
        <v>1</v>
      </c>
      <c r="D975" s="107" t="s">
        <v>741</v>
      </c>
      <c r="E975" s="107" t="s">
        <v>742</v>
      </c>
      <c r="F975" s="107">
        <v>1130</v>
      </c>
      <c r="G975" s="195">
        <v>12</v>
      </c>
      <c r="H975" s="196">
        <v>1170</v>
      </c>
    </row>
    <row r="976" spans="1:8">
      <c r="A976" s="107">
        <v>54</v>
      </c>
      <c r="B976" s="107">
        <v>6</v>
      </c>
      <c r="C976" s="107">
        <v>2</v>
      </c>
      <c r="D976" s="107" t="s">
        <v>741</v>
      </c>
      <c r="E976" s="107" t="s">
        <v>742</v>
      </c>
      <c r="F976" s="107">
        <v>1140</v>
      </c>
      <c r="G976" s="195">
        <v>9</v>
      </c>
      <c r="H976" s="107"/>
    </row>
    <row r="977" spans="1:8">
      <c r="A977" s="107">
        <v>54</v>
      </c>
      <c r="B977" s="107">
        <v>6</v>
      </c>
      <c r="C977" s="107">
        <v>3</v>
      </c>
      <c r="D977" s="107" t="s">
        <v>741</v>
      </c>
      <c r="E977" s="107" t="s">
        <v>742</v>
      </c>
      <c r="F977" s="107">
        <v>1020</v>
      </c>
      <c r="G977" s="195">
        <v>10</v>
      </c>
      <c r="H977" s="107"/>
    </row>
    <row r="978" spans="1:8">
      <c r="A978" s="107">
        <v>55</v>
      </c>
      <c r="B978" s="107">
        <v>1</v>
      </c>
      <c r="C978" s="107">
        <v>1</v>
      </c>
      <c r="D978" s="107" t="s">
        <v>743</v>
      </c>
      <c r="E978" s="169" t="s">
        <v>744</v>
      </c>
      <c r="F978" s="107">
        <v>1170</v>
      </c>
      <c r="G978" s="195">
        <v>15</v>
      </c>
      <c r="H978" s="107">
        <v>1380</v>
      </c>
    </row>
    <row r="979" spans="1:8">
      <c r="A979" s="107">
        <v>55</v>
      </c>
      <c r="B979" s="107">
        <v>1</v>
      </c>
      <c r="C979" s="107">
        <v>2</v>
      </c>
      <c r="D979" s="107" t="s">
        <v>743</v>
      </c>
      <c r="E979" s="169" t="s">
        <v>744</v>
      </c>
      <c r="F979" s="107">
        <v>1180</v>
      </c>
      <c r="G979" s="195">
        <v>9</v>
      </c>
      <c r="H979" s="107"/>
    </row>
    <row r="980" spans="1:8">
      <c r="A980" s="107">
        <v>55</v>
      </c>
      <c r="B980" s="107">
        <v>1</v>
      </c>
      <c r="C980" s="107">
        <v>3</v>
      </c>
      <c r="D980" s="107" t="s">
        <v>743</v>
      </c>
      <c r="E980" s="169" t="s">
        <v>744</v>
      </c>
      <c r="F980" s="107">
        <v>1090</v>
      </c>
      <c r="G980" s="195">
        <v>8</v>
      </c>
      <c r="H980" s="107"/>
    </row>
    <row r="981" spans="1:8">
      <c r="A981" s="107">
        <v>55</v>
      </c>
      <c r="B981" s="107">
        <v>2</v>
      </c>
      <c r="C981" s="107">
        <v>1</v>
      </c>
      <c r="D981" s="107" t="s">
        <v>745</v>
      </c>
      <c r="E981" s="107" t="s">
        <v>746</v>
      </c>
      <c r="F981" s="107">
        <v>670</v>
      </c>
      <c r="G981" s="195">
        <v>11</v>
      </c>
      <c r="H981" s="107">
        <v>1110</v>
      </c>
    </row>
    <row r="982" spans="1:8">
      <c r="A982" s="107">
        <v>55</v>
      </c>
      <c r="B982" s="107">
        <v>2</v>
      </c>
      <c r="C982" s="107">
        <v>2</v>
      </c>
      <c r="D982" s="107" t="s">
        <v>745</v>
      </c>
      <c r="E982" s="107" t="s">
        <v>746</v>
      </c>
      <c r="F982" s="107">
        <v>760</v>
      </c>
      <c r="G982" s="195">
        <v>8</v>
      </c>
      <c r="H982" s="107"/>
    </row>
    <row r="983" spans="1:8">
      <c r="A983" s="107">
        <v>55</v>
      </c>
      <c r="B983" s="107">
        <v>2</v>
      </c>
      <c r="C983" s="107">
        <v>3</v>
      </c>
      <c r="D983" s="107" t="s">
        <v>745</v>
      </c>
      <c r="E983" s="159" t="s">
        <v>746</v>
      </c>
      <c r="F983" s="107">
        <v>890</v>
      </c>
      <c r="G983" s="198">
        <v>12</v>
      </c>
      <c r="H983" s="107"/>
    </row>
    <row r="984" spans="1:8">
      <c r="E984" s="139"/>
      <c r="F984" s="139"/>
      <c r="G984" s="139"/>
      <c r="H984" s="139"/>
    </row>
    <row r="985" spans="1:8">
      <c r="A985" s="107">
        <v>55</v>
      </c>
      <c r="B985" s="107">
        <v>3</v>
      </c>
      <c r="C985" s="107">
        <v>1</v>
      </c>
      <c r="D985" s="107" t="s">
        <v>747</v>
      </c>
      <c r="E985" s="170" t="s">
        <v>748</v>
      </c>
      <c r="F985" s="170">
        <v>1150</v>
      </c>
      <c r="G985" s="199">
        <v>13</v>
      </c>
      <c r="H985" s="107">
        <v>1800</v>
      </c>
    </row>
    <row r="986" spans="1:8">
      <c r="A986" s="107">
        <v>55</v>
      </c>
      <c r="B986" s="107">
        <v>3</v>
      </c>
      <c r="C986" s="107">
        <v>2</v>
      </c>
      <c r="D986" s="107" t="s">
        <v>747</v>
      </c>
      <c r="E986" s="107" t="s">
        <v>748</v>
      </c>
      <c r="F986" s="107">
        <v>1060</v>
      </c>
      <c r="G986" s="195">
        <v>12</v>
      </c>
      <c r="H986" s="107"/>
    </row>
    <row r="987" spans="1:8">
      <c r="A987" s="107">
        <v>55</v>
      </c>
      <c r="B987" s="107">
        <v>3</v>
      </c>
      <c r="C987" s="107">
        <v>3</v>
      </c>
      <c r="D987" s="107" t="s">
        <v>747</v>
      </c>
      <c r="E987" s="107" t="s">
        <v>748</v>
      </c>
      <c r="F987" s="107">
        <v>970</v>
      </c>
      <c r="G987" s="195">
        <v>12</v>
      </c>
      <c r="H987" s="107"/>
    </row>
    <row r="988" spans="1:8">
      <c r="A988" s="107">
        <v>55</v>
      </c>
      <c r="B988" s="107">
        <v>4</v>
      </c>
      <c r="C988" s="107">
        <v>1</v>
      </c>
      <c r="D988" s="107" t="s">
        <v>749</v>
      </c>
      <c r="E988" s="107" t="s">
        <v>750</v>
      </c>
      <c r="F988" s="107">
        <v>1180</v>
      </c>
      <c r="G988" s="195">
        <v>11</v>
      </c>
      <c r="H988" s="107">
        <v>1550</v>
      </c>
    </row>
    <row r="989" spans="1:8">
      <c r="A989" s="107">
        <v>55</v>
      </c>
      <c r="B989" s="107">
        <v>4</v>
      </c>
      <c r="C989" s="107">
        <v>2</v>
      </c>
      <c r="D989" s="107" t="s">
        <v>749</v>
      </c>
      <c r="E989" s="107" t="s">
        <v>750</v>
      </c>
      <c r="F989" s="107">
        <v>1000</v>
      </c>
      <c r="G989">
        <v>12</v>
      </c>
      <c r="H989" s="107"/>
    </row>
    <row r="990" spans="1:8">
      <c r="A990" s="107">
        <v>55</v>
      </c>
      <c r="B990" s="107">
        <v>4</v>
      </c>
      <c r="C990" s="107">
        <v>3</v>
      </c>
      <c r="D990" s="107" t="s">
        <v>749</v>
      </c>
      <c r="E990" s="107" t="s">
        <v>750</v>
      </c>
      <c r="F990" s="107">
        <v>1050</v>
      </c>
      <c r="G990" s="195">
        <v>11</v>
      </c>
      <c r="H990" s="107"/>
    </row>
    <row r="991" spans="1:8">
      <c r="A991" s="107">
        <v>55</v>
      </c>
      <c r="B991" s="107">
        <v>5</v>
      </c>
      <c r="C991" s="107">
        <v>1</v>
      </c>
      <c r="D991" s="107" t="s">
        <v>751</v>
      </c>
      <c r="E991" s="107" t="s">
        <v>752</v>
      </c>
      <c r="F991" s="107">
        <v>1220</v>
      </c>
      <c r="G991" s="195">
        <v>8</v>
      </c>
      <c r="H991" s="107">
        <v>1470</v>
      </c>
    </row>
    <row r="992" spans="1:8">
      <c r="A992" s="107">
        <v>55</v>
      </c>
      <c r="B992" s="107">
        <v>5</v>
      </c>
      <c r="C992" s="107">
        <v>2</v>
      </c>
      <c r="D992" s="107" t="s">
        <v>751</v>
      </c>
      <c r="E992" s="107" t="s">
        <v>752</v>
      </c>
      <c r="F992" s="107">
        <v>1020</v>
      </c>
      <c r="G992" s="195">
        <v>14</v>
      </c>
      <c r="H992" s="107"/>
    </row>
    <row r="993" spans="1:8">
      <c r="A993" s="107">
        <v>55</v>
      </c>
      <c r="B993" s="107">
        <v>5</v>
      </c>
      <c r="C993" s="107">
        <v>3</v>
      </c>
      <c r="D993" s="107" t="s">
        <v>751</v>
      </c>
      <c r="E993" s="107" t="s">
        <v>752</v>
      </c>
      <c r="F993" s="107">
        <v>980</v>
      </c>
      <c r="G993" s="195">
        <v>14</v>
      </c>
      <c r="H993" s="107"/>
    </row>
    <row r="994" spans="1:8">
      <c r="A994" s="107">
        <v>55</v>
      </c>
      <c r="B994" s="107">
        <v>6</v>
      </c>
      <c r="C994" s="107">
        <v>1</v>
      </c>
      <c r="D994" s="107" t="s">
        <v>753</v>
      </c>
      <c r="E994" s="107" t="s">
        <v>754</v>
      </c>
      <c r="F994" s="107">
        <v>1170</v>
      </c>
      <c r="G994" s="195">
        <v>11</v>
      </c>
      <c r="H994" s="107">
        <v>1560</v>
      </c>
    </row>
    <row r="995" spans="1:8">
      <c r="A995" s="107">
        <v>55</v>
      </c>
      <c r="B995" s="107">
        <v>6</v>
      </c>
      <c r="C995" s="107">
        <v>2</v>
      </c>
      <c r="D995" s="107" t="s">
        <v>753</v>
      </c>
      <c r="E995" s="107" t="s">
        <v>754</v>
      </c>
      <c r="F995" s="107">
        <v>950</v>
      </c>
      <c r="G995" s="195">
        <v>14</v>
      </c>
      <c r="H995" s="107"/>
    </row>
    <row r="996" spans="1:8">
      <c r="A996" s="107">
        <v>55</v>
      </c>
      <c r="B996" s="107">
        <v>6</v>
      </c>
      <c r="C996" s="107">
        <v>3</v>
      </c>
      <c r="D996" s="107" t="s">
        <v>753</v>
      </c>
      <c r="E996" s="107" t="s">
        <v>754</v>
      </c>
      <c r="F996" s="107">
        <v>1070</v>
      </c>
      <c r="G996" s="195">
        <v>14</v>
      </c>
      <c r="H996" s="107"/>
    </row>
  </sheetData>
  <mergeCells count="1">
    <mergeCell ref="F3:G3"/>
  </mergeCells>
  <pageMargins left="0.23622047244094491" right="0.23622047244094491" top="0.19685039370078741" bottom="0.15748031496062992" header="0.31496062992125984" footer="0.31496062992125984"/>
  <pageSetup orientation="portrait" r:id="rId1"/>
  <headerFooter>
    <oddHeader>&amp;RPage &amp;P of &amp;N</oddHeader>
  </headerFooter>
  <rowBreaks count="1" manualBreakCount="1">
    <brk id="5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1D98-AAE1-4506-AA96-62381133D6E8}">
  <dimension ref="A1:J34"/>
  <sheetViews>
    <sheetView zoomScaleNormal="100" workbookViewId="0">
      <selection activeCell="F10" sqref="F10"/>
    </sheetView>
  </sheetViews>
  <sheetFormatPr defaultRowHeight="14.5"/>
  <cols>
    <col min="1" max="1" width="6.26953125" customWidth="1"/>
    <col min="2" max="2" width="7.54296875" bestFit="1" customWidth="1"/>
    <col min="3" max="3" width="5.54296875" bestFit="1" customWidth="1"/>
    <col min="4" max="4" width="10" bestFit="1" customWidth="1"/>
    <col min="5" max="5" width="24.26953125" bestFit="1" customWidth="1"/>
    <col min="6" max="6" width="14.453125" bestFit="1" customWidth="1"/>
    <col min="7" max="7" width="15.453125" customWidth="1"/>
    <col min="8" max="8" width="14.453125" bestFit="1" customWidth="1"/>
  </cols>
  <sheetData>
    <row r="1" spans="1:10" ht="18.5">
      <c r="A1" s="42" t="s">
        <v>987</v>
      </c>
    </row>
    <row r="2" spans="1:10" ht="18.5">
      <c r="A2" s="42"/>
    </row>
    <row r="3" spans="1:10">
      <c r="F3" s="238">
        <v>45393</v>
      </c>
      <c r="G3" s="239"/>
      <c r="H3" s="193">
        <v>45422</v>
      </c>
    </row>
    <row r="4" spans="1:10">
      <c r="A4" s="140" t="s">
        <v>106</v>
      </c>
      <c r="B4" s="140" t="s">
        <v>100</v>
      </c>
      <c r="C4" s="140" t="s">
        <v>104</v>
      </c>
      <c r="D4" s="140" t="s">
        <v>758</v>
      </c>
      <c r="E4" s="140" t="s">
        <v>756</v>
      </c>
      <c r="F4" s="160" t="s">
        <v>945</v>
      </c>
      <c r="G4" s="160" t="s">
        <v>1138</v>
      </c>
      <c r="H4" s="160" t="s">
        <v>945</v>
      </c>
    </row>
    <row r="5" spans="1:10">
      <c r="A5" s="107">
        <v>1</v>
      </c>
      <c r="B5" s="107">
        <v>7</v>
      </c>
      <c r="C5" s="107">
        <v>9</v>
      </c>
      <c r="D5" s="107" t="s">
        <v>357</v>
      </c>
      <c r="E5" s="107" t="s">
        <v>358</v>
      </c>
      <c r="F5" s="155">
        <v>1480</v>
      </c>
      <c r="G5" s="155">
        <v>9</v>
      </c>
      <c r="H5" s="155">
        <v>1950</v>
      </c>
      <c r="J5" s="180"/>
    </row>
    <row r="6" spans="1:10">
      <c r="A6" s="167">
        <v>1</v>
      </c>
      <c r="B6" s="167">
        <v>8</v>
      </c>
      <c r="C6" s="167">
        <v>3</v>
      </c>
      <c r="D6" s="167" t="s">
        <v>415</v>
      </c>
      <c r="E6" s="167" t="s">
        <v>416</v>
      </c>
      <c r="F6" s="168">
        <v>1330</v>
      </c>
      <c r="G6" s="168">
        <v>11</v>
      </c>
      <c r="H6" s="168">
        <v>1640</v>
      </c>
      <c r="J6" s="180"/>
    </row>
    <row r="7" spans="1:10">
      <c r="A7" s="107">
        <v>1</v>
      </c>
      <c r="B7" s="107">
        <v>9</v>
      </c>
      <c r="C7" s="107">
        <v>12</v>
      </c>
      <c r="D7" s="107" t="s">
        <v>443</v>
      </c>
      <c r="E7" s="107" t="s">
        <v>444</v>
      </c>
      <c r="F7" s="155">
        <v>1440</v>
      </c>
      <c r="G7" s="155">
        <v>13</v>
      </c>
      <c r="H7" s="155">
        <v>1770</v>
      </c>
      <c r="J7" s="180"/>
    </row>
    <row r="8" spans="1:10">
      <c r="A8" s="167">
        <v>1</v>
      </c>
      <c r="B8" s="167">
        <v>10</v>
      </c>
      <c r="C8" s="167">
        <v>9</v>
      </c>
      <c r="D8" s="167" t="s">
        <v>487</v>
      </c>
      <c r="E8" s="167" t="s">
        <v>488</v>
      </c>
      <c r="F8" s="168">
        <v>1580</v>
      </c>
      <c r="G8" s="168">
        <v>9</v>
      </c>
      <c r="H8" s="168">
        <v>1820</v>
      </c>
      <c r="J8" s="180"/>
    </row>
    <row r="9" spans="1:10">
      <c r="A9" s="167">
        <v>1</v>
      </c>
      <c r="B9" s="167">
        <v>11</v>
      </c>
      <c r="C9" s="167">
        <v>15</v>
      </c>
      <c r="D9" s="167" t="s">
        <v>489</v>
      </c>
      <c r="E9" s="167" t="s">
        <v>490</v>
      </c>
      <c r="F9" s="168">
        <v>1610</v>
      </c>
      <c r="G9" s="168">
        <v>14</v>
      </c>
      <c r="H9" s="168">
        <v>2270</v>
      </c>
      <c r="J9" s="180"/>
    </row>
    <row r="10" spans="1:10">
      <c r="A10" s="167">
        <v>1</v>
      </c>
      <c r="B10" s="167">
        <v>14</v>
      </c>
      <c r="C10" s="167">
        <v>15</v>
      </c>
      <c r="D10" s="167" t="s">
        <v>596</v>
      </c>
      <c r="E10" s="167" t="s">
        <v>597</v>
      </c>
      <c r="F10" s="168">
        <v>1580</v>
      </c>
      <c r="G10" s="168">
        <v>10</v>
      </c>
      <c r="H10" s="168">
        <v>1850</v>
      </c>
      <c r="J10" s="180"/>
    </row>
    <row r="11" spans="1:10">
      <c r="A11" s="167">
        <v>1</v>
      </c>
      <c r="B11" s="167">
        <v>15</v>
      </c>
      <c r="C11" s="167">
        <v>6</v>
      </c>
      <c r="D11" s="167" t="s">
        <v>618</v>
      </c>
      <c r="E11" s="167" t="s">
        <v>619</v>
      </c>
      <c r="F11" s="168">
        <v>1820</v>
      </c>
      <c r="G11" s="168">
        <v>12</v>
      </c>
      <c r="H11" s="168">
        <v>2400</v>
      </c>
      <c r="J11" s="180"/>
    </row>
    <row r="12" spans="1:10">
      <c r="A12" s="107">
        <v>1</v>
      </c>
      <c r="B12" s="107">
        <v>15</v>
      </c>
      <c r="C12" s="107">
        <v>18</v>
      </c>
      <c r="D12" s="107" t="s">
        <v>622</v>
      </c>
      <c r="E12" s="107" t="s">
        <v>623</v>
      </c>
      <c r="F12" s="155">
        <v>920</v>
      </c>
      <c r="G12" s="155">
        <v>12</v>
      </c>
      <c r="H12" s="155">
        <v>1760</v>
      </c>
      <c r="J12" s="180"/>
    </row>
    <row r="13" spans="1:10">
      <c r="A13" s="107">
        <v>1</v>
      </c>
      <c r="B13" s="107">
        <v>16</v>
      </c>
      <c r="C13" s="107">
        <v>6</v>
      </c>
      <c r="D13" s="107" t="s">
        <v>680</v>
      </c>
      <c r="E13" s="107" t="s">
        <v>681</v>
      </c>
      <c r="F13" s="155">
        <v>1570</v>
      </c>
      <c r="G13" s="155">
        <v>10</v>
      </c>
      <c r="H13" s="155">
        <v>2010</v>
      </c>
      <c r="J13" s="180"/>
    </row>
    <row r="14" spans="1:10">
      <c r="A14" s="167">
        <v>1</v>
      </c>
      <c r="B14" s="167">
        <v>16</v>
      </c>
      <c r="C14" s="167">
        <v>12</v>
      </c>
      <c r="D14" s="167" t="s">
        <v>676</v>
      </c>
      <c r="E14" s="167" t="s">
        <v>677</v>
      </c>
      <c r="F14" s="168">
        <v>1320</v>
      </c>
      <c r="G14" s="168">
        <v>9</v>
      </c>
      <c r="H14" s="168">
        <v>1770</v>
      </c>
      <c r="J14" s="180"/>
    </row>
    <row r="15" spans="1:10">
      <c r="A15" s="107">
        <v>1</v>
      </c>
      <c r="B15" s="107">
        <v>17</v>
      </c>
      <c r="C15" s="107">
        <v>9</v>
      </c>
      <c r="D15" s="107" t="s">
        <v>717</v>
      </c>
      <c r="E15" s="107" t="s">
        <v>718</v>
      </c>
      <c r="F15" s="155">
        <v>1570</v>
      </c>
      <c r="G15" s="155">
        <v>10</v>
      </c>
      <c r="H15" s="155">
        <v>1650</v>
      </c>
      <c r="J15" s="180"/>
    </row>
    <row r="16" spans="1:10">
      <c r="A16" s="167">
        <v>1</v>
      </c>
      <c r="B16" s="167">
        <v>17</v>
      </c>
      <c r="C16" s="167">
        <v>15</v>
      </c>
      <c r="D16" s="167" t="s">
        <v>694</v>
      </c>
      <c r="E16" s="167" t="s">
        <v>695</v>
      </c>
      <c r="F16" s="168">
        <v>1510</v>
      </c>
      <c r="G16" s="168">
        <v>10</v>
      </c>
      <c r="H16" s="168">
        <v>1690</v>
      </c>
      <c r="J16" s="180"/>
    </row>
    <row r="17" spans="1:10">
      <c r="A17" s="167">
        <v>2</v>
      </c>
      <c r="B17" s="167">
        <v>20</v>
      </c>
      <c r="C17" s="167">
        <v>3</v>
      </c>
      <c r="D17" s="167" t="s">
        <v>393</v>
      </c>
      <c r="E17" s="167" t="s">
        <v>394</v>
      </c>
      <c r="F17" s="168">
        <v>1590</v>
      </c>
      <c r="G17" s="168">
        <v>10</v>
      </c>
      <c r="H17" s="168">
        <v>1800</v>
      </c>
      <c r="J17" s="180"/>
    </row>
    <row r="18" spans="1:10">
      <c r="A18" s="167">
        <v>2</v>
      </c>
      <c r="B18" s="167">
        <v>20</v>
      </c>
      <c r="C18" s="167">
        <v>15</v>
      </c>
      <c r="D18" s="167" t="s">
        <v>544</v>
      </c>
      <c r="E18" s="167" t="s">
        <v>545</v>
      </c>
      <c r="F18" s="168">
        <v>1540</v>
      </c>
      <c r="G18" s="168">
        <v>9</v>
      </c>
      <c r="H18" s="168">
        <v>1880</v>
      </c>
      <c r="J18" s="180"/>
    </row>
    <row r="19" spans="1:10">
      <c r="A19" s="107">
        <v>2</v>
      </c>
      <c r="B19" s="107">
        <v>21</v>
      </c>
      <c r="C19" s="107">
        <v>3</v>
      </c>
      <c r="D19" s="107" t="s">
        <v>684</v>
      </c>
      <c r="E19" s="107" t="s">
        <v>685</v>
      </c>
      <c r="F19" s="155">
        <v>1370</v>
      </c>
      <c r="G19" s="155">
        <v>12</v>
      </c>
      <c r="H19" s="155">
        <v>2030</v>
      </c>
      <c r="J19" s="180"/>
    </row>
    <row r="20" spans="1:10">
      <c r="A20" s="167">
        <v>2</v>
      </c>
      <c r="B20" s="167">
        <v>22</v>
      </c>
      <c r="C20" s="167">
        <v>3</v>
      </c>
      <c r="D20" s="167" t="s">
        <v>232</v>
      </c>
      <c r="E20" s="167" t="s">
        <v>233</v>
      </c>
      <c r="F20" s="168">
        <v>1540</v>
      </c>
      <c r="G20" s="168">
        <v>10</v>
      </c>
      <c r="H20" s="168">
        <v>1800</v>
      </c>
      <c r="J20" s="180"/>
    </row>
    <row r="21" spans="1:10">
      <c r="A21" s="107">
        <v>2</v>
      </c>
      <c r="B21" s="107">
        <v>22</v>
      </c>
      <c r="C21" s="107">
        <v>15</v>
      </c>
      <c r="D21" s="107" t="s">
        <v>519</v>
      </c>
      <c r="E21" s="107" t="s">
        <v>503</v>
      </c>
      <c r="F21" s="155">
        <v>1760</v>
      </c>
      <c r="G21" s="155">
        <v>11</v>
      </c>
      <c r="H21" s="155">
        <v>2000</v>
      </c>
      <c r="J21" s="180"/>
    </row>
    <row r="22" spans="1:10">
      <c r="A22" s="107">
        <v>2</v>
      </c>
      <c r="B22" s="107">
        <v>23</v>
      </c>
      <c r="C22" s="107">
        <v>15</v>
      </c>
      <c r="D22" s="107" t="s">
        <v>335</v>
      </c>
      <c r="E22" s="107" t="s">
        <v>336</v>
      </c>
      <c r="F22" s="155">
        <v>1550</v>
      </c>
      <c r="G22" s="155">
        <v>11</v>
      </c>
      <c r="H22" s="155">
        <v>1850</v>
      </c>
      <c r="J22" s="180"/>
    </row>
    <row r="23" spans="1:10">
      <c r="A23" s="107">
        <v>2</v>
      </c>
      <c r="B23" s="107">
        <v>25</v>
      </c>
      <c r="C23" s="107">
        <v>6</v>
      </c>
      <c r="D23" s="107" t="s">
        <v>170</v>
      </c>
      <c r="E23" s="107" t="s">
        <v>171</v>
      </c>
      <c r="F23" s="155">
        <v>1350</v>
      </c>
      <c r="G23" s="155">
        <v>9</v>
      </c>
      <c r="H23" s="155">
        <v>2020</v>
      </c>
      <c r="J23" s="180"/>
    </row>
    <row r="24" spans="1:10">
      <c r="A24" s="107">
        <v>2</v>
      </c>
      <c r="B24" s="107">
        <v>25</v>
      </c>
      <c r="C24" s="107">
        <v>18</v>
      </c>
      <c r="D24" s="107" t="s">
        <v>668</v>
      </c>
      <c r="E24" s="107" t="s">
        <v>669</v>
      </c>
      <c r="F24" s="155">
        <v>1530</v>
      </c>
      <c r="G24" s="155">
        <v>8</v>
      </c>
      <c r="H24" s="155">
        <v>1780</v>
      </c>
      <c r="J24" s="180"/>
    </row>
    <row r="25" spans="1:10">
      <c r="A25" s="107">
        <v>2</v>
      </c>
      <c r="B25" s="107">
        <v>26</v>
      </c>
      <c r="C25" s="107">
        <v>3</v>
      </c>
      <c r="D25" s="107" t="s">
        <v>706</v>
      </c>
      <c r="E25" s="107" t="s">
        <v>137</v>
      </c>
      <c r="F25" s="155">
        <v>1580</v>
      </c>
      <c r="G25" s="155">
        <v>8</v>
      </c>
      <c r="H25" s="155">
        <v>1860</v>
      </c>
      <c r="J25" s="180"/>
    </row>
    <row r="26" spans="1:10">
      <c r="A26" s="167">
        <v>2</v>
      </c>
      <c r="B26" s="167">
        <v>26</v>
      </c>
      <c r="C26" s="167">
        <v>12</v>
      </c>
      <c r="D26" s="167" t="s">
        <v>737</v>
      </c>
      <c r="E26" s="167" t="s">
        <v>738</v>
      </c>
      <c r="F26" s="168">
        <v>1410</v>
      </c>
      <c r="G26" s="168">
        <v>8</v>
      </c>
      <c r="H26" s="168">
        <v>1790</v>
      </c>
      <c r="J26" s="180"/>
    </row>
    <row r="27" spans="1:10">
      <c r="A27" s="107">
        <v>2</v>
      </c>
      <c r="B27" s="107">
        <v>27</v>
      </c>
      <c r="C27" s="107">
        <v>6</v>
      </c>
      <c r="D27" s="107" t="s">
        <v>624</v>
      </c>
      <c r="E27" s="107" t="s">
        <v>625</v>
      </c>
      <c r="F27" s="155">
        <v>670</v>
      </c>
      <c r="G27" s="155">
        <v>10</v>
      </c>
      <c r="H27" s="155">
        <v>1900</v>
      </c>
      <c r="J27" s="180"/>
    </row>
    <row r="28" spans="1:10">
      <c r="A28" s="167">
        <v>2</v>
      </c>
      <c r="B28" s="167">
        <v>27</v>
      </c>
      <c r="C28" s="167">
        <v>18</v>
      </c>
      <c r="D28" s="167" t="s">
        <v>743</v>
      </c>
      <c r="E28" s="167" t="s">
        <v>744</v>
      </c>
      <c r="F28" s="168">
        <v>1550</v>
      </c>
      <c r="G28" s="168">
        <v>11</v>
      </c>
      <c r="H28" s="168">
        <v>1880</v>
      </c>
      <c r="J28" s="180"/>
    </row>
    <row r="29" spans="1:10">
      <c r="A29" s="167">
        <v>2</v>
      </c>
      <c r="B29" s="167">
        <v>28</v>
      </c>
      <c r="C29" s="167">
        <v>3</v>
      </c>
      <c r="D29" s="167" t="s">
        <v>317</v>
      </c>
      <c r="E29" s="167" t="s">
        <v>318</v>
      </c>
      <c r="F29" s="168">
        <v>1430</v>
      </c>
      <c r="G29" s="168">
        <v>12</v>
      </c>
      <c r="H29" s="168">
        <v>1760</v>
      </c>
      <c r="J29" s="180"/>
    </row>
    <row r="30" spans="1:10">
      <c r="A30" s="107">
        <v>2</v>
      </c>
      <c r="B30" s="107">
        <v>28</v>
      </c>
      <c r="C30" s="107">
        <v>9</v>
      </c>
      <c r="D30" s="107" t="s">
        <v>652</v>
      </c>
      <c r="E30" s="107" t="s">
        <v>653</v>
      </c>
      <c r="F30" s="155">
        <v>1530</v>
      </c>
      <c r="G30" s="155">
        <v>9</v>
      </c>
      <c r="H30" s="155">
        <v>1600</v>
      </c>
      <c r="J30" s="180"/>
    </row>
    <row r="31" spans="1:10">
      <c r="A31" s="167">
        <v>2</v>
      </c>
      <c r="B31" s="167">
        <v>28</v>
      </c>
      <c r="C31" s="167">
        <v>15</v>
      </c>
      <c r="D31" s="167" t="s">
        <v>558</v>
      </c>
      <c r="E31" s="167" t="s">
        <v>559</v>
      </c>
      <c r="F31" s="168">
        <v>1800</v>
      </c>
      <c r="G31" s="168">
        <v>9</v>
      </c>
      <c r="H31" s="168">
        <v>2070</v>
      </c>
      <c r="J31" s="180"/>
    </row>
    <row r="32" spans="1:10">
      <c r="A32" s="167">
        <v>2</v>
      </c>
      <c r="B32" s="167">
        <v>29</v>
      </c>
      <c r="C32" s="167">
        <v>15</v>
      </c>
      <c r="D32" s="167" t="s">
        <v>648</v>
      </c>
      <c r="E32" s="167" t="s">
        <v>649</v>
      </c>
      <c r="F32" s="168">
        <v>1430</v>
      </c>
      <c r="G32" s="168">
        <v>9</v>
      </c>
      <c r="H32" s="168">
        <v>1880</v>
      </c>
      <c r="J32" s="180"/>
    </row>
    <row r="33" spans="1:10">
      <c r="A33" s="107">
        <v>2</v>
      </c>
      <c r="B33" s="107">
        <v>30</v>
      </c>
      <c r="C33" s="107">
        <v>3</v>
      </c>
      <c r="D33" s="107" t="s">
        <v>222</v>
      </c>
      <c r="E33" s="107" t="s">
        <v>223</v>
      </c>
      <c r="F33" s="155">
        <v>1520</v>
      </c>
      <c r="G33" s="155">
        <v>7</v>
      </c>
      <c r="H33" s="155">
        <v>1730</v>
      </c>
      <c r="J33" s="180"/>
    </row>
    <row r="34" spans="1:10">
      <c r="A34" s="107">
        <v>2</v>
      </c>
      <c r="B34" s="107">
        <v>30</v>
      </c>
      <c r="C34" s="107">
        <v>15</v>
      </c>
      <c r="D34" s="107" t="s">
        <v>447</v>
      </c>
      <c r="E34" s="107" t="s">
        <v>448</v>
      </c>
      <c r="F34" s="155">
        <v>1230</v>
      </c>
      <c r="G34" s="155">
        <v>10</v>
      </c>
      <c r="H34" s="155">
        <v>2200</v>
      </c>
      <c r="J34" s="180"/>
    </row>
  </sheetData>
  <sortState xmlns:xlrd2="http://schemas.microsoft.com/office/spreadsheetml/2017/richdata2" ref="A5:G34">
    <sortCondition ref="B5:B34"/>
    <sortCondition ref="C5:C34"/>
  </sortState>
  <mergeCells count="1">
    <mergeCell ref="F3:G3"/>
  </mergeCells>
  <pageMargins left="0.70866141732283472" right="0.70866141732283472" top="0.19685039370078741" bottom="0.39370078740157483" header="0.31496062992125984" footer="0.31496062992125984"/>
  <pageSetup orientation="portrait" r:id="rId1"/>
  <headerFooter>
    <oddHeader>&amp;RPage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C1F4-6484-4185-A210-C0BBDE7E9ABA}">
  <sheetPr>
    <pageSetUpPr fitToPage="1"/>
  </sheetPr>
  <dimension ref="A1:AI158"/>
  <sheetViews>
    <sheetView topLeftCell="F1" zoomScale="90" zoomScaleNormal="90" zoomScaleSheetLayoutView="108" workbookViewId="0">
      <selection activeCell="O59" sqref="O59"/>
    </sheetView>
  </sheetViews>
  <sheetFormatPr defaultRowHeight="14.5"/>
  <cols>
    <col min="1" max="3" width="10.453125" customWidth="1"/>
    <col min="4" max="4" width="18.7265625" bestFit="1" customWidth="1"/>
    <col min="5" max="6" width="13.7265625" customWidth="1"/>
    <col min="7" max="10" width="13.7265625" style="98" customWidth="1"/>
    <col min="11" max="20" width="13.7265625" customWidth="1"/>
    <col min="21" max="21" width="17.453125" customWidth="1"/>
    <col min="22" max="22" width="25.7265625" customWidth="1"/>
    <col min="23" max="23" width="9.453125" bestFit="1" customWidth="1"/>
    <col min="24" max="24" width="33.26953125" customWidth="1"/>
    <col min="25" max="25" width="9.453125" bestFit="1" customWidth="1"/>
    <col min="26" max="34" width="13.7265625" customWidth="1"/>
  </cols>
  <sheetData>
    <row r="1" spans="1:35" ht="23.65" customHeight="1">
      <c r="A1" s="42" t="s">
        <v>846</v>
      </c>
      <c r="B1" s="110"/>
      <c r="C1" s="110"/>
      <c r="D1" s="110"/>
      <c r="E1" s="110"/>
      <c r="G1" s="111"/>
      <c r="S1" s="112"/>
      <c r="T1" s="112"/>
      <c r="U1" s="112"/>
      <c r="V1" s="112"/>
    </row>
    <row r="2" spans="1:35" ht="21" customHeight="1">
      <c r="A2" s="113"/>
      <c r="B2" s="113"/>
      <c r="C2" s="113"/>
      <c r="D2" s="113"/>
      <c r="F2" s="114"/>
      <c r="S2" s="112"/>
      <c r="T2" s="112"/>
      <c r="U2" s="112"/>
      <c r="V2" s="112"/>
    </row>
    <row r="3" spans="1:35" ht="21" customHeight="1">
      <c r="A3" s="240" t="s">
        <v>100</v>
      </c>
      <c r="B3" s="240" t="s">
        <v>825</v>
      </c>
      <c r="C3" s="243" t="s">
        <v>822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117"/>
      <c r="R3" s="157" t="s">
        <v>1049</v>
      </c>
      <c r="S3" s="158"/>
      <c r="T3" s="157" t="s">
        <v>1048</v>
      </c>
      <c r="U3" s="158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</row>
    <row r="4" spans="1:35" ht="21" customHeight="1">
      <c r="A4" s="241"/>
      <c r="B4" s="242"/>
      <c r="C4" s="132">
        <v>45358</v>
      </c>
      <c r="D4" s="133">
        <v>45365</v>
      </c>
      <c r="E4" s="133">
        <v>45375</v>
      </c>
      <c r="F4" s="134">
        <v>45379</v>
      </c>
      <c r="G4" s="133">
        <v>45380</v>
      </c>
      <c r="H4" s="133">
        <v>45386</v>
      </c>
      <c r="I4" s="133">
        <v>45393</v>
      </c>
      <c r="J4" s="133">
        <v>45407</v>
      </c>
      <c r="K4" s="133">
        <v>45414</v>
      </c>
      <c r="L4" s="133">
        <v>45421</v>
      </c>
      <c r="M4" s="133">
        <v>45428</v>
      </c>
      <c r="N4" s="133"/>
      <c r="O4" s="133"/>
      <c r="P4" s="133"/>
      <c r="Q4" s="118"/>
      <c r="R4" s="121" t="s">
        <v>826</v>
      </c>
      <c r="S4" s="121" t="s">
        <v>827</v>
      </c>
      <c r="T4" s="121" t="s">
        <v>826</v>
      </c>
      <c r="U4" s="121" t="s">
        <v>827</v>
      </c>
      <c r="V4" s="157"/>
      <c r="W4" s="118"/>
      <c r="X4" s="157"/>
      <c r="Y4" s="118"/>
      <c r="Z4" s="119"/>
      <c r="AA4" s="118"/>
      <c r="AB4" s="119"/>
      <c r="AC4" s="118"/>
      <c r="AD4" s="119"/>
      <c r="AE4" s="118"/>
      <c r="AF4" s="119"/>
      <c r="AG4" s="118"/>
      <c r="AH4" s="119"/>
    </row>
    <row r="5" spans="1:35" ht="21" customHeight="1">
      <c r="A5" s="115">
        <v>1</v>
      </c>
      <c r="B5" s="116">
        <v>12</v>
      </c>
      <c r="C5" s="116">
        <v>1.1000000000000001</v>
      </c>
      <c r="D5" s="119">
        <v>1.1000000000000001</v>
      </c>
      <c r="E5" s="130">
        <v>11.91</v>
      </c>
      <c r="F5" s="130">
        <v>10.99</v>
      </c>
      <c r="G5" s="130">
        <v>11.92</v>
      </c>
      <c r="H5" s="130">
        <v>12.02</v>
      </c>
      <c r="I5" s="130">
        <v>11.97</v>
      </c>
      <c r="J5" s="130">
        <v>11.67</v>
      </c>
      <c r="K5" s="130">
        <v>12.15</v>
      </c>
      <c r="L5" s="130">
        <v>11.91</v>
      </c>
      <c r="M5" s="130">
        <v>11.72</v>
      </c>
      <c r="N5" s="130"/>
      <c r="O5" s="130"/>
      <c r="P5" s="130"/>
      <c r="Q5" s="120"/>
      <c r="R5" s="186">
        <f>AVERAGE(C5:D5)</f>
        <v>1.1000000000000001</v>
      </c>
      <c r="S5" s="123">
        <f>STDEV(C5:D5)/SQRT(COUNT(C5:D5))</f>
        <v>0</v>
      </c>
      <c r="T5" s="186">
        <f>AVERAGE(E5:P5)</f>
        <v>11.806666666666667</v>
      </c>
      <c r="U5" s="123">
        <f>STDEV(E5:P5)/SQRT(COUNT(E5:P5))</f>
        <v>0.11287899125464695</v>
      </c>
      <c r="W5" s="120"/>
      <c r="Y5" s="120"/>
      <c r="Z5" s="120"/>
      <c r="AA5" s="120"/>
      <c r="AB5" s="120"/>
      <c r="AC5" s="120"/>
      <c r="AF5" s="120"/>
      <c r="AG5" s="120"/>
      <c r="AH5" s="120"/>
      <c r="AI5" s="120"/>
    </row>
    <row r="6" spans="1:35" ht="21" customHeight="1">
      <c r="A6" s="119">
        <v>2</v>
      </c>
      <c r="B6" s="119">
        <v>12</v>
      </c>
      <c r="C6" s="119">
        <v>1.1299999999999999</v>
      </c>
      <c r="D6" s="119">
        <v>1.1200000000000001</v>
      </c>
      <c r="E6" s="130">
        <v>11.87</v>
      </c>
      <c r="F6" s="130">
        <v>11.05</v>
      </c>
      <c r="G6" s="130">
        <v>12</v>
      </c>
      <c r="H6" s="130">
        <v>12.2</v>
      </c>
      <c r="I6" s="130">
        <v>12.13</v>
      </c>
      <c r="J6" s="130">
        <v>11.95</v>
      </c>
      <c r="K6" s="130">
        <v>12.06</v>
      </c>
      <c r="L6" s="98">
        <v>11.94</v>
      </c>
      <c r="M6" s="98">
        <v>11.78</v>
      </c>
      <c r="N6" s="98"/>
      <c r="O6" s="122"/>
      <c r="P6" s="122"/>
      <c r="Q6" s="122"/>
      <c r="R6" s="186">
        <f t="shared" ref="R6:R64" si="0">AVERAGE(C6:D6)</f>
        <v>1.125</v>
      </c>
      <c r="S6" s="123">
        <f t="shared" ref="S6:S64" si="1">STDEV(C6:D6)/SQRT(COUNT(C6:D6))</f>
        <v>4.9999999999998934E-3</v>
      </c>
      <c r="T6" s="186">
        <f t="shared" ref="T6:T64" si="2">AVERAGE(E6:P6)</f>
        <v>11.886666666666667</v>
      </c>
      <c r="U6" s="123">
        <f t="shared" ref="U6:U64" si="3">STDEV(E6:P6)/SQRT(COUNT(E6:P6))</f>
        <v>0.11296508801887023</v>
      </c>
      <c r="V6" s="122"/>
      <c r="W6" s="122"/>
      <c r="X6" s="122"/>
      <c r="Y6" s="122"/>
      <c r="Z6" s="124"/>
      <c r="AA6" s="124"/>
      <c r="AB6" s="124"/>
      <c r="AC6" s="124"/>
      <c r="AD6" s="124"/>
      <c r="AE6" s="124"/>
      <c r="AF6" s="124"/>
      <c r="AG6" s="124"/>
      <c r="AH6" s="124"/>
      <c r="AI6" s="124"/>
    </row>
    <row r="7" spans="1:35" ht="21" customHeight="1">
      <c r="A7" s="119">
        <v>3</v>
      </c>
      <c r="B7" s="119">
        <v>12</v>
      </c>
      <c r="C7" s="119">
        <v>1.1200000000000001</v>
      </c>
      <c r="D7" s="119">
        <v>1.1000000000000001</v>
      </c>
      <c r="E7" s="130">
        <v>11.86</v>
      </c>
      <c r="F7" s="130">
        <v>11.03</v>
      </c>
      <c r="G7" s="130">
        <v>12.16</v>
      </c>
      <c r="H7" s="130">
        <v>12.15</v>
      </c>
      <c r="I7" s="130">
        <v>12.08</v>
      </c>
      <c r="J7" s="130">
        <v>12</v>
      </c>
      <c r="K7" s="130">
        <v>12.01</v>
      </c>
      <c r="L7" s="130">
        <v>11.9</v>
      </c>
      <c r="M7" s="98">
        <v>11.82</v>
      </c>
      <c r="N7" s="98"/>
      <c r="O7" s="130"/>
      <c r="P7" s="130"/>
      <c r="Q7" s="122"/>
      <c r="R7" s="186">
        <f t="shared" si="0"/>
        <v>1.1100000000000001</v>
      </c>
      <c r="S7" s="123">
        <f t="shared" si="1"/>
        <v>1.0000000000000009E-2</v>
      </c>
      <c r="T7" s="186">
        <f t="shared" si="2"/>
        <v>11.890000000000002</v>
      </c>
      <c r="U7" s="123">
        <f t="shared" si="3"/>
        <v>0.11478240283249004</v>
      </c>
      <c r="V7" s="122"/>
      <c r="W7" s="122"/>
      <c r="X7" s="122"/>
      <c r="Y7" s="122"/>
      <c r="Z7" s="124"/>
      <c r="AA7" s="124"/>
      <c r="AB7" s="124"/>
      <c r="AC7" s="124"/>
      <c r="AD7" s="124"/>
      <c r="AE7" s="124"/>
      <c r="AF7" s="124"/>
      <c r="AG7" s="124"/>
      <c r="AH7" s="124"/>
      <c r="AI7" s="124"/>
    </row>
    <row r="8" spans="1:35" ht="21" customHeight="1">
      <c r="A8" s="119">
        <v>4</v>
      </c>
      <c r="B8" s="119">
        <v>12</v>
      </c>
      <c r="C8" s="119">
        <v>1.1299999999999999</v>
      </c>
      <c r="D8" s="119">
        <v>1.1100000000000001</v>
      </c>
      <c r="E8" s="130">
        <v>11.93</v>
      </c>
      <c r="F8" s="130">
        <v>11.06</v>
      </c>
      <c r="G8" s="130">
        <v>12.14</v>
      </c>
      <c r="H8" s="130">
        <v>12.12</v>
      </c>
      <c r="I8" s="130">
        <v>12.08</v>
      </c>
      <c r="J8" s="130">
        <v>12.24</v>
      </c>
      <c r="K8" s="130">
        <v>12.23</v>
      </c>
      <c r="L8" s="98">
        <v>12.21</v>
      </c>
      <c r="M8" s="98">
        <v>12.06</v>
      </c>
      <c r="N8" s="98"/>
      <c r="O8" s="122"/>
      <c r="P8" s="122"/>
      <c r="Q8" s="122"/>
      <c r="R8" s="186">
        <f t="shared" si="0"/>
        <v>1.1200000000000001</v>
      </c>
      <c r="S8" s="123">
        <f t="shared" si="1"/>
        <v>9.9999999999998979E-3</v>
      </c>
      <c r="T8" s="186">
        <f t="shared" si="2"/>
        <v>12.007777777777777</v>
      </c>
      <c r="U8" s="123">
        <f t="shared" si="3"/>
        <v>0.12284563233064515</v>
      </c>
      <c r="V8" s="122"/>
      <c r="W8" s="122"/>
      <c r="X8" s="122"/>
      <c r="Y8" s="122"/>
      <c r="Z8" s="124"/>
      <c r="AA8" s="124"/>
      <c r="AB8" s="124"/>
      <c r="AC8" s="124"/>
      <c r="AD8" s="124"/>
      <c r="AE8" s="124"/>
      <c r="AF8" s="124"/>
      <c r="AG8" s="124"/>
      <c r="AH8" s="124"/>
      <c r="AI8" s="124"/>
    </row>
    <row r="9" spans="1:35" ht="21" customHeight="1">
      <c r="A9" s="119">
        <v>5</v>
      </c>
      <c r="B9" s="119">
        <v>12</v>
      </c>
      <c r="C9" s="119">
        <v>1.1200000000000001</v>
      </c>
      <c r="D9" s="119">
        <v>1.1100000000000001</v>
      </c>
      <c r="E9" s="130">
        <v>11.96</v>
      </c>
      <c r="F9" s="130">
        <v>11.44</v>
      </c>
      <c r="G9" s="130">
        <v>11.97</v>
      </c>
      <c r="H9" s="130">
        <v>11.8</v>
      </c>
      <c r="I9" s="130">
        <v>11.83</v>
      </c>
      <c r="J9" s="130">
        <v>12.16</v>
      </c>
      <c r="K9" s="130">
        <v>11.98</v>
      </c>
      <c r="L9" s="130">
        <v>11.9</v>
      </c>
      <c r="M9" s="98">
        <v>11.89</v>
      </c>
      <c r="N9" s="98"/>
      <c r="O9" s="130"/>
      <c r="P9" s="130"/>
      <c r="Q9" s="122"/>
      <c r="R9" s="186">
        <f t="shared" si="0"/>
        <v>1.1150000000000002</v>
      </c>
      <c r="S9" s="123">
        <f t="shared" si="1"/>
        <v>5.0000000000000044E-3</v>
      </c>
      <c r="T9" s="186">
        <f t="shared" si="2"/>
        <v>11.881111111111112</v>
      </c>
      <c r="U9" s="123">
        <f t="shared" si="3"/>
        <v>6.5180187097947692E-2</v>
      </c>
      <c r="V9" s="122"/>
      <c r="W9" s="122"/>
      <c r="X9" s="122"/>
      <c r="Y9" s="122"/>
      <c r="Z9" s="124"/>
      <c r="AA9" s="124"/>
      <c r="AB9" s="124"/>
      <c r="AC9" s="124"/>
      <c r="AD9" s="124"/>
      <c r="AE9" s="124"/>
      <c r="AF9" s="124"/>
      <c r="AG9" s="124"/>
      <c r="AH9" s="124"/>
      <c r="AI9" s="124"/>
    </row>
    <row r="10" spans="1:35" ht="21" customHeight="1">
      <c r="A10" s="119">
        <v>6</v>
      </c>
      <c r="B10" s="119">
        <v>12</v>
      </c>
      <c r="C10" s="119">
        <v>1.1000000000000001</v>
      </c>
      <c r="D10" s="119">
        <v>1.1100000000000001</v>
      </c>
      <c r="E10" s="130">
        <v>11.95</v>
      </c>
      <c r="F10" s="130">
        <v>10.98</v>
      </c>
      <c r="G10" s="130">
        <v>11.93</v>
      </c>
      <c r="H10" s="130">
        <v>12.04</v>
      </c>
      <c r="I10" s="130">
        <v>11.68</v>
      </c>
      <c r="J10" s="130">
        <v>12.09</v>
      </c>
      <c r="K10" s="130">
        <v>12.16</v>
      </c>
      <c r="L10" s="98">
        <v>11.97</v>
      </c>
      <c r="M10" s="98">
        <v>11.91</v>
      </c>
      <c r="N10" s="98"/>
      <c r="O10" s="122"/>
      <c r="P10" s="122"/>
      <c r="Q10" s="122"/>
      <c r="R10" s="186">
        <f t="shared" si="0"/>
        <v>1.105</v>
      </c>
      <c r="S10" s="123">
        <f t="shared" si="1"/>
        <v>5.0000000000000044E-3</v>
      </c>
      <c r="T10" s="186">
        <f t="shared" si="2"/>
        <v>11.856666666666666</v>
      </c>
      <c r="U10" s="123">
        <f t="shared" si="3"/>
        <v>0.11841546445554402</v>
      </c>
      <c r="V10" s="122"/>
      <c r="W10" s="122"/>
      <c r="X10" s="122"/>
      <c r="Y10" s="122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</row>
    <row r="11" spans="1:35" ht="21" customHeight="1">
      <c r="A11" s="119">
        <v>7</v>
      </c>
      <c r="B11" s="119">
        <v>12</v>
      </c>
      <c r="C11" s="119">
        <v>1.1299999999999999</v>
      </c>
      <c r="D11" s="119">
        <v>1.1299999999999999</v>
      </c>
      <c r="E11" s="130">
        <v>12.05</v>
      </c>
      <c r="F11" s="130">
        <v>11.03</v>
      </c>
      <c r="G11" s="130">
        <v>12.05</v>
      </c>
      <c r="H11" s="130">
        <v>12.15</v>
      </c>
      <c r="I11" s="130">
        <v>12.11</v>
      </c>
      <c r="J11" s="130">
        <v>11.93</v>
      </c>
      <c r="K11" s="130">
        <v>12.05</v>
      </c>
      <c r="L11" s="98">
        <v>11.95</v>
      </c>
      <c r="M11" s="130">
        <v>11.9</v>
      </c>
      <c r="N11" s="98"/>
      <c r="O11" s="122"/>
      <c r="P11" s="122"/>
      <c r="Q11" s="122"/>
      <c r="R11" s="186">
        <f t="shared" si="0"/>
        <v>1.1299999999999999</v>
      </c>
      <c r="S11" s="123">
        <f t="shared" si="1"/>
        <v>0</v>
      </c>
      <c r="T11" s="186">
        <f t="shared" si="2"/>
        <v>11.913333333333334</v>
      </c>
      <c r="U11" s="123">
        <f t="shared" si="3"/>
        <v>0.11382247385975924</v>
      </c>
      <c r="V11" s="122"/>
      <c r="W11" s="122"/>
      <c r="X11" s="122"/>
      <c r="Y11" s="122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</row>
    <row r="12" spans="1:35" ht="21" customHeight="1">
      <c r="A12" s="119">
        <v>8</v>
      </c>
      <c r="B12" s="119">
        <v>12</v>
      </c>
      <c r="C12" s="119">
        <v>1.1000000000000001</v>
      </c>
      <c r="D12" s="119">
        <v>1.0900000000000001</v>
      </c>
      <c r="E12" s="130">
        <v>11.94</v>
      </c>
      <c r="F12" s="130">
        <v>10.96</v>
      </c>
      <c r="G12" s="130">
        <v>12.12</v>
      </c>
      <c r="H12" s="130">
        <v>12.16</v>
      </c>
      <c r="I12" s="130">
        <v>12.1</v>
      </c>
      <c r="J12" s="130">
        <v>12.07</v>
      </c>
      <c r="K12" s="130">
        <v>11.93</v>
      </c>
      <c r="L12" s="130">
        <v>11.8</v>
      </c>
      <c r="M12" s="98">
        <v>11.72</v>
      </c>
      <c r="N12" s="98"/>
      <c r="O12" s="122"/>
      <c r="P12" s="122"/>
      <c r="Q12" s="122"/>
      <c r="R12" s="186">
        <f t="shared" si="0"/>
        <v>1.0950000000000002</v>
      </c>
      <c r="S12" s="123">
        <f t="shared" si="1"/>
        <v>5.0000000000000044E-3</v>
      </c>
      <c r="T12" s="186">
        <f t="shared" si="2"/>
        <v>11.866666666666667</v>
      </c>
      <c r="U12" s="123">
        <f t="shared" si="3"/>
        <v>0.12379418403139934</v>
      </c>
      <c r="V12" s="122"/>
      <c r="W12" s="122"/>
      <c r="X12" s="122"/>
      <c r="Y12" s="122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</row>
    <row r="13" spans="1:35" ht="21" customHeight="1">
      <c r="A13" s="119">
        <v>9</v>
      </c>
      <c r="B13" s="119">
        <v>12</v>
      </c>
      <c r="C13" s="119">
        <v>1.1200000000000001</v>
      </c>
      <c r="D13" s="119">
        <v>1.1100000000000001</v>
      </c>
      <c r="E13" s="130">
        <v>11.84</v>
      </c>
      <c r="F13" s="130">
        <v>11.03</v>
      </c>
      <c r="G13" s="130">
        <v>12.11</v>
      </c>
      <c r="H13" s="130">
        <v>12.04</v>
      </c>
      <c r="I13" s="130">
        <v>11.94</v>
      </c>
      <c r="J13" s="130">
        <v>12.06</v>
      </c>
      <c r="K13" s="130">
        <v>12</v>
      </c>
      <c r="L13" s="98">
        <v>11.92</v>
      </c>
      <c r="M13" s="98">
        <v>11.81</v>
      </c>
      <c r="N13" s="98"/>
      <c r="O13" s="130"/>
      <c r="P13" s="130"/>
      <c r="Q13" s="122"/>
      <c r="R13" s="186">
        <f t="shared" si="0"/>
        <v>1.1150000000000002</v>
      </c>
      <c r="S13" s="123">
        <f t="shared" si="1"/>
        <v>5.0000000000000044E-3</v>
      </c>
      <c r="T13" s="186">
        <f t="shared" si="2"/>
        <v>11.861111111111111</v>
      </c>
      <c r="U13" s="123">
        <f t="shared" si="3"/>
        <v>0.10905457915451285</v>
      </c>
      <c r="V13" s="122"/>
      <c r="W13" s="122"/>
      <c r="X13" s="122"/>
      <c r="Y13" s="122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</row>
    <row r="14" spans="1:35" ht="21" customHeight="1">
      <c r="A14" s="119">
        <v>10</v>
      </c>
      <c r="B14" s="119">
        <v>12</v>
      </c>
      <c r="C14" s="119">
        <v>1.1299999999999999</v>
      </c>
      <c r="D14" s="119">
        <v>1.1100000000000001</v>
      </c>
      <c r="E14" s="130">
        <v>11.96</v>
      </c>
      <c r="F14" s="130">
        <v>11.36</v>
      </c>
      <c r="G14" s="130">
        <v>11.89</v>
      </c>
      <c r="H14" s="130">
        <v>11.82</v>
      </c>
      <c r="I14" s="130">
        <v>11.74</v>
      </c>
      <c r="J14" s="130">
        <v>12.01</v>
      </c>
      <c r="K14" s="130">
        <v>11.96</v>
      </c>
      <c r="L14" s="98">
        <v>11.96</v>
      </c>
      <c r="M14" s="98">
        <v>11.78</v>
      </c>
      <c r="N14" s="98"/>
      <c r="O14" s="122"/>
      <c r="P14" s="122"/>
      <c r="Q14" s="122"/>
      <c r="R14" s="186">
        <f t="shared" si="0"/>
        <v>1.1200000000000001</v>
      </c>
      <c r="S14" s="123">
        <f t="shared" si="1"/>
        <v>9.9999999999998979E-3</v>
      </c>
      <c r="T14" s="186">
        <f t="shared" si="2"/>
        <v>11.831111111111113</v>
      </c>
      <c r="U14" s="123">
        <f t="shared" si="3"/>
        <v>6.648818701352667E-2</v>
      </c>
      <c r="V14" s="122"/>
      <c r="W14" s="122"/>
      <c r="X14" s="122"/>
      <c r="Y14" s="122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</row>
    <row r="15" spans="1:35" ht="21" customHeight="1">
      <c r="A15" s="119">
        <v>11</v>
      </c>
      <c r="B15" s="119">
        <v>12</v>
      </c>
      <c r="C15" s="119">
        <v>1.1100000000000001</v>
      </c>
      <c r="D15" s="119">
        <v>1.1100000000000001</v>
      </c>
      <c r="E15" s="130">
        <v>11.93</v>
      </c>
      <c r="F15" s="130">
        <v>11.06</v>
      </c>
      <c r="G15" s="130">
        <v>11.98</v>
      </c>
      <c r="H15" s="130">
        <v>12.01</v>
      </c>
      <c r="I15" s="130">
        <v>12.04</v>
      </c>
      <c r="J15" s="130">
        <v>12</v>
      </c>
      <c r="K15" s="130">
        <v>12.01</v>
      </c>
      <c r="L15" s="98">
        <v>11.99</v>
      </c>
      <c r="M15" s="130">
        <v>11.9</v>
      </c>
      <c r="N15" s="98"/>
      <c r="O15" s="130"/>
      <c r="P15" s="130"/>
      <c r="Q15" s="122"/>
      <c r="R15" s="186">
        <f t="shared" si="0"/>
        <v>1.1100000000000001</v>
      </c>
      <c r="S15" s="123">
        <f t="shared" si="1"/>
        <v>0</v>
      </c>
      <c r="T15" s="186">
        <f t="shared" si="2"/>
        <v>11.88</v>
      </c>
      <c r="U15" s="123">
        <f t="shared" si="3"/>
        <v>0.10349449797506675</v>
      </c>
      <c r="V15" s="122"/>
      <c r="W15" s="122"/>
      <c r="X15" s="122"/>
      <c r="Y15" s="122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</row>
    <row r="16" spans="1:35" ht="21" customHeight="1">
      <c r="A16" s="119">
        <v>12</v>
      </c>
      <c r="B16" s="119">
        <v>12</v>
      </c>
      <c r="C16" s="119">
        <v>1.1200000000000001</v>
      </c>
      <c r="D16" s="119">
        <v>1.1100000000000001</v>
      </c>
      <c r="E16" s="130">
        <v>12.32</v>
      </c>
      <c r="F16" s="130">
        <v>11.43</v>
      </c>
      <c r="G16" s="130">
        <v>12.04</v>
      </c>
      <c r="H16" s="130">
        <v>12.02</v>
      </c>
      <c r="I16" s="130">
        <v>12.05</v>
      </c>
      <c r="J16" s="130">
        <v>12.16</v>
      </c>
      <c r="K16" s="130">
        <v>12.03</v>
      </c>
      <c r="L16" s="98">
        <v>11.96</v>
      </c>
      <c r="M16" s="98">
        <v>11.87</v>
      </c>
      <c r="N16" s="98"/>
      <c r="O16" s="122"/>
      <c r="P16" s="122"/>
      <c r="Q16" s="122"/>
      <c r="R16" s="186">
        <f t="shared" si="0"/>
        <v>1.1150000000000002</v>
      </c>
      <c r="S16" s="123">
        <f t="shared" si="1"/>
        <v>5.0000000000000044E-3</v>
      </c>
      <c r="T16" s="186">
        <f t="shared" si="2"/>
        <v>11.986666666666666</v>
      </c>
      <c r="U16" s="123">
        <f t="shared" si="3"/>
        <v>8.1240384046359651E-2</v>
      </c>
      <c r="V16" s="122"/>
      <c r="W16" s="122"/>
      <c r="X16" s="122"/>
      <c r="Y16" s="122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</row>
    <row r="17" spans="1:35" ht="21" customHeight="1">
      <c r="A17" s="119">
        <v>13</v>
      </c>
      <c r="B17" s="119">
        <v>12</v>
      </c>
      <c r="C17" s="119">
        <v>1.1100000000000001</v>
      </c>
      <c r="D17" s="119">
        <v>1.1100000000000001</v>
      </c>
      <c r="E17" s="130">
        <v>12.04</v>
      </c>
      <c r="F17" s="130">
        <v>11.24</v>
      </c>
      <c r="G17" s="130">
        <v>12.02</v>
      </c>
      <c r="H17" s="130">
        <v>11.99</v>
      </c>
      <c r="I17" s="130">
        <v>11.96</v>
      </c>
      <c r="J17" s="130">
        <v>12.05</v>
      </c>
      <c r="K17" s="130">
        <v>12.01</v>
      </c>
      <c r="L17" s="98">
        <v>11.93</v>
      </c>
      <c r="M17" s="98">
        <v>11.88</v>
      </c>
      <c r="N17" s="98"/>
      <c r="O17" s="122"/>
      <c r="P17" s="122"/>
      <c r="Q17" s="122"/>
      <c r="R17" s="186">
        <f t="shared" si="0"/>
        <v>1.1100000000000001</v>
      </c>
      <c r="S17" s="123">
        <f t="shared" si="1"/>
        <v>0</v>
      </c>
      <c r="T17" s="186">
        <f t="shared" si="2"/>
        <v>11.902222222222223</v>
      </c>
      <c r="U17" s="123">
        <f t="shared" si="3"/>
        <v>8.4750905891221653E-2</v>
      </c>
      <c r="V17" s="122"/>
      <c r="W17" s="122"/>
      <c r="X17" s="122"/>
      <c r="Y17" s="122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</row>
    <row r="18" spans="1:35" ht="21" customHeight="1">
      <c r="A18" s="119">
        <v>14</v>
      </c>
      <c r="B18" s="119">
        <v>12</v>
      </c>
      <c r="C18" s="119">
        <v>1.1299999999999999</v>
      </c>
      <c r="D18" s="119">
        <v>1.1100000000000001</v>
      </c>
      <c r="E18" s="130">
        <v>12</v>
      </c>
      <c r="F18" s="130">
        <v>11.22</v>
      </c>
      <c r="G18" s="130">
        <v>12.01</v>
      </c>
      <c r="H18" s="130">
        <v>11.9</v>
      </c>
      <c r="I18" s="130">
        <v>11.93</v>
      </c>
      <c r="J18" s="130">
        <v>11.79</v>
      </c>
      <c r="K18" s="130">
        <v>11.95</v>
      </c>
      <c r="L18" s="130">
        <v>11.9</v>
      </c>
      <c r="M18" s="130">
        <v>11.8</v>
      </c>
      <c r="N18" s="98"/>
      <c r="O18" s="122"/>
      <c r="P18" s="122"/>
      <c r="Q18" s="122"/>
      <c r="R18" s="186">
        <f t="shared" si="0"/>
        <v>1.1200000000000001</v>
      </c>
      <c r="S18" s="123">
        <f t="shared" si="1"/>
        <v>9.9999999999998979E-3</v>
      </c>
      <c r="T18" s="186">
        <f t="shared" si="2"/>
        <v>11.833333333333334</v>
      </c>
      <c r="U18" s="123">
        <f t="shared" si="3"/>
        <v>8.0794664290272059E-2</v>
      </c>
      <c r="V18" s="122"/>
      <c r="W18" s="122"/>
      <c r="X18" s="122"/>
      <c r="Y18" s="122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</row>
    <row r="19" spans="1:35" ht="21" customHeight="1">
      <c r="A19" s="119">
        <v>15</v>
      </c>
      <c r="B19" s="119">
        <v>12</v>
      </c>
      <c r="C19" s="119">
        <v>1.1100000000000001</v>
      </c>
      <c r="D19" s="119">
        <v>1.1000000000000001</v>
      </c>
      <c r="E19" s="130">
        <v>11.96</v>
      </c>
      <c r="F19" s="130">
        <v>11.26</v>
      </c>
      <c r="G19" s="130">
        <v>11.89</v>
      </c>
      <c r="H19" s="130">
        <v>11.81</v>
      </c>
      <c r="I19" s="130">
        <v>11.8</v>
      </c>
      <c r="J19" s="130">
        <v>12.04</v>
      </c>
      <c r="K19" s="130">
        <v>11.95</v>
      </c>
      <c r="L19" s="98">
        <v>11.89</v>
      </c>
      <c r="M19" s="98">
        <v>11.84</v>
      </c>
      <c r="N19" s="98"/>
      <c r="O19" s="130"/>
      <c r="P19" s="130"/>
      <c r="Q19" s="122"/>
      <c r="R19" s="186">
        <f t="shared" si="0"/>
        <v>1.105</v>
      </c>
      <c r="S19" s="123">
        <f t="shared" si="1"/>
        <v>5.0000000000000044E-3</v>
      </c>
      <c r="T19" s="186">
        <f t="shared" si="2"/>
        <v>11.826666666666666</v>
      </c>
      <c r="U19" s="123">
        <f t="shared" si="3"/>
        <v>7.5351030369715438E-2</v>
      </c>
      <c r="V19" s="122"/>
      <c r="W19" s="122"/>
      <c r="X19" s="122"/>
      <c r="Y19" s="122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</row>
    <row r="20" spans="1:35" ht="21" customHeight="1">
      <c r="A20" s="119">
        <v>16</v>
      </c>
      <c r="B20" s="119">
        <v>12</v>
      </c>
      <c r="C20" s="119">
        <v>1.1299999999999999</v>
      </c>
      <c r="D20" s="119">
        <v>1.1200000000000001</v>
      </c>
      <c r="E20" s="130">
        <v>11.86</v>
      </c>
      <c r="F20" s="130">
        <v>11.09</v>
      </c>
      <c r="G20" s="130">
        <v>12.03</v>
      </c>
      <c r="H20" s="130">
        <v>12.15</v>
      </c>
      <c r="I20" s="130">
        <v>12.06</v>
      </c>
      <c r="J20" s="130">
        <v>12.04</v>
      </c>
      <c r="K20" s="130">
        <v>12.06</v>
      </c>
      <c r="L20" s="130">
        <v>11.9</v>
      </c>
      <c r="M20" s="98">
        <v>11.87</v>
      </c>
      <c r="N20" s="98"/>
      <c r="O20" s="122"/>
      <c r="P20" s="122"/>
      <c r="Q20" s="122"/>
      <c r="R20" s="186">
        <f t="shared" si="0"/>
        <v>1.125</v>
      </c>
      <c r="S20" s="123">
        <f t="shared" si="1"/>
        <v>4.9999999999998934E-3</v>
      </c>
      <c r="T20" s="186">
        <f t="shared" si="2"/>
        <v>11.895555555555555</v>
      </c>
      <c r="U20" s="123">
        <f t="shared" si="3"/>
        <v>0.10597577174774842</v>
      </c>
      <c r="V20" s="122"/>
      <c r="W20" s="122"/>
      <c r="X20" s="122"/>
      <c r="Y20" s="122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</row>
    <row r="21" spans="1:35" ht="21" customHeight="1">
      <c r="A21" s="119">
        <v>17</v>
      </c>
      <c r="B21" s="119">
        <v>12</v>
      </c>
      <c r="C21" s="119">
        <v>1.1499999999999999</v>
      </c>
      <c r="D21" s="119">
        <v>1.1399999999999999</v>
      </c>
      <c r="E21" s="130">
        <v>12</v>
      </c>
      <c r="F21" s="130">
        <v>11.33</v>
      </c>
      <c r="G21" s="130">
        <v>12.06</v>
      </c>
      <c r="H21" s="130">
        <v>12.1</v>
      </c>
      <c r="I21" s="130">
        <v>11.99</v>
      </c>
      <c r="J21" s="130">
        <v>12.06</v>
      </c>
      <c r="K21" s="130">
        <v>12.07</v>
      </c>
      <c r="L21" s="98">
        <v>11.95</v>
      </c>
      <c r="M21" s="98">
        <v>11.86</v>
      </c>
      <c r="N21" s="98"/>
      <c r="O21" s="130"/>
      <c r="P21" s="130"/>
      <c r="Q21" s="122"/>
      <c r="R21" s="186">
        <f t="shared" si="0"/>
        <v>1.145</v>
      </c>
      <c r="S21" s="123">
        <f t="shared" si="1"/>
        <v>5.0000000000000044E-3</v>
      </c>
      <c r="T21" s="186">
        <f t="shared" si="2"/>
        <v>11.935555555555558</v>
      </c>
      <c r="U21" s="123">
        <f t="shared" si="3"/>
        <v>7.9566727955414043E-2</v>
      </c>
      <c r="V21" s="122"/>
      <c r="W21" s="122"/>
      <c r="X21" s="122"/>
      <c r="Y21" s="122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</row>
    <row r="22" spans="1:35" ht="21" customHeight="1">
      <c r="A22" s="119">
        <v>18</v>
      </c>
      <c r="B22" s="119">
        <v>12</v>
      </c>
      <c r="C22" s="119">
        <v>1.1000000000000001</v>
      </c>
      <c r="D22" s="119">
        <v>1.1100000000000001</v>
      </c>
      <c r="E22" s="130">
        <v>11.8</v>
      </c>
      <c r="F22" s="130">
        <v>10.86</v>
      </c>
      <c r="G22" s="130">
        <v>12.03</v>
      </c>
      <c r="H22" s="130">
        <v>12.09</v>
      </c>
      <c r="I22" s="130">
        <v>11.93</v>
      </c>
      <c r="J22" s="130">
        <v>11.99</v>
      </c>
      <c r="K22" s="130">
        <v>11.93</v>
      </c>
      <c r="L22" s="98">
        <v>11.83</v>
      </c>
      <c r="M22" s="98">
        <v>11.84</v>
      </c>
      <c r="N22" s="98"/>
      <c r="O22" s="122"/>
      <c r="P22" s="122"/>
      <c r="Q22" s="122"/>
      <c r="R22" s="186">
        <f t="shared" si="0"/>
        <v>1.105</v>
      </c>
      <c r="S22" s="123">
        <f t="shared" si="1"/>
        <v>5.0000000000000044E-3</v>
      </c>
      <c r="T22" s="186">
        <f t="shared" si="2"/>
        <v>11.81111111111111</v>
      </c>
      <c r="U22" s="123">
        <f t="shared" si="3"/>
        <v>0.1231467557704633</v>
      </c>
      <c r="V22" s="122"/>
      <c r="W22" s="122"/>
      <c r="X22" s="122"/>
      <c r="Y22" s="122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</row>
    <row r="23" spans="1:35" ht="21" customHeight="1">
      <c r="A23" s="119">
        <v>19</v>
      </c>
      <c r="B23" s="119">
        <v>12</v>
      </c>
      <c r="C23" s="119">
        <v>1.1200000000000001</v>
      </c>
      <c r="D23" s="119">
        <v>1.1000000000000001</v>
      </c>
      <c r="E23" s="130">
        <v>11.98</v>
      </c>
      <c r="F23" s="130">
        <v>11.3</v>
      </c>
      <c r="G23" s="130">
        <v>11.94</v>
      </c>
      <c r="H23" s="130">
        <v>11.94</v>
      </c>
      <c r="I23" s="130">
        <v>11.84</v>
      </c>
      <c r="J23" s="130">
        <v>12.11</v>
      </c>
      <c r="K23" s="130">
        <v>12.11</v>
      </c>
      <c r="L23" s="130">
        <v>12</v>
      </c>
      <c r="M23" s="98">
        <v>11.96</v>
      </c>
      <c r="N23" s="98"/>
      <c r="O23" s="130"/>
      <c r="P23" s="130"/>
      <c r="Q23" s="122"/>
      <c r="R23" s="186">
        <f t="shared" si="0"/>
        <v>1.1100000000000001</v>
      </c>
      <c r="S23" s="123">
        <f t="shared" si="1"/>
        <v>1.0000000000000009E-2</v>
      </c>
      <c r="T23" s="186">
        <f t="shared" si="2"/>
        <v>11.908888888888889</v>
      </c>
      <c r="U23" s="123">
        <f t="shared" si="3"/>
        <v>8.1162464717456237E-2</v>
      </c>
      <c r="V23" s="122"/>
      <c r="W23" s="122"/>
      <c r="X23" s="122"/>
      <c r="Y23" s="122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</row>
    <row r="24" spans="1:35" ht="21" customHeight="1">
      <c r="A24" s="119">
        <v>20</v>
      </c>
      <c r="B24" s="119">
        <v>12</v>
      </c>
      <c r="C24" s="119">
        <v>1.1200000000000001</v>
      </c>
      <c r="D24" s="119">
        <v>1.1100000000000001</v>
      </c>
      <c r="E24" s="130">
        <v>11.97</v>
      </c>
      <c r="F24" s="130">
        <v>11.3</v>
      </c>
      <c r="G24" s="130">
        <v>11.92</v>
      </c>
      <c r="H24" s="130">
        <v>11.93</v>
      </c>
      <c r="I24" s="130">
        <v>11.87</v>
      </c>
      <c r="J24" s="130">
        <v>12.18</v>
      </c>
      <c r="K24" s="130">
        <v>12.1</v>
      </c>
      <c r="L24" s="98">
        <v>11.98</v>
      </c>
      <c r="M24" s="98">
        <v>11.95</v>
      </c>
      <c r="N24" s="98"/>
      <c r="O24" s="122"/>
      <c r="P24" s="122"/>
      <c r="Q24" s="122"/>
      <c r="R24" s="186">
        <f t="shared" si="0"/>
        <v>1.1150000000000002</v>
      </c>
      <c r="S24" s="123">
        <f t="shared" si="1"/>
        <v>5.0000000000000044E-3</v>
      </c>
      <c r="T24" s="186">
        <f t="shared" si="2"/>
        <v>11.911111111111111</v>
      </c>
      <c r="U24" s="123">
        <f t="shared" si="3"/>
        <v>8.2772184747662778E-2</v>
      </c>
      <c r="V24" s="122"/>
      <c r="W24" s="122"/>
      <c r="X24" s="122"/>
      <c r="Y24" s="122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</row>
    <row r="25" spans="1:35" ht="21" customHeight="1">
      <c r="A25" s="119">
        <v>21</v>
      </c>
      <c r="B25" s="119">
        <v>12</v>
      </c>
      <c r="C25" s="119">
        <v>1.1200000000000001</v>
      </c>
      <c r="D25" s="119">
        <v>1.1000000000000001</v>
      </c>
      <c r="E25" s="130">
        <v>12.02</v>
      </c>
      <c r="F25" s="130">
        <v>11.23</v>
      </c>
      <c r="G25" s="130">
        <v>12.01</v>
      </c>
      <c r="H25" s="130">
        <v>11.96</v>
      </c>
      <c r="I25" s="130">
        <v>11.93</v>
      </c>
      <c r="J25" s="130">
        <v>12.03</v>
      </c>
      <c r="K25" s="130">
        <v>11.99</v>
      </c>
      <c r="L25" s="98">
        <v>11.94</v>
      </c>
      <c r="M25" s="98">
        <v>11.85</v>
      </c>
      <c r="N25" s="98"/>
      <c r="O25" s="122"/>
      <c r="P25" s="122"/>
      <c r="Q25" s="122"/>
      <c r="R25" s="186">
        <f t="shared" si="0"/>
        <v>1.1100000000000001</v>
      </c>
      <c r="S25" s="123">
        <f t="shared" si="1"/>
        <v>1.0000000000000009E-2</v>
      </c>
      <c r="T25" s="186">
        <f t="shared" si="2"/>
        <v>11.884444444444442</v>
      </c>
      <c r="U25" s="123">
        <f t="shared" si="3"/>
        <v>8.3899925690456859E-2</v>
      </c>
      <c r="V25" s="122"/>
      <c r="W25" s="122"/>
      <c r="X25" s="122"/>
      <c r="Y25" s="122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</row>
    <row r="26" spans="1:35" ht="21" customHeight="1">
      <c r="A26" s="119">
        <v>22</v>
      </c>
      <c r="B26" s="119">
        <v>12</v>
      </c>
      <c r="C26" s="119">
        <v>1.1399999999999999</v>
      </c>
      <c r="D26" s="119">
        <v>1.1299999999999999</v>
      </c>
      <c r="E26" s="130">
        <v>12.2</v>
      </c>
      <c r="F26" s="130">
        <v>11.21</v>
      </c>
      <c r="G26" s="130">
        <v>12.04</v>
      </c>
      <c r="H26" s="130">
        <v>12.06</v>
      </c>
      <c r="I26" s="130">
        <v>12.01</v>
      </c>
      <c r="J26" s="130">
        <v>12.05</v>
      </c>
      <c r="K26" s="130">
        <v>12.06</v>
      </c>
      <c r="L26" s="98">
        <v>11.96</v>
      </c>
      <c r="M26" s="98">
        <v>11.86</v>
      </c>
      <c r="N26" s="98"/>
      <c r="O26" s="122"/>
      <c r="P26" s="122"/>
      <c r="Q26" s="122"/>
      <c r="R26" s="186">
        <f t="shared" si="0"/>
        <v>1.1349999999999998</v>
      </c>
      <c r="S26" s="123">
        <f t="shared" si="1"/>
        <v>5.0000000000000044E-3</v>
      </c>
      <c r="T26" s="186">
        <f t="shared" si="2"/>
        <v>11.93888888888889</v>
      </c>
      <c r="U26" s="123">
        <f t="shared" si="3"/>
        <v>9.5966493638324366E-2</v>
      </c>
      <c r="V26" s="122"/>
      <c r="W26" s="122"/>
      <c r="X26" s="122"/>
      <c r="Y26" s="122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</row>
    <row r="27" spans="1:35" ht="21" customHeight="1">
      <c r="A27" s="119">
        <v>23</v>
      </c>
      <c r="B27" s="119">
        <v>12</v>
      </c>
      <c r="C27" s="119">
        <v>1.1100000000000001</v>
      </c>
      <c r="D27" s="119">
        <v>1.1200000000000001</v>
      </c>
      <c r="E27" s="130">
        <v>11.97</v>
      </c>
      <c r="F27" s="130">
        <v>11.23</v>
      </c>
      <c r="G27" s="130">
        <v>12.01</v>
      </c>
      <c r="H27" s="130">
        <v>11.97</v>
      </c>
      <c r="I27" s="130">
        <v>11.97</v>
      </c>
      <c r="J27" s="130">
        <v>12.01</v>
      </c>
      <c r="K27" s="130">
        <v>11.94</v>
      </c>
      <c r="L27" s="98">
        <v>11.84</v>
      </c>
      <c r="M27" s="130">
        <v>11.8</v>
      </c>
      <c r="N27" s="98"/>
      <c r="O27" s="122"/>
      <c r="P27" s="122"/>
      <c r="Q27" s="122"/>
      <c r="R27" s="186">
        <f t="shared" si="0"/>
        <v>1.1150000000000002</v>
      </c>
      <c r="S27" s="123">
        <f t="shared" si="1"/>
        <v>5.0000000000000044E-3</v>
      </c>
      <c r="T27" s="186">
        <f t="shared" si="2"/>
        <v>11.86</v>
      </c>
      <c r="U27" s="123">
        <f t="shared" si="3"/>
        <v>8.2377855708382616E-2</v>
      </c>
      <c r="V27" s="122"/>
      <c r="W27" s="122"/>
      <c r="X27" s="122"/>
      <c r="Y27" s="122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</row>
    <row r="28" spans="1:35" ht="21" customHeight="1">
      <c r="A28" s="119">
        <v>24</v>
      </c>
      <c r="B28" s="119">
        <v>12</v>
      </c>
      <c r="C28" s="119">
        <v>1.1200000000000001</v>
      </c>
      <c r="D28" s="119">
        <v>1.1200000000000001</v>
      </c>
      <c r="E28" s="130">
        <v>12.14</v>
      </c>
      <c r="F28" s="130">
        <v>11.35</v>
      </c>
      <c r="G28" s="130">
        <v>11.98</v>
      </c>
      <c r="H28" s="130">
        <v>11.91</v>
      </c>
      <c r="I28" s="130">
        <v>11.84</v>
      </c>
      <c r="J28" s="130">
        <v>12.12</v>
      </c>
      <c r="K28" s="130">
        <v>11.99</v>
      </c>
      <c r="L28" s="98">
        <v>11.89</v>
      </c>
      <c r="M28" s="130">
        <v>11.8</v>
      </c>
      <c r="N28" s="98"/>
      <c r="O28" s="130"/>
      <c r="P28" s="130"/>
      <c r="Q28" s="122"/>
      <c r="R28" s="186">
        <f t="shared" si="0"/>
        <v>1.1200000000000001</v>
      </c>
      <c r="S28" s="123">
        <f t="shared" si="1"/>
        <v>0</v>
      </c>
      <c r="T28" s="186">
        <f t="shared" si="2"/>
        <v>11.89111111111111</v>
      </c>
      <c r="U28" s="123">
        <f t="shared" si="3"/>
        <v>7.7825382257055417E-2</v>
      </c>
      <c r="V28" s="122"/>
      <c r="W28" s="122"/>
      <c r="X28" s="122"/>
      <c r="Y28" s="122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</row>
    <row r="29" spans="1:35" ht="21" customHeight="1">
      <c r="A29" s="119">
        <v>25</v>
      </c>
      <c r="B29" s="119">
        <v>12</v>
      </c>
      <c r="C29" s="119">
        <v>1.1000000000000001</v>
      </c>
      <c r="D29" s="119">
        <v>1.0900000000000001</v>
      </c>
      <c r="E29" s="130">
        <v>11.99</v>
      </c>
      <c r="F29" s="130">
        <v>11.35</v>
      </c>
      <c r="G29" s="130">
        <v>11.83</v>
      </c>
      <c r="H29" s="130">
        <v>11.76</v>
      </c>
      <c r="I29" s="130">
        <v>11.75</v>
      </c>
      <c r="J29" s="130">
        <v>12.11</v>
      </c>
      <c r="K29" s="130">
        <v>11.99</v>
      </c>
      <c r="L29" s="98">
        <v>11.86</v>
      </c>
      <c r="M29" s="98">
        <v>11.83</v>
      </c>
      <c r="N29" s="98"/>
      <c r="O29" s="122"/>
      <c r="P29" s="122"/>
      <c r="Q29" s="122"/>
      <c r="R29" s="186">
        <f t="shared" si="0"/>
        <v>1.0950000000000002</v>
      </c>
      <c r="S29" s="123">
        <f t="shared" si="1"/>
        <v>5.0000000000000044E-3</v>
      </c>
      <c r="T29" s="186">
        <f t="shared" si="2"/>
        <v>11.829999999999998</v>
      </c>
      <c r="U29" s="123">
        <f t="shared" si="3"/>
        <v>7.1898848700409981E-2</v>
      </c>
      <c r="V29" s="122"/>
      <c r="W29" s="122"/>
      <c r="X29" s="122"/>
      <c r="Y29" s="122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</row>
    <row r="30" spans="1:35" ht="21" customHeight="1">
      <c r="A30" s="119">
        <v>26</v>
      </c>
      <c r="B30" s="119">
        <v>12</v>
      </c>
      <c r="C30" s="119">
        <v>1.1399999999999999</v>
      </c>
      <c r="D30" s="119">
        <v>1.1200000000000001</v>
      </c>
      <c r="E30" s="130">
        <v>11.92</v>
      </c>
      <c r="F30" s="130">
        <v>11.26</v>
      </c>
      <c r="G30" s="130">
        <v>11.99</v>
      </c>
      <c r="H30" s="130">
        <v>11.96</v>
      </c>
      <c r="I30" s="130">
        <v>11.95</v>
      </c>
      <c r="J30" s="130">
        <v>11.91</v>
      </c>
      <c r="K30" s="130">
        <v>12</v>
      </c>
      <c r="L30" s="98">
        <v>11.83</v>
      </c>
      <c r="M30" s="98">
        <v>11.87</v>
      </c>
      <c r="N30" s="98"/>
      <c r="O30" s="130"/>
      <c r="P30" s="130"/>
      <c r="Q30" s="122"/>
      <c r="R30" s="186">
        <f t="shared" si="0"/>
        <v>1.1299999999999999</v>
      </c>
      <c r="S30" s="123">
        <f t="shared" si="1"/>
        <v>9.9999999999998979E-3</v>
      </c>
      <c r="T30" s="186">
        <f t="shared" si="2"/>
        <v>11.854444444444445</v>
      </c>
      <c r="U30" s="123">
        <f t="shared" si="3"/>
        <v>7.6505466600453403E-2</v>
      </c>
      <c r="V30" s="122"/>
      <c r="W30" s="122"/>
      <c r="X30" s="122"/>
      <c r="Y30" s="122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</row>
    <row r="31" spans="1:35" ht="21" customHeight="1">
      <c r="A31" s="119">
        <v>27</v>
      </c>
      <c r="B31" s="119">
        <v>12</v>
      </c>
      <c r="C31" s="119">
        <v>1.1299999999999999</v>
      </c>
      <c r="D31" s="119">
        <v>1.1200000000000001</v>
      </c>
      <c r="E31" s="130">
        <v>12.22</v>
      </c>
      <c r="F31" s="130">
        <v>11.19</v>
      </c>
      <c r="G31" s="130">
        <v>12.06</v>
      </c>
      <c r="H31" s="130">
        <v>12.05</v>
      </c>
      <c r="I31" s="130">
        <v>11.97</v>
      </c>
      <c r="J31" s="130">
        <v>11.94</v>
      </c>
      <c r="K31" s="130">
        <v>12</v>
      </c>
      <c r="L31" s="98">
        <v>11.86</v>
      </c>
      <c r="M31" s="98">
        <v>11.82</v>
      </c>
      <c r="N31" s="98"/>
      <c r="O31" s="122"/>
      <c r="P31" s="122"/>
      <c r="Q31" s="122"/>
      <c r="R31" s="186">
        <f t="shared" si="0"/>
        <v>1.125</v>
      </c>
      <c r="S31" s="123">
        <f t="shared" si="1"/>
        <v>4.9999999999998934E-3</v>
      </c>
      <c r="T31" s="186">
        <f t="shared" si="2"/>
        <v>11.90111111111111</v>
      </c>
      <c r="U31" s="123">
        <f t="shared" si="3"/>
        <v>9.7117403813409317E-2</v>
      </c>
      <c r="V31" s="122"/>
      <c r="W31" s="122"/>
      <c r="X31" s="122"/>
      <c r="Y31" s="122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</row>
    <row r="32" spans="1:35" ht="21" customHeight="1">
      <c r="A32" s="119">
        <v>28</v>
      </c>
      <c r="B32" s="119">
        <v>12</v>
      </c>
      <c r="C32" s="119">
        <v>1.1100000000000001</v>
      </c>
      <c r="D32" s="119">
        <v>1.1200000000000001</v>
      </c>
      <c r="E32" s="130">
        <v>12.13</v>
      </c>
      <c r="F32" s="130">
        <v>11.18</v>
      </c>
      <c r="G32" s="130">
        <v>12.04</v>
      </c>
      <c r="H32" s="130">
        <v>11.98</v>
      </c>
      <c r="I32" s="130">
        <v>11.91</v>
      </c>
      <c r="J32" s="130">
        <v>11.93</v>
      </c>
      <c r="K32" s="130">
        <v>11.98</v>
      </c>
      <c r="L32" s="98">
        <v>11.85</v>
      </c>
      <c r="M32" s="98">
        <v>11.76</v>
      </c>
      <c r="N32" s="98"/>
      <c r="O32" s="122"/>
      <c r="P32" s="122"/>
      <c r="Q32" s="122"/>
      <c r="R32" s="186">
        <f t="shared" si="0"/>
        <v>1.1150000000000002</v>
      </c>
      <c r="S32" s="123">
        <f t="shared" si="1"/>
        <v>5.0000000000000044E-3</v>
      </c>
      <c r="T32" s="186">
        <f t="shared" si="2"/>
        <v>11.862222222222222</v>
      </c>
      <c r="U32" s="123">
        <f t="shared" si="3"/>
        <v>9.2342625551947402E-2</v>
      </c>
      <c r="V32" s="122"/>
      <c r="W32" s="122"/>
      <c r="X32" s="122"/>
      <c r="Y32" s="122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</row>
    <row r="33" spans="1:35" ht="21" customHeight="1">
      <c r="A33" s="119">
        <v>29</v>
      </c>
      <c r="B33" s="119">
        <v>12</v>
      </c>
      <c r="C33" s="119">
        <v>1.1299999999999999</v>
      </c>
      <c r="D33" s="119">
        <v>1.1200000000000001</v>
      </c>
      <c r="E33" s="130">
        <v>12.05</v>
      </c>
      <c r="F33" s="130">
        <v>11.32</v>
      </c>
      <c r="G33" s="130">
        <v>11.95</v>
      </c>
      <c r="H33" s="130">
        <v>11.87</v>
      </c>
      <c r="I33" s="130">
        <v>11.86</v>
      </c>
      <c r="J33" s="130">
        <v>12.053000000000001</v>
      </c>
      <c r="K33" s="130">
        <v>12</v>
      </c>
      <c r="L33" s="98">
        <v>11.88</v>
      </c>
      <c r="M33" s="98">
        <v>11.74</v>
      </c>
      <c r="N33" s="98"/>
      <c r="O33" s="122"/>
      <c r="P33" s="122"/>
      <c r="Q33" s="122"/>
      <c r="R33" s="186">
        <f t="shared" si="0"/>
        <v>1.125</v>
      </c>
      <c r="S33" s="123">
        <f t="shared" si="1"/>
        <v>4.9999999999998934E-3</v>
      </c>
      <c r="T33" s="186">
        <f t="shared" si="2"/>
        <v>11.858111111111109</v>
      </c>
      <c r="U33" s="123">
        <f t="shared" si="3"/>
        <v>7.5232684320868534E-2</v>
      </c>
      <c r="V33" s="122"/>
      <c r="W33" s="122"/>
      <c r="X33" s="122"/>
      <c r="Y33" s="122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</row>
    <row r="34" spans="1:35" ht="21" customHeight="1">
      <c r="A34" s="119">
        <v>30</v>
      </c>
      <c r="B34" s="119">
        <v>12</v>
      </c>
      <c r="C34" s="119">
        <v>1.1100000000000001</v>
      </c>
      <c r="D34" s="119">
        <v>1.1000000000000001</v>
      </c>
      <c r="E34" s="130">
        <v>11.96</v>
      </c>
      <c r="F34" s="130">
        <v>11.34</v>
      </c>
      <c r="G34" s="130">
        <v>11.89</v>
      </c>
      <c r="H34" s="130">
        <v>11.83</v>
      </c>
      <c r="I34" s="130">
        <v>11.82</v>
      </c>
      <c r="J34" s="130">
        <v>12.02</v>
      </c>
      <c r="K34" s="130">
        <v>12</v>
      </c>
      <c r="L34" s="98">
        <v>11.89</v>
      </c>
      <c r="M34" s="98">
        <v>11.83</v>
      </c>
      <c r="N34" s="98"/>
      <c r="O34" s="130"/>
      <c r="P34" s="130"/>
      <c r="Q34" s="122"/>
      <c r="R34" s="186">
        <f t="shared" si="0"/>
        <v>1.105</v>
      </c>
      <c r="S34" s="123">
        <f t="shared" si="1"/>
        <v>5.0000000000000044E-3</v>
      </c>
      <c r="T34" s="186">
        <f t="shared" si="2"/>
        <v>11.842222222222222</v>
      </c>
      <c r="U34" s="123">
        <f t="shared" si="3"/>
        <v>6.7490282793932196E-2</v>
      </c>
      <c r="V34" s="122"/>
      <c r="W34" s="122"/>
      <c r="X34" s="122"/>
      <c r="Y34" s="122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</row>
    <row r="35" spans="1:35" ht="21" customHeight="1">
      <c r="A35" s="119">
        <v>31</v>
      </c>
      <c r="B35" s="119">
        <v>12</v>
      </c>
      <c r="C35" s="119">
        <v>1.1100000000000001</v>
      </c>
      <c r="D35" s="119">
        <v>1.1000000000000001</v>
      </c>
      <c r="E35" s="130">
        <v>11.94</v>
      </c>
      <c r="F35" s="130">
        <v>11.06</v>
      </c>
      <c r="G35" s="130">
        <v>11.99</v>
      </c>
      <c r="H35" s="130">
        <v>11.97</v>
      </c>
      <c r="I35" s="130">
        <v>11.83</v>
      </c>
      <c r="J35" s="130">
        <v>11.96</v>
      </c>
      <c r="K35" s="130">
        <v>11.93</v>
      </c>
      <c r="L35" s="98">
        <v>11.84</v>
      </c>
      <c r="M35" s="98">
        <v>11.82</v>
      </c>
      <c r="N35" s="98"/>
      <c r="O35" s="122"/>
      <c r="P35" s="122"/>
      <c r="Q35" s="122"/>
      <c r="R35" s="186">
        <f t="shared" si="0"/>
        <v>1.105</v>
      </c>
      <c r="S35" s="123">
        <f t="shared" si="1"/>
        <v>5.0000000000000044E-3</v>
      </c>
      <c r="T35" s="186">
        <f t="shared" si="2"/>
        <v>11.815555555555555</v>
      </c>
      <c r="U35" s="123">
        <f t="shared" si="3"/>
        <v>9.6854861506952036E-2</v>
      </c>
      <c r="V35" s="122"/>
      <c r="W35" s="122"/>
      <c r="X35" s="122"/>
      <c r="Y35" s="122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</row>
    <row r="36" spans="1:35" ht="21" customHeight="1">
      <c r="A36" s="119">
        <v>32</v>
      </c>
      <c r="B36" s="119">
        <v>12</v>
      </c>
      <c r="C36" s="119">
        <v>1.1299999999999999</v>
      </c>
      <c r="D36" s="119">
        <v>1.1100000000000001</v>
      </c>
      <c r="E36" s="130">
        <v>11.91</v>
      </c>
      <c r="F36" s="130">
        <v>11.11</v>
      </c>
      <c r="G36" s="130">
        <v>12.03</v>
      </c>
      <c r="H36" s="130">
        <v>11.93</v>
      </c>
      <c r="I36" s="130">
        <v>11.78</v>
      </c>
      <c r="J36" s="130">
        <v>12.07</v>
      </c>
      <c r="K36" s="130">
        <v>11.97</v>
      </c>
      <c r="L36" s="98">
        <v>11.85</v>
      </c>
      <c r="M36" s="98">
        <v>11.75</v>
      </c>
      <c r="N36" s="98"/>
      <c r="O36" s="130"/>
      <c r="P36" s="130"/>
      <c r="Q36" s="122"/>
      <c r="R36" s="186">
        <f t="shared" si="0"/>
        <v>1.1200000000000001</v>
      </c>
      <c r="S36" s="123">
        <f t="shared" si="1"/>
        <v>9.9999999999998979E-3</v>
      </c>
      <c r="T36" s="186">
        <f t="shared" si="2"/>
        <v>11.822222222222221</v>
      </c>
      <c r="U36" s="123">
        <f t="shared" si="3"/>
        <v>9.579749732548952E-2</v>
      </c>
      <c r="V36" s="122"/>
      <c r="W36" s="122"/>
      <c r="X36" s="122"/>
      <c r="Y36" s="122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</row>
    <row r="37" spans="1:35" ht="21" customHeight="1">
      <c r="A37" s="119">
        <v>33</v>
      </c>
      <c r="B37" s="119">
        <v>12</v>
      </c>
      <c r="C37" s="119">
        <v>1.1200000000000001</v>
      </c>
      <c r="D37" s="119">
        <v>1.1000000000000001</v>
      </c>
      <c r="E37" s="130">
        <v>12.01</v>
      </c>
      <c r="F37" s="130">
        <v>11.32</v>
      </c>
      <c r="G37" s="130">
        <v>12.01</v>
      </c>
      <c r="H37" s="130">
        <v>11.91</v>
      </c>
      <c r="I37" s="130">
        <v>11.89</v>
      </c>
      <c r="J37" s="130">
        <v>12.3</v>
      </c>
      <c r="K37" s="130">
        <v>12.23</v>
      </c>
      <c r="L37" s="98">
        <v>12.13</v>
      </c>
      <c r="M37" s="130">
        <v>12.1</v>
      </c>
      <c r="N37" s="98"/>
      <c r="O37" s="122"/>
      <c r="P37" s="122"/>
      <c r="Q37" s="122"/>
      <c r="R37" s="186">
        <f t="shared" si="0"/>
        <v>1.1100000000000001</v>
      </c>
      <c r="S37" s="123">
        <f t="shared" si="1"/>
        <v>1.0000000000000009E-2</v>
      </c>
      <c r="T37" s="186">
        <f t="shared" si="2"/>
        <v>11.988888888888887</v>
      </c>
      <c r="U37" s="123">
        <f t="shared" si="3"/>
        <v>9.5123376675365454E-2</v>
      </c>
      <c r="V37" s="122"/>
      <c r="W37" s="122"/>
      <c r="X37" s="122"/>
      <c r="Y37" s="122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</row>
    <row r="38" spans="1:35" ht="21" customHeight="1">
      <c r="A38" s="119">
        <v>34</v>
      </c>
      <c r="B38" s="119">
        <v>12</v>
      </c>
      <c r="C38" s="119">
        <v>1.18</v>
      </c>
      <c r="D38" s="119">
        <v>1.1100000000000001</v>
      </c>
      <c r="E38" s="130">
        <v>11.55</v>
      </c>
      <c r="F38" s="130">
        <v>10.84</v>
      </c>
      <c r="G38" s="130">
        <v>11.9</v>
      </c>
      <c r="H38" s="130">
        <v>11.84</v>
      </c>
      <c r="I38" s="130">
        <v>11.86</v>
      </c>
      <c r="J38" s="130">
        <v>12.1</v>
      </c>
      <c r="K38" s="130">
        <v>12.04</v>
      </c>
      <c r="L38" s="98">
        <v>11.97</v>
      </c>
      <c r="M38" s="98">
        <v>11.77</v>
      </c>
      <c r="N38" s="98"/>
      <c r="O38" s="122"/>
      <c r="P38" s="122"/>
      <c r="Q38" s="122"/>
      <c r="R38" s="186">
        <f t="shared" si="0"/>
        <v>1.145</v>
      </c>
      <c r="S38" s="123">
        <f t="shared" si="1"/>
        <v>3.499999999999992E-2</v>
      </c>
      <c r="T38" s="186">
        <f t="shared" si="2"/>
        <v>11.763333333333332</v>
      </c>
      <c r="U38" s="123">
        <f t="shared" si="3"/>
        <v>0.127180973419769</v>
      </c>
      <c r="V38" s="122"/>
      <c r="W38" s="122"/>
      <c r="X38" s="122"/>
      <c r="Y38" s="122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</row>
    <row r="39" spans="1:35" ht="21" customHeight="1">
      <c r="A39" s="119">
        <v>35</v>
      </c>
      <c r="B39" s="119">
        <v>12</v>
      </c>
      <c r="C39" s="119">
        <v>1.1100000000000001</v>
      </c>
      <c r="D39" s="119">
        <v>1.1000000000000001</v>
      </c>
      <c r="E39" s="130">
        <v>11.88</v>
      </c>
      <c r="F39" s="130">
        <v>11.26</v>
      </c>
      <c r="G39" s="130">
        <v>11.76</v>
      </c>
      <c r="H39" s="130">
        <v>11.68</v>
      </c>
      <c r="I39" s="130">
        <v>11.75</v>
      </c>
      <c r="J39" s="130">
        <v>11.9</v>
      </c>
      <c r="K39" s="130">
        <v>11.97</v>
      </c>
      <c r="L39" s="98">
        <v>11.91</v>
      </c>
      <c r="M39" s="98">
        <v>11.81</v>
      </c>
      <c r="N39" s="98"/>
      <c r="O39" s="122"/>
      <c r="P39" s="122"/>
      <c r="Q39" s="122"/>
      <c r="R39" s="186">
        <f t="shared" si="0"/>
        <v>1.105</v>
      </c>
      <c r="S39" s="123">
        <f t="shared" si="1"/>
        <v>5.0000000000000044E-3</v>
      </c>
      <c r="T39" s="186">
        <f t="shared" si="2"/>
        <v>11.768888888888888</v>
      </c>
      <c r="U39" s="123">
        <f t="shared" si="3"/>
        <v>7.0601472372993621E-2</v>
      </c>
      <c r="V39" s="122"/>
      <c r="W39" s="122"/>
      <c r="X39" s="122"/>
      <c r="Y39" s="122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</row>
    <row r="40" spans="1:35" ht="21" customHeight="1">
      <c r="A40" s="119">
        <v>36</v>
      </c>
      <c r="B40" s="119">
        <v>12</v>
      </c>
      <c r="C40" s="119">
        <v>1.1100000000000001</v>
      </c>
      <c r="D40" s="119">
        <v>1.1000000000000001</v>
      </c>
      <c r="E40" s="130">
        <v>11.95</v>
      </c>
      <c r="F40" s="130">
        <v>11.17</v>
      </c>
      <c r="G40" s="130">
        <v>12.09</v>
      </c>
      <c r="H40" s="130">
        <v>11.97</v>
      </c>
      <c r="I40" s="130">
        <v>11.94</v>
      </c>
      <c r="J40" s="130">
        <v>12.03</v>
      </c>
      <c r="K40" s="130">
        <v>12.1</v>
      </c>
      <c r="L40" s="98">
        <v>11.86</v>
      </c>
      <c r="M40" s="98">
        <v>11.87</v>
      </c>
      <c r="N40" s="98"/>
      <c r="O40" s="122"/>
      <c r="P40" s="122"/>
      <c r="Q40" s="122"/>
      <c r="R40" s="186">
        <f t="shared" si="0"/>
        <v>1.105</v>
      </c>
      <c r="S40" s="123">
        <f t="shared" si="1"/>
        <v>5.0000000000000044E-3</v>
      </c>
      <c r="T40" s="186">
        <f t="shared" si="2"/>
        <v>11.886666666666665</v>
      </c>
      <c r="U40" s="123">
        <f t="shared" si="3"/>
        <v>9.3971035726736304E-2</v>
      </c>
      <c r="V40" s="122"/>
      <c r="W40" s="122"/>
      <c r="X40" s="122"/>
      <c r="Y40" s="122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</row>
    <row r="41" spans="1:35" ht="21" customHeight="1">
      <c r="A41" s="119">
        <v>37</v>
      </c>
      <c r="B41" s="119">
        <v>12</v>
      </c>
      <c r="C41" s="119">
        <v>1.1299999999999999</v>
      </c>
      <c r="D41" s="119">
        <v>1.1100000000000001</v>
      </c>
      <c r="E41" s="130">
        <v>12.26</v>
      </c>
      <c r="F41" s="130">
        <v>11.52</v>
      </c>
      <c r="G41" s="130">
        <v>12.14</v>
      </c>
      <c r="H41" s="130">
        <v>12.05</v>
      </c>
      <c r="I41" s="130">
        <v>11.96</v>
      </c>
      <c r="J41" s="130">
        <v>11.88</v>
      </c>
      <c r="K41" s="130">
        <v>12.06</v>
      </c>
      <c r="L41" s="98">
        <v>11.89</v>
      </c>
      <c r="M41" s="98">
        <v>11.83</v>
      </c>
      <c r="N41" s="98"/>
      <c r="O41" s="130"/>
      <c r="P41" s="130"/>
      <c r="Q41" s="122"/>
      <c r="R41" s="186">
        <f t="shared" si="0"/>
        <v>1.1200000000000001</v>
      </c>
      <c r="S41" s="123">
        <f t="shared" si="1"/>
        <v>9.9999999999998979E-3</v>
      </c>
      <c r="T41" s="186">
        <f t="shared" si="2"/>
        <v>11.954444444444444</v>
      </c>
      <c r="U41" s="123">
        <f t="shared" si="3"/>
        <v>7.0909000978388453E-2</v>
      </c>
      <c r="V41" s="122"/>
      <c r="W41" s="122"/>
      <c r="X41" s="122"/>
      <c r="Y41" s="122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</row>
    <row r="42" spans="1:35" ht="21" customHeight="1">
      <c r="A42" s="119">
        <v>38</v>
      </c>
      <c r="B42" s="119">
        <v>12</v>
      </c>
      <c r="C42" s="119">
        <v>1.1299999999999999</v>
      </c>
      <c r="D42" s="119">
        <v>1.1100000000000001</v>
      </c>
      <c r="E42" s="130">
        <v>11.83</v>
      </c>
      <c r="F42" s="130">
        <v>11.18</v>
      </c>
      <c r="G42" s="130">
        <v>12.08</v>
      </c>
      <c r="H42" s="130">
        <v>12</v>
      </c>
      <c r="I42" s="130">
        <v>11.91</v>
      </c>
      <c r="J42" s="130">
        <v>11.66</v>
      </c>
      <c r="K42" s="130">
        <v>12.22</v>
      </c>
      <c r="L42" s="130">
        <v>12.1</v>
      </c>
      <c r="M42" s="130">
        <v>12.05</v>
      </c>
      <c r="N42" s="124"/>
      <c r="O42" s="124"/>
      <c r="P42" s="124"/>
      <c r="Q42" s="124"/>
      <c r="R42" s="186">
        <f t="shared" si="0"/>
        <v>1.1200000000000001</v>
      </c>
      <c r="S42" s="123">
        <f t="shared" si="1"/>
        <v>9.9999999999998979E-3</v>
      </c>
      <c r="T42" s="186">
        <f t="shared" si="2"/>
        <v>11.892222222222221</v>
      </c>
      <c r="U42" s="123">
        <f t="shared" si="3"/>
        <v>0.10459947123535596</v>
      </c>
      <c r="V42" s="122"/>
      <c r="W42" s="122"/>
      <c r="X42" s="122"/>
      <c r="Y42" s="122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</row>
    <row r="43" spans="1:35" ht="21" customHeight="1">
      <c r="A43" s="119">
        <v>39</v>
      </c>
      <c r="B43" s="119">
        <v>12</v>
      </c>
      <c r="C43" s="119">
        <v>1.1000000000000001</v>
      </c>
      <c r="D43" s="119">
        <v>1.0900000000000001</v>
      </c>
      <c r="E43" s="130">
        <v>11.86</v>
      </c>
      <c r="F43" s="130">
        <v>11.29</v>
      </c>
      <c r="G43" s="130">
        <v>11.95</v>
      </c>
      <c r="H43" s="130">
        <v>11.77</v>
      </c>
      <c r="I43" s="130">
        <v>11.84</v>
      </c>
      <c r="J43" s="130">
        <v>11.83</v>
      </c>
      <c r="K43" s="130">
        <v>12.08</v>
      </c>
      <c r="L43" s="130">
        <v>12.05</v>
      </c>
      <c r="M43" s="130">
        <v>11.92</v>
      </c>
      <c r="N43" s="124"/>
      <c r="O43" s="124"/>
      <c r="P43" s="124"/>
      <c r="Q43" s="124"/>
      <c r="R43" s="186">
        <f t="shared" si="0"/>
        <v>1.0950000000000002</v>
      </c>
      <c r="S43" s="123">
        <f t="shared" si="1"/>
        <v>5.0000000000000044E-3</v>
      </c>
      <c r="T43" s="186">
        <f t="shared" si="2"/>
        <v>11.843333333333332</v>
      </c>
      <c r="U43" s="123">
        <f t="shared" si="3"/>
        <v>7.7100223374802615E-2</v>
      </c>
      <c r="V43" s="122"/>
      <c r="W43" s="122"/>
      <c r="X43" s="122"/>
      <c r="Y43" s="122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</row>
    <row r="44" spans="1:35" ht="21" customHeight="1">
      <c r="A44" s="119">
        <v>40</v>
      </c>
      <c r="B44" s="119">
        <v>12</v>
      </c>
      <c r="C44" s="119">
        <v>1.1000000000000001</v>
      </c>
      <c r="D44" s="119">
        <v>1.1000000000000001</v>
      </c>
      <c r="E44" s="130">
        <v>12.14</v>
      </c>
      <c r="F44" s="130">
        <v>11.44</v>
      </c>
      <c r="G44" s="130">
        <v>11.85</v>
      </c>
      <c r="H44" s="130">
        <v>11.76</v>
      </c>
      <c r="I44" s="130">
        <v>11.84</v>
      </c>
      <c r="J44" s="130">
        <v>12.03</v>
      </c>
      <c r="K44" s="130">
        <v>12.03</v>
      </c>
      <c r="L44" s="130">
        <v>11.96</v>
      </c>
      <c r="M44" s="130">
        <v>11.84</v>
      </c>
      <c r="N44" s="124"/>
      <c r="O44" s="124"/>
      <c r="P44" s="124"/>
      <c r="Q44" s="124"/>
      <c r="R44" s="186">
        <f t="shared" si="0"/>
        <v>1.1000000000000001</v>
      </c>
      <c r="S44" s="123">
        <f t="shared" si="1"/>
        <v>0</v>
      </c>
      <c r="T44" s="186">
        <f t="shared" si="2"/>
        <v>11.876666666666669</v>
      </c>
      <c r="U44" s="123">
        <f t="shared" si="3"/>
        <v>6.7802818689360014E-2</v>
      </c>
      <c r="V44" s="122"/>
      <c r="W44" s="122"/>
      <c r="X44" s="122"/>
      <c r="Y44" s="122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</row>
    <row r="45" spans="1:35" ht="21" customHeight="1">
      <c r="A45" s="119">
        <v>41</v>
      </c>
      <c r="B45" s="119">
        <v>12</v>
      </c>
      <c r="C45" s="119">
        <v>1.1100000000000001</v>
      </c>
      <c r="D45" s="119">
        <v>1.1299999999999999</v>
      </c>
      <c r="E45" s="130">
        <v>12.03</v>
      </c>
      <c r="F45" s="130">
        <v>11.59</v>
      </c>
      <c r="G45" s="130">
        <v>11.95</v>
      </c>
      <c r="H45" s="130">
        <v>11.92</v>
      </c>
      <c r="I45" s="130">
        <v>11.87</v>
      </c>
      <c r="J45" s="130">
        <v>11.83</v>
      </c>
      <c r="K45" s="130">
        <v>11.96</v>
      </c>
      <c r="L45" s="130">
        <v>11.81</v>
      </c>
      <c r="M45" s="130">
        <v>11.83</v>
      </c>
      <c r="N45" s="124"/>
      <c r="O45" s="124"/>
      <c r="P45" s="124"/>
      <c r="Q45" s="124"/>
      <c r="R45" s="186">
        <f t="shared" si="0"/>
        <v>1.1200000000000001</v>
      </c>
      <c r="S45" s="123">
        <f t="shared" si="1"/>
        <v>9.9999999999998979E-3</v>
      </c>
      <c r="T45" s="186">
        <f t="shared" si="2"/>
        <v>11.865555555555556</v>
      </c>
      <c r="U45" s="123">
        <f t="shared" si="3"/>
        <v>4.2101435417305287E-2</v>
      </c>
      <c r="V45" s="122"/>
      <c r="W45" s="122"/>
      <c r="X45" s="122"/>
      <c r="Y45" s="122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</row>
    <row r="46" spans="1:35" ht="21" customHeight="1">
      <c r="A46" s="119">
        <v>42</v>
      </c>
      <c r="B46" s="119">
        <v>12</v>
      </c>
      <c r="C46" s="119">
        <v>1.1299999999999999</v>
      </c>
      <c r="D46" s="119">
        <v>1.1200000000000001</v>
      </c>
      <c r="E46" s="130">
        <v>11.94</v>
      </c>
      <c r="F46" s="130">
        <v>11.26</v>
      </c>
      <c r="G46" s="130">
        <v>11.97</v>
      </c>
      <c r="H46" s="130">
        <v>11.92</v>
      </c>
      <c r="I46" s="130">
        <v>11.79</v>
      </c>
      <c r="J46" s="130">
        <v>11.91</v>
      </c>
      <c r="K46" s="130">
        <v>11.93</v>
      </c>
      <c r="L46" s="166">
        <v>11.82</v>
      </c>
      <c r="M46" s="166">
        <v>11.81</v>
      </c>
      <c r="N46" s="126"/>
      <c r="O46" s="126"/>
      <c r="P46" s="126"/>
      <c r="Q46" s="126"/>
      <c r="R46" s="186">
        <f t="shared" si="0"/>
        <v>1.125</v>
      </c>
      <c r="S46" s="123">
        <f t="shared" si="1"/>
        <v>4.9999999999998934E-3</v>
      </c>
      <c r="T46" s="186">
        <f t="shared" si="2"/>
        <v>11.816666666666666</v>
      </c>
      <c r="U46" s="123">
        <f t="shared" si="3"/>
        <v>7.2801098892805213E-2</v>
      </c>
      <c r="V46" s="122"/>
      <c r="W46" s="122"/>
      <c r="X46" s="122"/>
      <c r="Y46" s="122"/>
      <c r="Z46" s="119"/>
      <c r="AA46" s="126"/>
      <c r="AB46" s="119"/>
      <c r="AC46" s="126"/>
      <c r="AD46" s="119"/>
      <c r="AE46" s="126"/>
      <c r="AF46" s="119"/>
      <c r="AG46" s="126"/>
      <c r="AH46" s="119"/>
    </row>
    <row r="47" spans="1:35" ht="21" customHeight="1">
      <c r="A47" s="119">
        <v>43</v>
      </c>
      <c r="B47" s="119">
        <v>12</v>
      </c>
      <c r="C47" s="119">
        <v>1.1100000000000001</v>
      </c>
      <c r="D47" s="119">
        <v>1.0900000000000001</v>
      </c>
      <c r="E47" s="130">
        <v>11.93</v>
      </c>
      <c r="F47" s="130">
        <v>11.29</v>
      </c>
      <c r="G47" s="130">
        <v>12.02</v>
      </c>
      <c r="H47" s="130">
        <v>11.9</v>
      </c>
      <c r="I47" s="130">
        <v>11.72</v>
      </c>
      <c r="J47" s="130">
        <v>12.1</v>
      </c>
      <c r="K47" s="130">
        <v>11.88</v>
      </c>
      <c r="L47" s="166">
        <v>11.81</v>
      </c>
      <c r="M47" s="166">
        <v>11.79</v>
      </c>
      <c r="N47" s="126"/>
      <c r="O47" s="126"/>
      <c r="P47" s="126"/>
      <c r="Q47" s="126"/>
      <c r="R47" s="186">
        <f t="shared" si="0"/>
        <v>1.1000000000000001</v>
      </c>
      <c r="S47" s="123">
        <f t="shared" si="1"/>
        <v>1.0000000000000009E-2</v>
      </c>
      <c r="T47" s="186">
        <f t="shared" si="2"/>
        <v>11.826666666666666</v>
      </c>
      <c r="U47" s="123">
        <f t="shared" si="3"/>
        <v>7.7459666924148393E-2</v>
      </c>
      <c r="V47" s="122"/>
      <c r="W47" s="122"/>
      <c r="X47" s="122"/>
      <c r="Y47" s="122"/>
      <c r="Z47" s="119"/>
      <c r="AA47" s="126"/>
      <c r="AB47" s="119"/>
      <c r="AC47" s="126"/>
      <c r="AD47" s="119"/>
      <c r="AE47" s="126"/>
      <c r="AF47" s="119"/>
      <c r="AG47" s="126"/>
      <c r="AH47" s="119"/>
    </row>
    <row r="48" spans="1:35" ht="21" customHeight="1">
      <c r="A48" s="119">
        <v>44</v>
      </c>
      <c r="B48" s="119">
        <v>12</v>
      </c>
      <c r="C48" s="119">
        <v>1.1200000000000001</v>
      </c>
      <c r="D48" s="119">
        <v>1.1100000000000001</v>
      </c>
      <c r="E48" s="130">
        <v>11.98</v>
      </c>
      <c r="F48" s="130">
        <v>11.4</v>
      </c>
      <c r="G48" s="130">
        <v>11.92</v>
      </c>
      <c r="H48" s="130">
        <v>11.89</v>
      </c>
      <c r="I48" s="130">
        <v>11.8</v>
      </c>
      <c r="J48" s="130">
        <v>11.89</v>
      </c>
      <c r="K48" s="130">
        <v>12.01</v>
      </c>
      <c r="L48" s="166">
        <v>11.93</v>
      </c>
      <c r="M48" s="166">
        <v>11.89</v>
      </c>
      <c r="N48" s="126"/>
      <c r="O48" s="126"/>
      <c r="P48" s="126"/>
      <c r="Q48" s="126"/>
      <c r="R48" s="186">
        <f t="shared" si="0"/>
        <v>1.1150000000000002</v>
      </c>
      <c r="S48" s="123">
        <f t="shared" si="1"/>
        <v>5.0000000000000044E-3</v>
      </c>
      <c r="T48" s="186">
        <f t="shared" si="2"/>
        <v>11.856666666666669</v>
      </c>
      <c r="U48" s="123">
        <f t="shared" si="3"/>
        <v>6.0461190490723481E-2</v>
      </c>
      <c r="V48" s="122"/>
      <c r="W48" s="122"/>
      <c r="X48" s="122"/>
      <c r="Y48" s="122"/>
      <c r="Z48" s="119"/>
      <c r="AA48" s="126"/>
      <c r="AB48" s="119"/>
      <c r="AC48" s="126"/>
      <c r="AD48" s="119"/>
      <c r="AE48" s="126"/>
      <c r="AF48" s="119"/>
      <c r="AG48" s="126"/>
      <c r="AH48" s="119"/>
    </row>
    <row r="49" spans="1:34" ht="21" customHeight="1">
      <c r="A49" s="119">
        <v>45</v>
      </c>
      <c r="B49" s="119">
        <v>12</v>
      </c>
      <c r="C49" s="119">
        <v>1.1200000000000001</v>
      </c>
      <c r="D49" s="119">
        <v>1.1100000000000001</v>
      </c>
      <c r="E49" s="130">
        <v>11.87</v>
      </c>
      <c r="F49" s="130">
        <v>11.44</v>
      </c>
      <c r="G49" s="130">
        <v>11.8</v>
      </c>
      <c r="H49" s="130">
        <v>11.75</v>
      </c>
      <c r="I49" s="130">
        <v>11.76</v>
      </c>
      <c r="J49" s="130">
        <v>12</v>
      </c>
      <c r="K49" s="130">
        <v>12</v>
      </c>
      <c r="L49" s="166">
        <v>11.92</v>
      </c>
      <c r="M49" s="166">
        <v>11.86</v>
      </c>
      <c r="N49" s="126"/>
      <c r="O49" s="126"/>
      <c r="P49" s="126"/>
      <c r="Q49" s="126"/>
      <c r="R49" s="186">
        <f t="shared" si="0"/>
        <v>1.1150000000000002</v>
      </c>
      <c r="S49" s="123">
        <f t="shared" si="1"/>
        <v>5.0000000000000044E-3</v>
      </c>
      <c r="T49" s="186">
        <f t="shared" si="2"/>
        <v>11.822222222222223</v>
      </c>
      <c r="U49" s="123">
        <f t="shared" si="3"/>
        <v>5.6783648315772962E-2</v>
      </c>
      <c r="V49" s="122"/>
      <c r="W49" s="122"/>
      <c r="X49" s="122"/>
      <c r="Y49" s="122"/>
      <c r="Z49" s="119"/>
      <c r="AA49" s="126"/>
      <c r="AB49" s="119"/>
      <c r="AC49" s="126"/>
      <c r="AD49" s="119"/>
      <c r="AE49" s="126"/>
      <c r="AF49" s="119"/>
      <c r="AG49" s="126"/>
      <c r="AH49" s="119"/>
    </row>
    <row r="50" spans="1:34" ht="21" customHeight="1">
      <c r="A50" s="119">
        <v>46</v>
      </c>
      <c r="B50" s="119">
        <v>12</v>
      </c>
      <c r="C50" s="119">
        <v>1.1200000000000001</v>
      </c>
      <c r="D50" s="119">
        <v>1.1100000000000001</v>
      </c>
      <c r="E50" s="130">
        <v>11.96</v>
      </c>
      <c r="F50" s="130">
        <v>11.51</v>
      </c>
      <c r="G50" s="130">
        <v>12</v>
      </c>
      <c r="H50" s="130">
        <v>11.97</v>
      </c>
      <c r="I50" s="130">
        <v>12.07</v>
      </c>
      <c r="J50" s="130">
        <v>11.94</v>
      </c>
      <c r="K50" s="130">
        <v>12.05</v>
      </c>
      <c r="L50" s="166">
        <v>11.85</v>
      </c>
      <c r="M50" s="166">
        <v>11.86</v>
      </c>
      <c r="N50" s="126"/>
      <c r="O50" s="126"/>
      <c r="P50" s="126"/>
      <c r="Q50" s="126"/>
      <c r="R50" s="186">
        <f t="shared" si="0"/>
        <v>1.1150000000000002</v>
      </c>
      <c r="S50" s="123">
        <f t="shared" si="1"/>
        <v>5.0000000000000044E-3</v>
      </c>
      <c r="T50" s="186">
        <f t="shared" si="2"/>
        <v>11.912222222222221</v>
      </c>
      <c r="U50" s="123">
        <f t="shared" si="3"/>
        <v>5.606984180906735E-2</v>
      </c>
      <c r="V50" s="122"/>
      <c r="W50" s="122"/>
      <c r="X50" s="122"/>
      <c r="Y50" s="122"/>
      <c r="Z50" s="119"/>
      <c r="AA50" s="126"/>
      <c r="AB50" s="119"/>
      <c r="AC50" s="126"/>
      <c r="AD50" s="119"/>
      <c r="AE50" s="126"/>
      <c r="AF50" s="119"/>
      <c r="AG50" s="126"/>
      <c r="AH50" s="119"/>
    </row>
    <row r="51" spans="1:34" ht="21" customHeight="1">
      <c r="A51" s="119">
        <v>47</v>
      </c>
      <c r="B51" s="119">
        <v>12</v>
      </c>
      <c r="C51" s="119">
        <v>1.1200000000000001</v>
      </c>
      <c r="D51" s="119">
        <v>1.1100000000000001</v>
      </c>
      <c r="E51" s="130">
        <v>11.95</v>
      </c>
      <c r="F51" s="130">
        <v>11.21</v>
      </c>
      <c r="G51" s="130">
        <v>12.05</v>
      </c>
      <c r="H51" s="130">
        <v>12.01</v>
      </c>
      <c r="I51" s="130">
        <v>12</v>
      </c>
      <c r="J51" s="130">
        <v>11.96</v>
      </c>
      <c r="K51" s="130">
        <v>12.04</v>
      </c>
      <c r="L51" s="166">
        <v>11.94</v>
      </c>
      <c r="M51" s="166">
        <v>11.86</v>
      </c>
      <c r="N51" s="126"/>
      <c r="O51" s="126"/>
      <c r="P51" s="126"/>
      <c r="Q51" s="126"/>
      <c r="R51" s="186">
        <f t="shared" si="0"/>
        <v>1.1150000000000002</v>
      </c>
      <c r="S51" s="123">
        <f t="shared" si="1"/>
        <v>5.0000000000000044E-3</v>
      </c>
      <c r="T51" s="186">
        <f t="shared" si="2"/>
        <v>11.89111111111111</v>
      </c>
      <c r="U51" s="123">
        <f t="shared" si="3"/>
        <v>8.7312409141676053E-2</v>
      </c>
      <c r="V51" s="122"/>
      <c r="W51" s="122"/>
      <c r="X51" s="122"/>
      <c r="Y51" s="122"/>
      <c r="Z51" s="119"/>
      <c r="AA51" s="126"/>
      <c r="AB51" s="119"/>
      <c r="AC51" s="126"/>
      <c r="AD51" s="119"/>
      <c r="AE51" s="126"/>
      <c r="AF51" s="119"/>
      <c r="AG51" s="126"/>
      <c r="AH51" s="119"/>
    </row>
    <row r="52" spans="1:34" ht="21" customHeight="1">
      <c r="A52" s="119">
        <v>48</v>
      </c>
      <c r="B52" s="119">
        <v>12</v>
      </c>
      <c r="C52" s="119">
        <v>1.1200000000000001</v>
      </c>
      <c r="D52" s="119">
        <v>1.1100000000000001</v>
      </c>
      <c r="E52" s="130">
        <v>11.94</v>
      </c>
      <c r="F52" s="130">
        <v>11.3</v>
      </c>
      <c r="G52" s="130">
        <v>12.08</v>
      </c>
      <c r="H52" s="130">
        <v>11.8</v>
      </c>
      <c r="I52" s="130">
        <v>11.79</v>
      </c>
      <c r="J52" s="130">
        <v>12.05</v>
      </c>
      <c r="K52" s="130">
        <v>11.94</v>
      </c>
      <c r="L52" s="166">
        <v>11.82</v>
      </c>
      <c r="M52" s="166">
        <v>11.87</v>
      </c>
      <c r="N52" s="126"/>
      <c r="O52" s="126"/>
      <c r="P52" s="126"/>
      <c r="Q52" s="126"/>
      <c r="R52" s="186">
        <f t="shared" si="0"/>
        <v>1.1150000000000002</v>
      </c>
      <c r="S52" s="123">
        <f t="shared" si="1"/>
        <v>5.0000000000000044E-3</v>
      </c>
      <c r="T52" s="186">
        <f t="shared" si="2"/>
        <v>11.843333333333334</v>
      </c>
      <c r="U52" s="123">
        <f t="shared" si="3"/>
        <v>7.624886155798577E-2</v>
      </c>
      <c r="V52" s="122"/>
      <c r="W52" s="122"/>
      <c r="X52" s="122"/>
      <c r="Y52" s="122"/>
      <c r="Z52" s="119"/>
      <c r="AA52" s="126"/>
      <c r="AB52" s="119"/>
      <c r="AC52" s="126"/>
      <c r="AD52" s="119"/>
      <c r="AE52" s="126"/>
      <c r="AF52" s="119"/>
      <c r="AG52" s="126"/>
      <c r="AH52" s="119"/>
    </row>
    <row r="53" spans="1:34" ht="21" customHeight="1">
      <c r="A53" s="119">
        <v>49</v>
      </c>
      <c r="B53" s="119">
        <v>12</v>
      </c>
      <c r="C53" s="119">
        <v>1.1299999999999999</v>
      </c>
      <c r="D53" s="119">
        <v>1.1100000000000001</v>
      </c>
      <c r="E53" s="130">
        <v>12.23</v>
      </c>
      <c r="F53" s="130">
        <v>11.73</v>
      </c>
      <c r="G53" s="130">
        <v>12.03</v>
      </c>
      <c r="H53" s="130">
        <v>11.98</v>
      </c>
      <c r="I53" s="130">
        <v>11.86</v>
      </c>
      <c r="J53" s="130">
        <v>11.93</v>
      </c>
      <c r="K53" s="130">
        <v>11.97</v>
      </c>
      <c r="L53" s="166">
        <v>11.85</v>
      </c>
      <c r="M53" s="166">
        <v>11.85</v>
      </c>
      <c r="N53" s="126"/>
      <c r="O53" s="126"/>
      <c r="P53" s="126"/>
      <c r="Q53" s="126"/>
      <c r="R53" s="186">
        <f t="shared" si="0"/>
        <v>1.1200000000000001</v>
      </c>
      <c r="S53" s="123">
        <f t="shared" si="1"/>
        <v>9.9999999999998979E-3</v>
      </c>
      <c r="T53" s="186">
        <f t="shared" si="2"/>
        <v>11.936666666666664</v>
      </c>
      <c r="U53" s="123">
        <f t="shared" si="3"/>
        <v>4.7346242371139331E-2</v>
      </c>
      <c r="V53" s="122"/>
      <c r="W53" s="122"/>
      <c r="X53" s="122"/>
      <c r="Y53" s="122"/>
      <c r="Z53" s="119"/>
      <c r="AA53" s="126"/>
      <c r="AB53" s="119"/>
      <c r="AC53" s="126"/>
      <c r="AD53" s="119"/>
      <c r="AE53" s="126"/>
      <c r="AF53" s="119"/>
      <c r="AG53" s="126"/>
      <c r="AH53" s="119"/>
    </row>
    <row r="54" spans="1:34" ht="21" customHeight="1">
      <c r="A54" s="119">
        <v>50</v>
      </c>
      <c r="B54" s="119">
        <v>12</v>
      </c>
      <c r="C54" s="119">
        <v>1.1100000000000001</v>
      </c>
      <c r="D54" s="119">
        <v>1.1100000000000001</v>
      </c>
      <c r="E54" s="130">
        <v>12.2</v>
      </c>
      <c r="F54" s="130">
        <v>11.71</v>
      </c>
      <c r="G54" s="130">
        <v>11.9</v>
      </c>
      <c r="H54" s="130">
        <v>11.83</v>
      </c>
      <c r="I54" s="130">
        <v>11.82</v>
      </c>
      <c r="J54" s="130">
        <v>12</v>
      </c>
      <c r="K54" s="130">
        <v>11.99</v>
      </c>
      <c r="L54" s="166">
        <v>11.89</v>
      </c>
      <c r="M54" s="166">
        <v>11.81</v>
      </c>
      <c r="N54" s="126"/>
      <c r="O54" s="126"/>
      <c r="P54" s="126"/>
      <c r="Q54" s="126"/>
      <c r="R54" s="186">
        <f t="shared" si="0"/>
        <v>1.1100000000000001</v>
      </c>
      <c r="S54" s="123">
        <f t="shared" si="1"/>
        <v>0</v>
      </c>
      <c r="T54" s="186">
        <f t="shared" si="2"/>
        <v>11.905555555555557</v>
      </c>
      <c r="U54" s="123">
        <f t="shared" si="3"/>
        <v>4.7641925721151751E-2</v>
      </c>
      <c r="V54" s="122"/>
      <c r="W54" s="122"/>
      <c r="X54" s="122"/>
      <c r="Y54" s="122"/>
      <c r="Z54" s="119"/>
      <c r="AA54" s="126"/>
      <c r="AB54" s="119"/>
      <c r="AC54" s="126"/>
      <c r="AD54" s="119"/>
      <c r="AE54" s="126"/>
      <c r="AF54" s="119"/>
      <c r="AG54" s="126"/>
      <c r="AH54" s="119"/>
    </row>
    <row r="55" spans="1:34" ht="21" customHeight="1">
      <c r="A55" s="119">
        <v>52</v>
      </c>
      <c r="B55" s="119">
        <v>12</v>
      </c>
      <c r="C55" s="119">
        <v>1.1299999999999999</v>
      </c>
      <c r="D55" s="119">
        <v>1.1100000000000001</v>
      </c>
      <c r="E55" s="130">
        <v>11.73</v>
      </c>
      <c r="F55" s="130">
        <v>11.06</v>
      </c>
      <c r="G55" s="130">
        <v>11.99</v>
      </c>
      <c r="H55" s="130">
        <v>11.97</v>
      </c>
      <c r="I55" s="130">
        <v>11.91</v>
      </c>
      <c r="J55" s="130">
        <v>11.91</v>
      </c>
      <c r="K55" s="130">
        <v>11.98</v>
      </c>
      <c r="L55" s="166">
        <v>11.8</v>
      </c>
      <c r="M55" s="166">
        <v>11.78</v>
      </c>
      <c r="N55" s="126"/>
      <c r="O55" s="126"/>
      <c r="P55" s="126"/>
      <c r="Q55" s="126"/>
      <c r="R55" s="186">
        <f t="shared" si="0"/>
        <v>1.1200000000000001</v>
      </c>
      <c r="S55" s="123">
        <f t="shared" si="1"/>
        <v>9.9999999999998979E-3</v>
      </c>
      <c r="T55" s="186">
        <f t="shared" si="2"/>
        <v>11.792222222222222</v>
      </c>
      <c r="U55" s="123">
        <f t="shared" si="3"/>
        <v>9.6749645100953685E-2</v>
      </c>
      <c r="V55" s="122"/>
      <c r="W55" s="122"/>
      <c r="X55" s="122"/>
      <c r="Y55" s="122"/>
      <c r="Z55" s="119"/>
      <c r="AA55" s="126"/>
      <c r="AB55" s="119"/>
      <c r="AC55" s="126"/>
      <c r="AD55" s="119"/>
      <c r="AE55" s="126"/>
      <c r="AF55" s="119"/>
      <c r="AG55" s="126"/>
      <c r="AH55" s="119"/>
    </row>
    <row r="56" spans="1:34" ht="21" customHeight="1">
      <c r="A56" s="119">
        <v>53</v>
      </c>
      <c r="B56" s="119">
        <v>12</v>
      </c>
      <c r="C56" s="119">
        <v>1.1399999999999999</v>
      </c>
      <c r="D56" s="119">
        <v>1.1299999999999999</v>
      </c>
      <c r="E56" s="130">
        <v>12.03</v>
      </c>
      <c r="F56" s="130">
        <v>11.48</v>
      </c>
      <c r="G56" s="130">
        <v>11.94</v>
      </c>
      <c r="H56" s="130">
        <v>11.93</v>
      </c>
      <c r="I56" s="130">
        <v>11.88</v>
      </c>
      <c r="J56" s="130">
        <v>12</v>
      </c>
      <c r="K56" s="130">
        <v>11.97</v>
      </c>
      <c r="L56" s="166">
        <v>11.82</v>
      </c>
      <c r="M56" s="166">
        <v>11.8</v>
      </c>
      <c r="N56" s="126"/>
      <c r="O56" s="126"/>
      <c r="P56" s="126"/>
      <c r="Q56" s="126"/>
      <c r="R56" s="186">
        <f t="shared" si="0"/>
        <v>1.1349999999999998</v>
      </c>
      <c r="S56" s="123">
        <f t="shared" si="1"/>
        <v>5.0000000000000044E-3</v>
      </c>
      <c r="T56" s="186">
        <f t="shared" si="2"/>
        <v>11.87222222222222</v>
      </c>
      <c r="U56" s="123">
        <f t="shared" si="3"/>
        <v>5.5346830125475678E-2</v>
      </c>
      <c r="V56" s="122"/>
      <c r="W56" s="122"/>
      <c r="X56" s="122"/>
      <c r="Y56" s="122"/>
      <c r="Z56" s="119"/>
      <c r="AA56" s="126"/>
      <c r="AB56" s="119"/>
      <c r="AC56" s="126"/>
      <c r="AD56" s="119"/>
      <c r="AE56" s="126"/>
      <c r="AF56" s="119"/>
      <c r="AG56" s="126"/>
      <c r="AH56" s="119"/>
    </row>
    <row r="57" spans="1:34" ht="21" customHeight="1">
      <c r="A57" s="119">
        <v>54</v>
      </c>
      <c r="B57" s="119">
        <v>12</v>
      </c>
      <c r="C57" s="119">
        <v>1.1299999999999999</v>
      </c>
      <c r="D57" s="119">
        <v>1.1200000000000001</v>
      </c>
      <c r="E57" s="130">
        <v>12.32</v>
      </c>
      <c r="F57" s="130">
        <v>11.71</v>
      </c>
      <c r="G57" s="130">
        <v>11.84</v>
      </c>
      <c r="H57" s="130">
        <v>11.84</v>
      </c>
      <c r="I57" s="130">
        <v>11.84</v>
      </c>
      <c r="J57" s="130">
        <v>12.08</v>
      </c>
      <c r="K57" s="130">
        <v>12.09</v>
      </c>
      <c r="L57" s="166">
        <v>12</v>
      </c>
      <c r="M57" s="166">
        <v>11.95</v>
      </c>
      <c r="N57" s="126"/>
      <c r="O57" s="126"/>
      <c r="P57" s="126"/>
      <c r="Q57" s="126"/>
      <c r="R57" s="186">
        <f t="shared" si="0"/>
        <v>1.125</v>
      </c>
      <c r="S57" s="123">
        <f t="shared" si="1"/>
        <v>4.9999999999998934E-3</v>
      </c>
      <c r="T57" s="186">
        <f t="shared" si="2"/>
        <v>11.963333333333335</v>
      </c>
      <c r="U57" s="123">
        <f t="shared" si="3"/>
        <v>6.1032778078668505E-2</v>
      </c>
      <c r="V57" s="122"/>
      <c r="W57" s="122"/>
      <c r="X57" s="122"/>
      <c r="Y57" s="122"/>
      <c r="Z57" s="119"/>
      <c r="AA57" s="126"/>
      <c r="AB57" s="119"/>
      <c r="AC57" s="126"/>
      <c r="AD57" s="119"/>
      <c r="AE57" s="126"/>
      <c r="AF57" s="119"/>
      <c r="AG57" s="126"/>
      <c r="AH57" s="119"/>
    </row>
    <row r="58" spans="1:34" ht="21" customHeight="1">
      <c r="A58" s="119">
        <v>55</v>
      </c>
      <c r="B58" s="119">
        <v>12</v>
      </c>
      <c r="C58" s="119">
        <v>1.1200000000000001</v>
      </c>
      <c r="D58" s="119">
        <v>1.1100000000000001</v>
      </c>
      <c r="E58" s="130">
        <v>11.88</v>
      </c>
      <c r="F58" s="130">
        <v>11.45</v>
      </c>
      <c r="G58" s="130">
        <v>11.78</v>
      </c>
      <c r="H58" s="130">
        <v>11.75</v>
      </c>
      <c r="I58" s="130">
        <v>11.71</v>
      </c>
      <c r="J58" s="130">
        <v>11.75</v>
      </c>
      <c r="K58" s="130">
        <v>12.08</v>
      </c>
      <c r="L58" s="166">
        <v>11.98</v>
      </c>
      <c r="M58" s="166">
        <v>11.96</v>
      </c>
      <c r="N58" s="126"/>
      <c r="O58" s="126"/>
      <c r="P58" s="126"/>
      <c r="Q58" s="126"/>
      <c r="R58" s="186">
        <f t="shared" si="0"/>
        <v>1.1150000000000002</v>
      </c>
      <c r="S58" s="123">
        <f t="shared" si="1"/>
        <v>5.0000000000000044E-3</v>
      </c>
      <c r="T58" s="186">
        <f t="shared" si="2"/>
        <v>11.815555555555555</v>
      </c>
      <c r="U58" s="123">
        <f t="shared" si="3"/>
        <v>6.1983669693250559E-2</v>
      </c>
      <c r="V58" s="122"/>
      <c r="W58" s="122"/>
      <c r="X58" s="122"/>
      <c r="Y58" s="122"/>
      <c r="Z58" s="119"/>
      <c r="AA58" s="126"/>
      <c r="AB58" s="119"/>
      <c r="AC58" s="126"/>
      <c r="AD58" s="119"/>
      <c r="AE58" s="126"/>
      <c r="AF58" s="119"/>
      <c r="AG58" s="126"/>
      <c r="AH58" s="119"/>
    </row>
    <row r="59" spans="1:34" ht="21" customHeight="1">
      <c r="A59" s="119">
        <v>56</v>
      </c>
      <c r="B59" s="119">
        <v>1.1000000000000001</v>
      </c>
      <c r="C59" s="119">
        <v>1.1100000000000001</v>
      </c>
      <c r="D59" s="119">
        <v>1.06</v>
      </c>
      <c r="E59" s="130">
        <v>1.17</v>
      </c>
      <c r="F59" s="130">
        <v>0.93300000000000005</v>
      </c>
      <c r="G59" s="130">
        <v>0.9</v>
      </c>
      <c r="H59" s="130">
        <v>0.52</v>
      </c>
      <c r="I59" s="130">
        <v>0.45</v>
      </c>
      <c r="J59" s="130">
        <v>0.57999999999999996</v>
      </c>
      <c r="K59" s="130">
        <v>0.37</v>
      </c>
      <c r="L59" s="166">
        <v>0.96</v>
      </c>
      <c r="M59" s="166">
        <v>0.88</v>
      </c>
      <c r="N59" s="126"/>
      <c r="O59" s="126"/>
      <c r="P59" s="126"/>
      <c r="Q59" s="126"/>
      <c r="R59" s="186">
        <f t="shared" si="0"/>
        <v>1.085</v>
      </c>
      <c r="S59" s="123">
        <f t="shared" si="1"/>
        <v>2.5000000000000022E-2</v>
      </c>
      <c r="T59" s="186">
        <f t="shared" si="2"/>
        <v>0.75144444444444447</v>
      </c>
      <c r="U59" s="123">
        <f t="shared" si="3"/>
        <v>9.2012244220102277E-2</v>
      </c>
      <c r="V59" s="122"/>
      <c r="W59" s="122"/>
      <c r="X59" s="122"/>
      <c r="Y59" s="122"/>
      <c r="Z59" s="119"/>
      <c r="AA59" s="126"/>
      <c r="AB59" s="119"/>
      <c r="AC59" s="126"/>
      <c r="AD59" s="119"/>
      <c r="AE59" s="126"/>
      <c r="AF59" s="119"/>
      <c r="AG59" s="126"/>
      <c r="AH59" s="119"/>
    </row>
    <row r="60" spans="1:34" ht="21" customHeight="1">
      <c r="A60" s="119">
        <v>57</v>
      </c>
      <c r="B60" s="119">
        <v>1.1000000000000001</v>
      </c>
      <c r="C60" s="119">
        <v>1.1499999999999999</v>
      </c>
      <c r="D60" s="119">
        <v>1.1000000000000001</v>
      </c>
      <c r="E60" s="130">
        <v>1.21</v>
      </c>
      <c r="F60" s="130">
        <v>0.98</v>
      </c>
      <c r="G60" s="130">
        <v>0.97</v>
      </c>
      <c r="H60" s="130">
        <v>0.62</v>
      </c>
      <c r="I60" s="130">
        <v>0.46</v>
      </c>
      <c r="J60" s="130">
        <v>0.74</v>
      </c>
      <c r="K60" s="130">
        <v>0.54</v>
      </c>
      <c r="L60" s="166">
        <v>1.08</v>
      </c>
      <c r="M60" s="166">
        <v>0.97</v>
      </c>
      <c r="N60" s="126"/>
      <c r="O60" s="126"/>
      <c r="P60" s="126"/>
      <c r="Q60" s="126"/>
      <c r="R60" s="186">
        <f t="shared" si="0"/>
        <v>1.125</v>
      </c>
      <c r="S60" s="123">
        <f t="shared" si="1"/>
        <v>2.4999999999999911E-2</v>
      </c>
      <c r="T60" s="186">
        <f t="shared" si="2"/>
        <v>0.84111111111111114</v>
      </c>
      <c r="U60" s="123">
        <f t="shared" si="3"/>
        <v>8.6657763075413896E-2</v>
      </c>
      <c r="V60" s="122"/>
      <c r="W60" s="122"/>
      <c r="X60" s="122"/>
      <c r="Y60" s="122"/>
      <c r="Z60" s="119"/>
      <c r="AA60" s="126"/>
      <c r="AB60" s="119"/>
      <c r="AC60" s="126"/>
      <c r="AD60" s="119"/>
      <c r="AE60" s="126"/>
      <c r="AF60" s="119"/>
      <c r="AG60" s="126"/>
      <c r="AH60" s="119"/>
    </row>
    <row r="61" spans="1:34" ht="21" customHeight="1">
      <c r="A61" s="119">
        <v>58</v>
      </c>
      <c r="B61" s="119">
        <v>1.1000000000000001</v>
      </c>
      <c r="C61" s="119">
        <v>1.0900000000000001</v>
      </c>
      <c r="D61" s="119">
        <v>1.06</v>
      </c>
      <c r="E61" s="130">
        <v>1.1599999999999999</v>
      </c>
      <c r="F61" s="130">
        <v>0.9</v>
      </c>
      <c r="G61" s="130">
        <v>0.88</v>
      </c>
      <c r="H61" s="130">
        <v>0.53</v>
      </c>
      <c r="I61" s="130">
        <v>0.38</v>
      </c>
      <c r="J61" s="130">
        <v>0.65</v>
      </c>
      <c r="K61" s="130">
        <v>0.44</v>
      </c>
      <c r="L61" s="166">
        <v>1</v>
      </c>
      <c r="M61" s="166">
        <v>0.89</v>
      </c>
      <c r="N61" s="126"/>
      <c r="O61" s="126"/>
      <c r="P61" s="126"/>
      <c r="Q61" s="126"/>
      <c r="R61" s="186">
        <f t="shared" si="0"/>
        <v>1.0750000000000002</v>
      </c>
      <c r="S61" s="123">
        <f t="shared" si="1"/>
        <v>1.5000000000000012E-2</v>
      </c>
      <c r="T61" s="186">
        <f t="shared" si="2"/>
        <v>0.75888888888888895</v>
      </c>
      <c r="U61" s="123">
        <f t="shared" si="3"/>
        <v>8.9775096219578396E-2</v>
      </c>
      <c r="V61" s="122"/>
      <c r="W61" s="122"/>
      <c r="X61" s="122"/>
      <c r="Y61" s="122"/>
      <c r="Z61" s="119"/>
      <c r="AA61" s="126"/>
      <c r="AB61" s="119"/>
      <c r="AC61" s="126"/>
      <c r="AD61" s="119"/>
      <c r="AE61" s="126"/>
      <c r="AF61" s="119"/>
      <c r="AG61" s="126"/>
      <c r="AH61" s="119"/>
    </row>
    <row r="62" spans="1:34" ht="21" customHeight="1">
      <c r="A62" s="119">
        <v>59</v>
      </c>
      <c r="B62" s="119">
        <v>1.1000000000000001</v>
      </c>
      <c r="C62" s="119">
        <v>1.1200000000000001</v>
      </c>
      <c r="D62" s="119">
        <v>1.07</v>
      </c>
      <c r="E62" s="130">
        <v>1.1599999999999999</v>
      </c>
      <c r="F62" s="130">
        <v>0.93</v>
      </c>
      <c r="G62" s="130">
        <v>0.92</v>
      </c>
      <c r="H62" s="130">
        <v>0.55000000000000004</v>
      </c>
      <c r="I62" s="130">
        <v>0.38</v>
      </c>
      <c r="J62" s="130">
        <v>0.66</v>
      </c>
      <c r="K62" s="130">
        <v>0.47</v>
      </c>
      <c r="L62" s="166">
        <v>0.99</v>
      </c>
      <c r="M62" s="166">
        <v>0.88</v>
      </c>
      <c r="N62" s="126"/>
      <c r="O62" s="126"/>
      <c r="P62" s="126"/>
      <c r="Q62" s="126"/>
      <c r="R62" s="186">
        <f t="shared" si="0"/>
        <v>1.0950000000000002</v>
      </c>
      <c r="S62" s="123">
        <f t="shared" si="1"/>
        <v>2.5000000000000022E-2</v>
      </c>
      <c r="T62" s="186">
        <f t="shared" si="2"/>
        <v>0.77111111111111108</v>
      </c>
      <c r="U62" s="123">
        <f t="shared" si="3"/>
        <v>8.8450306896717248E-2</v>
      </c>
      <c r="V62" s="122"/>
      <c r="W62" s="122"/>
      <c r="X62" s="122"/>
      <c r="Y62" s="122"/>
      <c r="Z62" s="119"/>
      <c r="AA62" s="126"/>
      <c r="AB62" s="119"/>
      <c r="AC62" s="126"/>
      <c r="AD62" s="119"/>
      <c r="AE62" s="126"/>
      <c r="AF62" s="119"/>
      <c r="AG62" s="126"/>
      <c r="AH62" s="119"/>
    </row>
    <row r="63" spans="1:34" ht="21" customHeight="1">
      <c r="A63" s="119">
        <v>60</v>
      </c>
      <c r="B63" s="119">
        <v>1.1000000000000001</v>
      </c>
      <c r="C63" s="119">
        <v>1.0900000000000001</v>
      </c>
      <c r="D63" s="119">
        <v>1.06</v>
      </c>
      <c r="E63" s="130">
        <v>1.18</v>
      </c>
      <c r="F63" s="130">
        <v>0.93</v>
      </c>
      <c r="G63" s="130">
        <v>0.9</v>
      </c>
      <c r="H63" s="130">
        <v>0.54</v>
      </c>
      <c r="I63" s="130">
        <v>0.37</v>
      </c>
      <c r="J63" s="130">
        <v>0.66</v>
      </c>
      <c r="K63" s="130">
        <v>0.46</v>
      </c>
      <c r="L63" s="166">
        <v>0.99</v>
      </c>
      <c r="M63" s="166">
        <v>0.86</v>
      </c>
      <c r="N63" s="126"/>
      <c r="O63" s="126"/>
      <c r="P63" s="126"/>
      <c r="Q63" s="126"/>
      <c r="R63" s="186">
        <f t="shared" si="0"/>
        <v>1.0750000000000002</v>
      </c>
      <c r="S63" s="123">
        <f t="shared" si="1"/>
        <v>1.5000000000000012E-2</v>
      </c>
      <c r="T63" s="186">
        <f t="shared" si="2"/>
        <v>0.76555555555555566</v>
      </c>
      <c r="U63" s="123">
        <f t="shared" si="3"/>
        <v>9.0371319059986979E-2</v>
      </c>
      <c r="V63" s="122"/>
      <c r="W63" s="122"/>
      <c r="X63" s="122"/>
      <c r="Y63" s="122"/>
      <c r="Z63" s="119"/>
      <c r="AA63" s="126"/>
      <c r="AB63" s="119"/>
      <c r="AC63" s="126"/>
      <c r="AD63" s="119"/>
      <c r="AE63" s="126"/>
      <c r="AF63" s="119"/>
      <c r="AG63" s="126"/>
      <c r="AH63" s="119"/>
    </row>
    <row r="64" spans="1:34" ht="21" customHeight="1">
      <c r="A64" s="119">
        <v>61</v>
      </c>
      <c r="B64" s="119">
        <v>1.1000000000000001</v>
      </c>
      <c r="C64" s="119">
        <v>1.1000000000000001</v>
      </c>
      <c r="D64" s="119">
        <v>1.05</v>
      </c>
      <c r="E64" s="130">
        <v>1.18</v>
      </c>
      <c r="F64" s="130">
        <v>0.92</v>
      </c>
      <c r="G64" s="130">
        <v>0.89</v>
      </c>
      <c r="H64" s="130">
        <v>0.53</v>
      </c>
      <c r="I64" s="130">
        <v>0.36</v>
      </c>
      <c r="J64" s="130">
        <v>0.69</v>
      </c>
      <c r="K64" s="130">
        <v>0.48</v>
      </c>
      <c r="L64" s="130">
        <v>0.99</v>
      </c>
      <c r="M64" s="166">
        <v>0.85</v>
      </c>
      <c r="N64" s="119"/>
      <c r="O64" s="98"/>
      <c r="P64" s="119"/>
      <c r="R64" s="186">
        <f t="shared" si="0"/>
        <v>1.0750000000000002</v>
      </c>
      <c r="S64" s="123">
        <f t="shared" si="1"/>
        <v>2.5000000000000022E-2</v>
      </c>
      <c r="T64" s="186">
        <f t="shared" si="2"/>
        <v>0.76555555555555566</v>
      </c>
      <c r="U64" s="123">
        <f t="shared" si="3"/>
        <v>8.9428915146039442E-2</v>
      </c>
      <c r="V64" s="122"/>
      <c r="W64" s="122"/>
      <c r="X64" s="122"/>
      <c r="Y64" s="122"/>
      <c r="AE64" s="126"/>
      <c r="AF64" s="119"/>
      <c r="AG64" s="127"/>
      <c r="AH64" s="128"/>
    </row>
    <row r="65" spans="1:34" ht="21" customHeight="1">
      <c r="A65" s="119"/>
      <c r="B65" s="127"/>
      <c r="C65" s="127"/>
      <c r="D65" s="128"/>
      <c r="E65" s="127"/>
      <c r="G65"/>
      <c r="H65" s="124"/>
      <c r="I65"/>
      <c r="J65"/>
      <c r="N65" s="128"/>
      <c r="W65" s="127"/>
      <c r="X65" s="128"/>
      <c r="Y65" s="126"/>
      <c r="AE65" s="126"/>
      <c r="AF65" s="119"/>
      <c r="AG65" s="127"/>
      <c r="AH65" s="128"/>
    </row>
    <row r="66" spans="1:34" ht="21" customHeight="1">
      <c r="A66" s="119"/>
      <c r="B66" s="119"/>
      <c r="C66" s="119"/>
      <c r="D66" s="119"/>
      <c r="E66" s="126"/>
      <c r="F66" s="124"/>
      <c r="G66" s="124"/>
      <c r="H66" s="124"/>
      <c r="I66" s="124"/>
      <c r="J66" s="126"/>
      <c r="K66" s="126"/>
      <c r="L66" s="126"/>
      <c r="M66" s="126"/>
      <c r="N66" s="126"/>
      <c r="O66" s="126"/>
      <c r="P66" s="117"/>
      <c r="Q66" s="117"/>
      <c r="R66" s="117"/>
      <c r="S66" s="117"/>
      <c r="T66" s="117"/>
      <c r="U66" s="117"/>
      <c r="V66" s="126"/>
      <c r="W66" s="126"/>
      <c r="AA66" s="126"/>
      <c r="AB66" s="126"/>
      <c r="AC66" s="119"/>
      <c r="AF66" s="126"/>
      <c r="AG66" s="119"/>
      <c r="AH66" s="126"/>
    </row>
    <row r="67" spans="1:34" ht="21" customHeight="1">
      <c r="A67" s="116"/>
      <c r="B67" s="116"/>
      <c r="C67" s="116"/>
      <c r="D67" s="116"/>
      <c r="E67" s="118"/>
      <c r="J67" s="129"/>
      <c r="K67" s="129"/>
      <c r="L67" s="129"/>
      <c r="M67" s="129"/>
      <c r="N67" s="129"/>
      <c r="O67" s="129"/>
      <c r="Q67" s="157"/>
      <c r="S67" s="157"/>
      <c r="U67" s="157"/>
    </row>
    <row r="68" spans="1:34" ht="21" customHeight="1">
      <c r="A68" s="240" t="s">
        <v>100</v>
      </c>
      <c r="B68" s="240" t="s">
        <v>825</v>
      </c>
      <c r="C68" s="243" t="s">
        <v>822</v>
      </c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120"/>
      <c r="R68" s="157" t="s">
        <v>1049</v>
      </c>
      <c r="S68" s="158"/>
      <c r="T68" s="157" t="s">
        <v>1048</v>
      </c>
      <c r="U68" s="158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</row>
    <row r="69" spans="1:34" s="98" customFormat="1" ht="21" customHeight="1">
      <c r="A69" s="241"/>
      <c r="B69" s="242"/>
      <c r="C69" s="132">
        <v>45358</v>
      </c>
      <c r="D69" s="133">
        <v>45365</v>
      </c>
      <c r="E69" s="133">
        <v>45379</v>
      </c>
      <c r="F69" s="133">
        <v>45386</v>
      </c>
      <c r="G69" s="133">
        <v>45393</v>
      </c>
      <c r="H69" s="133">
        <v>45407</v>
      </c>
      <c r="I69" s="133">
        <v>45414</v>
      </c>
      <c r="J69" s="133">
        <v>45421</v>
      </c>
      <c r="K69" s="133">
        <v>45428</v>
      </c>
      <c r="L69" s="133"/>
      <c r="M69" s="133"/>
      <c r="N69" s="133"/>
      <c r="O69" s="133"/>
      <c r="P69" s="133"/>
      <c r="Q69" s="122"/>
      <c r="R69" s="121" t="s">
        <v>826</v>
      </c>
      <c r="S69" s="121" t="s">
        <v>827</v>
      </c>
      <c r="T69" s="121" t="s">
        <v>826</v>
      </c>
      <c r="U69" s="121" t="s">
        <v>827</v>
      </c>
      <c r="V69" s="122"/>
      <c r="W69" s="130"/>
      <c r="X69" s="130"/>
      <c r="Y69" s="130"/>
      <c r="Z69" s="130"/>
      <c r="AA69" s="130"/>
      <c r="AB69" s="130"/>
      <c r="AC69" s="130"/>
      <c r="AD69" s="130"/>
      <c r="AE69" s="130"/>
      <c r="AF69"/>
    </row>
    <row r="70" spans="1:34" s="98" customFormat="1" ht="21" customHeight="1">
      <c r="A70" s="115">
        <v>1</v>
      </c>
      <c r="B70" s="116">
        <v>12</v>
      </c>
      <c r="C70" s="119">
        <v>7.48</v>
      </c>
      <c r="D70" s="119">
        <v>7.31</v>
      </c>
      <c r="E70" s="130">
        <v>6.56</v>
      </c>
      <c r="F70" s="130">
        <v>5.99</v>
      </c>
      <c r="G70" s="130">
        <v>6.14</v>
      </c>
      <c r="H70" s="130">
        <v>5.44</v>
      </c>
      <c r="I70" s="130">
        <v>5.76</v>
      </c>
      <c r="J70" s="130">
        <v>5.36</v>
      </c>
      <c r="K70" s="130">
        <v>5.28</v>
      </c>
      <c r="L70" s="130"/>
      <c r="M70" s="130"/>
      <c r="N70" s="130"/>
      <c r="O70" s="130"/>
      <c r="P70" s="130"/>
      <c r="Q70" s="122"/>
      <c r="R70" s="186">
        <f>AVERAGE(C70:D70)</f>
        <v>7.3949999999999996</v>
      </c>
      <c r="S70" s="123">
        <f>STDEV(C70:D70)/SQRT(COUNT(C70:D70))</f>
        <v>8.5000000000000409E-2</v>
      </c>
      <c r="T70" s="186">
        <f>AVERAGE(E70:P70)</f>
        <v>5.79</v>
      </c>
      <c r="U70" s="123">
        <f>STDEV(E70:P70)/SQRT(COUNT(E70:P70))</f>
        <v>0.17753604597108605</v>
      </c>
      <c r="V70" s="122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spans="1:34" ht="21" customHeight="1">
      <c r="A71" s="119">
        <v>2</v>
      </c>
      <c r="B71" s="119">
        <v>12</v>
      </c>
      <c r="C71" s="119">
        <v>7.22</v>
      </c>
      <c r="D71" s="119">
        <v>7.28</v>
      </c>
      <c r="E71" s="130">
        <v>6.28</v>
      </c>
      <c r="F71" s="130">
        <v>6.02</v>
      </c>
      <c r="G71" s="130">
        <v>6.69</v>
      </c>
      <c r="H71" s="130">
        <v>5.65</v>
      </c>
      <c r="I71" s="130">
        <v>5.6</v>
      </c>
      <c r="J71" s="130">
        <v>5.26</v>
      </c>
      <c r="K71" s="130">
        <v>5.31</v>
      </c>
      <c r="L71" s="130"/>
      <c r="M71" s="130"/>
      <c r="N71" s="130"/>
      <c r="O71" s="130"/>
      <c r="P71" s="122"/>
      <c r="Q71" s="122"/>
      <c r="R71" s="186">
        <f t="shared" ref="R71:R129" si="4">AVERAGE(C71:D71)</f>
        <v>7.25</v>
      </c>
      <c r="S71" s="123">
        <f t="shared" ref="S71:S129" si="5">STDEV(C71:D71)/SQRT(COUNT(C71:D71))</f>
        <v>3.0000000000000245E-2</v>
      </c>
      <c r="T71" s="186">
        <f t="shared" ref="T71:T129" si="6">AVERAGE(E71:P71)</f>
        <v>5.83</v>
      </c>
      <c r="U71" s="123">
        <f t="shared" ref="U71:U129" si="7">STDEV(E71:P71)/SQRT(COUNT(E71:P71))</f>
        <v>0.19873408891088146</v>
      </c>
      <c r="V71" s="122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spans="1:34" ht="21" customHeight="1">
      <c r="A72" s="119">
        <v>3</v>
      </c>
      <c r="B72" s="119">
        <v>12</v>
      </c>
      <c r="C72" s="119">
        <v>7.3</v>
      </c>
      <c r="D72" s="119">
        <v>7.28</v>
      </c>
      <c r="E72" s="130">
        <v>5.7</v>
      </c>
      <c r="F72" s="130">
        <v>6.19</v>
      </c>
      <c r="G72" s="130">
        <v>6.04</v>
      </c>
      <c r="H72" s="130">
        <v>5.48</v>
      </c>
      <c r="I72" s="130">
        <v>5.56</v>
      </c>
      <c r="J72" s="130">
        <v>5.34</v>
      </c>
      <c r="K72" s="130">
        <v>5.39</v>
      </c>
      <c r="L72" s="130"/>
      <c r="M72" s="130"/>
      <c r="N72" s="130"/>
      <c r="O72" s="130"/>
      <c r="P72" s="130"/>
      <c r="Q72" s="122"/>
      <c r="R72" s="186">
        <f t="shared" si="4"/>
        <v>7.29</v>
      </c>
      <c r="S72" s="123">
        <f t="shared" si="5"/>
        <v>9.9999999999997868E-3</v>
      </c>
      <c r="T72" s="186">
        <f t="shared" si="6"/>
        <v>5.6714285714285717</v>
      </c>
      <c r="U72" s="123">
        <f t="shared" si="7"/>
        <v>0.12379761847521974</v>
      </c>
      <c r="V72" s="122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spans="1:34" ht="21" customHeight="1">
      <c r="A73" s="119">
        <v>4</v>
      </c>
      <c r="B73" s="119">
        <v>12</v>
      </c>
      <c r="C73" s="119">
        <v>7.35</v>
      </c>
      <c r="D73" s="119">
        <v>7.32</v>
      </c>
      <c r="E73" s="130">
        <v>5.87</v>
      </c>
      <c r="F73" s="130">
        <v>5.74</v>
      </c>
      <c r="G73" s="130">
        <v>5.75</v>
      </c>
      <c r="H73" s="130">
        <v>5.26</v>
      </c>
      <c r="I73" s="130">
        <v>5.41</v>
      </c>
      <c r="J73" s="130">
        <v>5.29</v>
      </c>
      <c r="K73" s="130">
        <v>5.26</v>
      </c>
      <c r="L73" s="130"/>
      <c r="M73" s="130"/>
      <c r="N73" s="130"/>
      <c r="O73" s="130"/>
      <c r="P73" s="122"/>
      <c r="Q73" s="122"/>
      <c r="R73" s="186">
        <f t="shared" si="4"/>
        <v>7.335</v>
      </c>
      <c r="S73" s="123">
        <f t="shared" si="5"/>
        <v>1.4999999999999679E-2</v>
      </c>
      <c r="T73" s="186">
        <f t="shared" si="6"/>
        <v>5.5114285714285716</v>
      </c>
      <c r="U73" s="123">
        <f t="shared" si="7"/>
        <v>0.10041410855691006</v>
      </c>
      <c r="V73" s="122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spans="1:34" ht="21" customHeight="1">
      <c r="A74" s="119">
        <v>5</v>
      </c>
      <c r="B74" s="119">
        <v>12</v>
      </c>
      <c r="C74" s="119">
        <v>7.37</v>
      </c>
      <c r="D74" s="119">
        <v>7.36</v>
      </c>
      <c r="E74" s="130">
        <v>6.72</v>
      </c>
      <c r="F74" s="130">
        <v>5.81</v>
      </c>
      <c r="G74" s="130">
        <v>5.77</v>
      </c>
      <c r="H74" s="130">
        <v>5.4</v>
      </c>
      <c r="I74" s="130">
        <v>5.45</v>
      </c>
      <c r="J74" s="130">
        <v>5.34</v>
      </c>
      <c r="K74" s="130">
        <v>5.44</v>
      </c>
      <c r="L74" s="130"/>
      <c r="M74" s="130"/>
      <c r="N74" s="130"/>
      <c r="O74" s="130"/>
      <c r="P74" s="130"/>
      <c r="Q74" s="122"/>
      <c r="R74" s="186">
        <f t="shared" si="4"/>
        <v>7.3650000000000002</v>
      </c>
      <c r="S74" s="123">
        <f t="shared" si="5"/>
        <v>4.9999999999998934E-3</v>
      </c>
      <c r="T74" s="186">
        <f t="shared" si="6"/>
        <v>5.7042857142857128</v>
      </c>
      <c r="U74" s="123">
        <f t="shared" si="7"/>
        <v>0.1830281938060121</v>
      </c>
      <c r="V74" s="122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spans="1:34" ht="21" customHeight="1">
      <c r="A75" s="119">
        <v>6</v>
      </c>
      <c r="B75" s="119">
        <v>12</v>
      </c>
      <c r="C75" s="119">
        <v>7.42</v>
      </c>
      <c r="D75" s="119">
        <v>7.41</v>
      </c>
      <c r="E75" s="130">
        <v>6.78</v>
      </c>
      <c r="F75" s="130">
        <v>5.93</v>
      </c>
      <c r="G75" s="130">
        <v>5.78</v>
      </c>
      <c r="H75" s="130">
        <v>5.49</v>
      </c>
      <c r="I75" s="130">
        <v>5.49</v>
      </c>
      <c r="J75" s="130">
        <v>5.36</v>
      </c>
      <c r="K75" s="130">
        <v>5.52</v>
      </c>
      <c r="L75" s="130"/>
      <c r="M75" s="130"/>
      <c r="N75" s="130"/>
      <c r="O75" s="130"/>
      <c r="P75" s="122"/>
      <c r="Q75" s="122"/>
      <c r="R75" s="186">
        <f t="shared" si="4"/>
        <v>7.415</v>
      </c>
      <c r="S75" s="123">
        <f t="shared" si="5"/>
        <v>4.9999999999998934E-3</v>
      </c>
      <c r="T75" s="186">
        <f t="shared" si="6"/>
        <v>5.7642857142857151</v>
      </c>
      <c r="U75" s="123">
        <f t="shared" si="7"/>
        <v>0.18471157881123421</v>
      </c>
      <c r="V75" s="122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spans="1:34" ht="21" customHeight="1">
      <c r="A76" s="119">
        <v>7</v>
      </c>
      <c r="B76" s="119">
        <v>12</v>
      </c>
      <c r="C76" s="119">
        <v>7.51</v>
      </c>
      <c r="D76" s="119">
        <v>7.48</v>
      </c>
      <c r="E76" s="130">
        <v>6.66</v>
      </c>
      <c r="F76" s="130">
        <v>6.25</v>
      </c>
      <c r="G76" s="130">
        <v>5.88</v>
      </c>
      <c r="H76" s="130">
        <v>5.47</v>
      </c>
      <c r="I76" s="130">
        <v>5.45</v>
      </c>
      <c r="J76" s="130">
        <v>5.33</v>
      </c>
      <c r="K76" s="130">
        <v>5.4</v>
      </c>
      <c r="L76" s="130"/>
      <c r="M76" s="130"/>
      <c r="N76" s="130"/>
      <c r="O76" s="130"/>
      <c r="P76" s="122"/>
      <c r="Q76" s="122"/>
      <c r="R76" s="186">
        <f t="shared" si="4"/>
        <v>7.4950000000000001</v>
      </c>
      <c r="S76" s="123">
        <f t="shared" si="5"/>
        <v>1.4999999999999679E-2</v>
      </c>
      <c r="T76" s="186">
        <f t="shared" si="6"/>
        <v>5.7771428571428567</v>
      </c>
      <c r="U76" s="123">
        <f t="shared" si="7"/>
        <v>0.19254825351576882</v>
      </c>
      <c r="V76" s="122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spans="1:34" ht="21" customHeight="1">
      <c r="A77" s="119">
        <v>8</v>
      </c>
      <c r="B77" s="119">
        <v>12</v>
      </c>
      <c r="C77" s="119">
        <v>7.52</v>
      </c>
      <c r="D77" s="119">
        <v>7.48</v>
      </c>
      <c r="E77" s="130">
        <v>6.43</v>
      </c>
      <c r="F77" s="130">
        <v>6.35</v>
      </c>
      <c r="G77" s="130">
        <v>5.9</v>
      </c>
      <c r="H77" s="130">
        <v>5.4</v>
      </c>
      <c r="I77" s="130">
        <v>5.36</v>
      </c>
      <c r="J77" s="130">
        <v>5.31</v>
      </c>
      <c r="K77" s="130">
        <v>5.39</v>
      </c>
      <c r="L77" s="130"/>
      <c r="M77" s="130"/>
      <c r="N77" s="130"/>
      <c r="O77" s="130"/>
      <c r="P77" s="122"/>
      <c r="Q77" s="122"/>
      <c r="R77" s="186">
        <f t="shared" si="4"/>
        <v>7.5</v>
      </c>
      <c r="S77" s="123">
        <f t="shared" si="5"/>
        <v>1.9999999999999574E-2</v>
      </c>
      <c r="T77" s="186">
        <f t="shared" si="6"/>
        <v>5.734285714285714</v>
      </c>
      <c r="U77" s="123">
        <f t="shared" si="7"/>
        <v>0.18522646554262959</v>
      </c>
      <c r="V77" s="122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spans="1:34" ht="21" customHeight="1">
      <c r="A78" s="119">
        <v>9</v>
      </c>
      <c r="B78" s="119">
        <v>12</v>
      </c>
      <c r="C78" s="119">
        <v>7.48</v>
      </c>
      <c r="D78" s="119">
        <v>7.47</v>
      </c>
      <c r="E78" s="130">
        <v>6.2</v>
      </c>
      <c r="F78" s="130">
        <v>6.21</v>
      </c>
      <c r="G78" s="130">
        <v>5.75</v>
      </c>
      <c r="H78" s="130">
        <v>5.4</v>
      </c>
      <c r="I78" s="130">
        <v>5.3</v>
      </c>
      <c r="J78" s="130">
        <v>5.27</v>
      </c>
      <c r="K78" s="130">
        <v>5.42</v>
      </c>
      <c r="L78" s="130"/>
      <c r="M78" s="130"/>
      <c r="N78" s="130"/>
      <c r="O78" s="130"/>
      <c r="P78" s="130"/>
      <c r="Q78" s="122"/>
      <c r="R78" s="186">
        <f t="shared" si="4"/>
        <v>7.4749999999999996</v>
      </c>
      <c r="S78" s="123">
        <f t="shared" si="5"/>
        <v>5.0000000000003366E-3</v>
      </c>
      <c r="T78" s="186">
        <f t="shared" si="6"/>
        <v>5.65</v>
      </c>
      <c r="U78" s="123">
        <f t="shared" si="7"/>
        <v>0.15495006876256562</v>
      </c>
      <c r="V78" s="122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spans="1:34" ht="21" customHeight="1">
      <c r="A79" s="119">
        <v>10</v>
      </c>
      <c r="B79" s="119">
        <v>12</v>
      </c>
      <c r="C79" s="119">
        <v>7.49</v>
      </c>
      <c r="D79" s="119">
        <v>7.47</v>
      </c>
      <c r="E79" s="130">
        <v>5.79</v>
      </c>
      <c r="F79" s="130">
        <v>5.91</v>
      </c>
      <c r="G79" s="130">
        <v>5.56</v>
      </c>
      <c r="H79" s="130">
        <v>5.41</v>
      </c>
      <c r="I79" s="130">
        <v>5.3</v>
      </c>
      <c r="J79" s="130">
        <v>5.2</v>
      </c>
      <c r="K79" s="130">
        <v>5.27</v>
      </c>
      <c r="L79" s="130"/>
      <c r="M79" s="130"/>
      <c r="N79" s="130"/>
      <c r="O79" s="130"/>
      <c r="P79" s="122"/>
      <c r="Q79" s="122"/>
      <c r="R79" s="186">
        <f t="shared" si="4"/>
        <v>7.48</v>
      </c>
      <c r="S79" s="123">
        <f t="shared" si="5"/>
        <v>1.0000000000000231E-2</v>
      </c>
      <c r="T79" s="186">
        <f t="shared" si="6"/>
        <v>5.4914285714285711</v>
      </c>
      <c r="U79" s="123">
        <f t="shared" si="7"/>
        <v>0.10308176531344455</v>
      </c>
      <c r="V79" s="122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spans="1:34" ht="21" customHeight="1">
      <c r="A80" s="119">
        <v>11</v>
      </c>
      <c r="B80" s="119">
        <v>12</v>
      </c>
      <c r="C80" s="119">
        <v>7.49</v>
      </c>
      <c r="D80" s="119">
        <v>7.52</v>
      </c>
      <c r="E80" s="130">
        <v>6.61</v>
      </c>
      <c r="F80" s="130">
        <v>6.07</v>
      </c>
      <c r="G80" s="130">
        <v>5.58</v>
      </c>
      <c r="H80" s="130">
        <v>5.28</v>
      </c>
      <c r="I80" s="130">
        <v>5.34</v>
      </c>
      <c r="J80" s="130">
        <v>5.25</v>
      </c>
      <c r="K80" s="130">
        <v>5.28</v>
      </c>
      <c r="L80" s="130"/>
      <c r="M80" s="130"/>
      <c r="N80" s="130"/>
      <c r="O80" s="130"/>
      <c r="P80" s="130"/>
      <c r="Q80" s="122"/>
      <c r="R80" s="186">
        <f t="shared" si="4"/>
        <v>7.5049999999999999</v>
      </c>
      <c r="S80" s="123">
        <f t="shared" si="5"/>
        <v>1.4999999999999679E-2</v>
      </c>
      <c r="T80" s="186">
        <f t="shared" si="6"/>
        <v>5.63</v>
      </c>
      <c r="U80" s="123">
        <f t="shared" si="7"/>
        <v>0.19700132946131055</v>
      </c>
      <c r="V80" s="122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spans="1:32" ht="21" customHeight="1">
      <c r="A81" s="119">
        <v>12</v>
      </c>
      <c r="B81" s="119">
        <v>12</v>
      </c>
      <c r="C81" s="119">
        <v>7.55</v>
      </c>
      <c r="D81" s="119">
        <v>7.55</v>
      </c>
      <c r="E81" s="130">
        <v>6.02</v>
      </c>
      <c r="F81" s="130">
        <v>6.34</v>
      </c>
      <c r="G81" s="130">
        <v>5.74</v>
      </c>
      <c r="H81" s="130">
        <v>5.24</v>
      </c>
      <c r="I81" s="130">
        <v>5.26</v>
      </c>
      <c r="J81" s="130">
        <v>5.14</v>
      </c>
      <c r="K81" s="130">
        <v>5.22</v>
      </c>
      <c r="L81" s="130"/>
      <c r="M81" s="130"/>
      <c r="N81" s="130"/>
      <c r="O81" s="130"/>
      <c r="P81" s="122"/>
      <c r="Q81" s="122"/>
      <c r="R81" s="186">
        <f t="shared" si="4"/>
        <v>7.55</v>
      </c>
      <c r="S81" s="123">
        <f>STDEV(C81:D81)/SQRT(COUNT(C81:D81))</f>
        <v>0</v>
      </c>
      <c r="T81" s="186">
        <f>AVERAGE(E81:P81)</f>
        <v>5.5657142857142858</v>
      </c>
      <c r="U81" s="123">
        <f t="shared" si="7"/>
        <v>0.17839038441491367</v>
      </c>
      <c r="V81" s="122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spans="1:32" ht="21" customHeight="1">
      <c r="A82" s="119">
        <v>13</v>
      </c>
      <c r="B82" s="119">
        <v>12</v>
      </c>
      <c r="C82" s="119">
        <v>7.21</v>
      </c>
      <c r="D82" s="119">
        <v>7.18</v>
      </c>
      <c r="E82" s="130">
        <v>5.76</v>
      </c>
      <c r="F82" s="130">
        <v>5.79</v>
      </c>
      <c r="G82" s="130">
        <v>5.62</v>
      </c>
      <c r="H82" s="130">
        <v>5.21</v>
      </c>
      <c r="I82" s="130">
        <v>5.2</v>
      </c>
      <c r="J82" s="130">
        <v>5.15</v>
      </c>
      <c r="K82" s="130">
        <v>5.21</v>
      </c>
      <c r="L82" s="130"/>
      <c r="M82" s="130"/>
      <c r="N82" s="130"/>
      <c r="O82" s="130"/>
      <c r="P82" s="122"/>
      <c r="Q82" s="122"/>
      <c r="R82" s="186">
        <f t="shared" si="4"/>
        <v>7.1950000000000003</v>
      </c>
      <c r="S82" s="123">
        <f t="shared" si="5"/>
        <v>1.5000000000000123E-2</v>
      </c>
      <c r="T82" s="186">
        <f t="shared" si="6"/>
        <v>5.4200000000000008</v>
      </c>
      <c r="U82" s="123">
        <f t="shared" si="7"/>
        <v>0.10932694522568964</v>
      </c>
      <c r="V82" s="122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spans="1:32" ht="21" customHeight="1">
      <c r="A83" s="119">
        <v>14</v>
      </c>
      <c r="B83" s="119">
        <v>12</v>
      </c>
      <c r="C83" s="119">
        <v>7.32</v>
      </c>
      <c r="D83" s="119">
        <v>7.29</v>
      </c>
      <c r="E83" s="130">
        <v>6.39</v>
      </c>
      <c r="F83" s="130">
        <v>5.87</v>
      </c>
      <c r="G83" s="130">
        <v>5.57</v>
      </c>
      <c r="H83" s="130">
        <v>5.33</v>
      </c>
      <c r="I83" s="130">
        <v>5.23</v>
      </c>
      <c r="J83" s="130">
        <v>5.18</v>
      </c>
      <c r="K83" s="130">
        <v>5.22</v>
      </c>
      <c r="L83" s="130"/>
      <c r="M83" s="130"/>
      <c r="N83" s="130"/>
      <c r="O83" s="130"/>
      <c r="P83" s="122"/>
      <c r="Q83" s="122"/>
      <c r="R83" s="186">
        <f t="shared" si="4"/>
        <v>7.3049999999999997</v>
      </c>
      <c r="S83" s="123">
        <f t="shared" si="5"/>
        <v>1.5000000000000123E-2</v>
      </c>
      <c r="T83" s="186">
        <f t="shared" si="6"/>
        <v>5.54142857142857</v>
      </c>
      <c r="U83" s="123">
        <f t="shared" si="7"/>
        <v>0.16934648296471055</v>
      </c>
      <c r="V83" s="122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spans="1:32" ht="21" customHeight="1">
      <c r="A84" s="119">
        <v>15</v>
      </c>
      <c r="B84" s="119">
        <v>12</v>
      </c>
      <c r="C84" s="119">
        <v>7.49</v>
      </c>
      <c r="D84" s="119">
        <v>7.41</v>
      </c>
      <c r="E84" s="130">
        <v>6.49</v>
      </c>
      <c r="F84" s="130">
        <v>5.94</v>
      </c>
      <c r="G84" s="130">
        <v>5.7</v>
      </c>
      <c r="H84" s="130">
        <v>5.46</v>
      </c>
      <c r="I84" s="130">
        <v>5.35</v>
      </c>
      <c r="J84" s="130">
        <v>5.31</v>
      </c>
      <c r="K84" s="130">
        <v>5.23</v>
      </c>
      <c r="L84" s="130"/>
      <c r="M84" s="130"/>
      <c r="N84" s="130"/>
      <c r="O84" s="130"/>
      <c r="P84" s="130"/>
      <c r="Q84" s="122"/>
      <c r="R84" s="186">
        <f t="shared" si="4"/>
        <v>7.45</v>
      </c>
      <c r="S84" s="123">
        <f t="shared" si="5"/>
        <v>4.0000000000000036E-2</v>
      </c>
      <c r="T84" s="186">
        <f t="shared" si="6"/>
        <v>5.6400000000000006</v>
      </c>
      <c r="U84" s="123">
        <f t="shared" si="7"/>
        <v>0.16970562748477144</v>
      </c>
      <c r="V84" s="122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spans="1:32" ht="21" customHeight="1">
      <c r="A85" s="119">
        <v>16</v>
      </c>
      <c r="B85" s="119">
        <v>12</v>
      </c>
      <c r="C85" s="119">
        <v>7.53</v>
      </c>
      <c r="D85" s="119">
        <v>7.51</v>
      </c>
      <c r="E85" s="130">
        <v>6.7</v>
      </c>
      <c r="F85" s="130">
        <v>6.11</v>
      </c>
      <c r="G85" s="130">
        <v>5.72</v>
      </c>
      <c r="H85" s="130">
        <v>5.14</v>
      </c>
      <c r="I85" s="130">
        <v>5.22</v>
      </c>
      <c r="J85" s="130">
        <v>5.26</v>
      </c>
      <c r="K85" s="130">
        <v>5.43</v>
      </c>
      <c r="L85" s="130"/>
      <c r="M85" s="130"/>
      <c r="N85" s="130"/>
      <c r="O85" s="130"/>
      <c r="P85" s="122"/>
      <c r="Q85" s="122"/>
      <c r="R85" s="186">
        <f t="shared" si="4"/>
        <v>7.52</v>
      </c>
      <c r="S85" s="123">
        <f t="shared" si="5"/>
        <v>1.0000000000000231E-2</v>
      </c>
      <c r="T85" s="186">
        <f t="shared" si="6"/>
        <v>5.6542857142857139</v>
      </c>
      <c r="U85" s="123">
        <f t="shared" si="7"/>
        <v>0.21626545794305607</v>
      </c>
      <c r="V85" s="122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spans="1:32" ht="21" customHeight="1">
      <c r="A86" s="119">
        <v>17</v>
      </c>
      <c r="B86" s="119">
        <v>12</v>
      </c>
      <c r="C86" s="119">
        <v>7.56</v>
      </c>
      <c r="D86" s="119">
        <v>7.56</v>
      </c>
      <c r="E86" s="130">
        <v>6.52</v>
      </c>
      <c r="F86" s="130">
        <v>6.14</v>
      </c>
      <c r="G86" s="130">
        <v>5.7</v>
      </c>
      <c r="H86" s="130">
        <v>5.4</v>
      </c>
      <c r="I86" s="130">
        <v>5.25</v>
      </c>
      <c r="J86" s="130">
        <v>5.24</v>
      </c>
      <c r="K86" s="130">
        <v>5.32</v>
      </c>
      <c r="L86" s="130"/>
      <c r="M86" s="130"/>
      <c r="N86" s="130"/>
      <c r="O86" s="130"/>
      <c r="P86" s="130"/>
      <c r="Q86" s="122"/>
      <c r="R86" s="186">
        <f t="shared" si="4"/>
        <v>7.56</v>
      </c>
      <c r="S86" s="123">
        <f t="shared" si="5"/>
        <v>0</v>
      </c>
      <c r="T86" s="186">
        <f t="shared" si="6"/>
        <v>5.652857142857143</v>
      </c>
      <c r="U86" s="123">
        <f t="shared" si="7"/>
        <v>0.18891563102681172</v>
      </c>
      <c r="V86" s="122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spans="1:32" ht="21" customHeight="1">
      <c r="A87" s="119">
        <v>18</v>
      </c>
      <c r="B87" s="119">
        <v>12</v>
      </c>
      <c r="C87" s="119">
        <v>7.61</v>
      </c>
      <c r="D87" s="119">
        <v>6.9</v>
      </c>
      <c r="E87" s="130">
        <v>6.04</v>
      </c>
      <c r="F87" s="130">
        <v>5.9</v>
      </c>
      <c r="G87" s="130">
        <v>5.73</v>
      </c>
      <c r="H87" s="130">
        <v>5.47</v>
      </c>
      <c r="I87" s="130">
        <v>5.25</v>
      </c>
      <c r="J87" s="130">
        <v>5.34</v>
      </c>
      <c r="K87" s="130">
        <v>5.29</v>
      </c>
      <c r="L87" s="130"/>
      <c r="M87" s="130"/>
      <c r="N87" s="130"/>
      <c r="O87" s="130"/>
      <c r="P87" s="122"/>
      <c r="Q87" s="122"/>
      <c r="R87" s="186">
        <f t="shared" si="4"/>
        <v>7.2550000000000008</v>
      </c>
      <c r="S87" s="123">
        <f t="shared" si="5"/>
        <v>0.35499999999999993</v>
      </c>
      <c r="T87" s="186">
        <f t="shared" si="6"/>
        <v>5.5742857142857147</v>
      </c>
      <c r="U87" s="123">
        <f t="shared" si="7"/>
        <v>0.11942036882289354</v>
      </c>
      <c r="V87" s="122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spans="1:32" ht="21" customHeight="1">
      <c r="A88" s="119">
        <v>19</v>
      </c>
      <c r="B88" s="119">
        <v>12</v>
      </c>
      <c r="C88" s="119">
        <v>7.61</v>
      </c>
      <c r="D88" s="119">
        <v>7.46</v>
      </c>
      <c r="E88" s="130">
        <v>6.72</v>
      </c>
      <c r="F88" s="130">
        <v>6</v>
      </c>
      <c r="G88" s="130">
        <v>5.82</v>
      </c>
      <c r="H88" s="130">
        <v>5.34</v>
      </c>
      <c r="I88" s="130">
        <v>5.32</v>
      </c>
      <c r="J88" s="130">
        <v>5.45</v>
      </c>
      <c r="K88" s="130">
        <v>5.66</v>
      </c>
      <c r="L88" s="130"/>
      <c r="M88" s="130"/>
      <c r="N88" s="130"/>
      <c r="O88" s="130"/>
      <c r="P88" s="130"/>
      <c r="Q88" s="122"/>
      <c r="R88" s="186">
        <f t="shared" si="4"/>
        <v>7.5350000000000001</v>
      </c>
      <c r="S88" s="123">
        <f t="shared" si="5"/>
        <v>7.5000000000000178E-2</v>
      </c>
      <c r="T88" s="186">
        <f t="shared" si="6"/>
        <v>5.7585714285714289</v>
      </c>
      <c r="U88" s="123">
        <f t="shared" si="7"/>
        <v>0.18637428510838036</v>
      </c>
      <c r="V88" s="122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spans="1:32" ht="21" customHeight="1">
      <c r="A89" s="119">
        <v>20</v>
      </c>
      <c r="B89" s="119">
        <v>12</v>
      </c>
      <c r="C89" s="119">
        <v>7.64</v>
      </c>
      <c r="D89" s="119">
        <v>7.55</v>
      </c>
      <c r="E89" s="130">
        <v>6.69</v>
      </c>
      <c r="F89" s="130">
        <v>6.05</v>
      </c>
      <c r="G89" s="130">
        <v>5.85</v>
      </c>
      <c r="H89" s="130">
        <v>5.35</v>
      </c>
      <c r="I89" s="130">
        <v>5.31</v>
      </c>
      <c r="J89" s="130">
        <v>5.48</v>
      </c>
      <c r="K89" s="130">
        <v>5.68</v>
      </c>
      <c r="L89" s="130"/>
      <c r="M89" s="130"/>
      <c r="N89" s="130"/>
      <c r="O89" s="130"/>
      <c r="P89" s="122"/>
      <c r="Q89" s="122"/>
      <c r="R89" s="186">
        <f t="shared" si="4"/>
        <v>7.5949999999999998</v>
      </c>
      <c r="S89" s="123">
        <f t="shared" si="5"/>
        <v>4.4999999999999929E-2</v>
      </c>
      <c r="T89" s="186">
        <f t="shared" si="6"/>
        <v>5.7728571428571422</v>
      </c>
      <c r="U89" s="123">
        <f t="shared" si="7"/>
        <v>0.18331230553496469</v>
      </c>
      <c r="V89" s="122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spans="1:32" ht="21" customHeight="1">
      <c r="A90" s="119">
        <v>21</v>
      </c>
      <c r="B90" s="119">
        <v>12</v>
      </c>
      <c r="C90" s="119">
        <v>7.61</v>
      </c>
      <c r="D90" s="119">
        <v>7.56</v>
      </c>
      <c r="E90" s="130">
        <v>6.56</v>
      </c>
      <c r="F90" s="130">
        <v>5.93</v>
      </c>
      <c r="G90" s="130">
        <v>5.82</v>
      </c>
      <c r="H90" s="130">
        <v>5.36</v>
      </c>
      <c r="I90" s="130">
        <v>5.46</v>
      </c>
      <c r="J90" s="130">
        <v>5.47</v>
      </c>
      <c r="K90" s="130">
        <v>5.65</v>
      </c>
      <c r="L90" s="130"/>
      <c r="M90" s="130"/>
      <c r="N90" s="130"/>
      <c r="O90" s="130"/>
      <c r="P90" s="122"/>
      <c r="Q90" s="122"/>
      <c r="R90" s="186">
        <f t="shared" si="4"/>
        <v>7.585</v>
      </c>
      <c r="S90" s="123">
        <f t="shared" si="5"/>
        <v>2.5000000000000355E-2</v>
      </c>
      <c r="T90" s="186">
        <f t="shared" si="6"/>
        <v>5.75</v>
      </c>
      <c r="U90" s="123">
        <f t="shared" si="7"/>
        <v>0.15568588644477449</v>
      </c>
      <c r="V90" s="122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spans="1:32" ht="21" customHeight="1">
      <c r="A91" s="119">
        <v>22</v>
      </c>
      <c r="B91" s="119">
        <v>12</v>
      </c>
      <c r="C91" s="119">
        <v>7.6</v>
      </c>
      <c r="D91" s="119">
        <v>7.57</v>
      </c>
      <c r="E91" s="130">
        <v>6.43</v>
      </c>
      <c r="F91" s="130">
        <v>6.01</v>
      </c>
      <c r="G91" s="130">
        <v>5.71</v>
      </c>
      <c r="H91" s="130">
        <v>5.25</v>
      </c>
      <c r="I91" s="130">
        <v>5.3</v>
      </c>
      <c r="J91" s="130">
        <v>5.32</v>
      </c>
      <c r="K91" s="130">
        <v>5.45</v>
      </c>
      <c r="L91" s="130"/>
      <c r="M91" s="130"/>
      <c r="N91" s="130"/>
      <c r="O91" s="130"/>
      <c r="P91" s="122"/>
      <c r="Q91" s="122"/>
      <c r="R91" s="186">
        <f t="shared" si="4"/>
        <v>7.585</v>
      </c>
      <c r="S91" s="123">
        <f t="shared" si="5"/>
        <v>1.4999999999999679E-2</v>
      </c>
      <c r="T91" s="186">
        <f t="shared" si="6"/>
        <v>5.6385714285714288</v>
      </c>
      <c r="U91" s="123">
        <f t="shared" si="7"/>
        <v>0.16705329305670216</v>
      </c>
      <c r="V91" s="122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spans="1:32" ht="21" customHeight="1">
      <c r="A92" s="119">
        <v>23</v>
      </c>
      <c r="B92" s="119">
        <v>12</v>
      </c>
      <c r="C92" s="119">
        <v>6.94</v>
      </c>
      <c r="D92" s="119">
        <v>6.7</v>
      </c>
      <c r="E92" s="130">
        <v>5.95</v>
      </c>
      <c r="F92" s="130">
        <v>6.17</v>
      </c>
      <c r="G92" s="130">
        <v>5.66</v>
      </c>
      <c r="H92" s="130">
        <v>5.32</v>
      </c>
      <c r="I92" s="130">
        <v>5.27</v>
      </c>
      <c r="J92" s="130">
        <v>5.26</v>
      </c>
      <c r="K92" s="130">
        <v>5.36</v>
      </c>
      <c r="L92" s="130"/>
      <c r="M92" s="130"/>
      <c r="N92" s="130"/>
      <c r="O92" s="130"/>
      <c r="P92" s="122"/>
      <c r="Q92" s="122"/>
      <c r="R92" s="186">
        <f t="shared" si="4"/>
        <v>6.82</v>
      </c>
      <c r="S92" s="123">
        <f t="shared" si="5"/>
        <v>0.12000000000000009</v>
      </c>
      <c r="T92" s="186">
        <f t="shared" si="6"/>
        <v>5.57</v>
      </c>
      <c r="U92" s="123">
        <f t="shared" si="7"/>
        <v>0.13846092795958206</v>
      </c>
      <c r="V92" s="122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spans="1:32" ht="21" customHeight="1">
      <c r="A93" s="119">
        <v>24</v>
      </c>
      <c r="B93" s="119">
        <v>12</v>
      </c>
      <c r="C93" s="119">
        <v>7.2</v>
      </c>
      <c r="D93" s="119">
        <v>7.46</v>
      </c>
      <c r="E93" s="130">
        <v>5.65</v>
      </c>
      <c r="F93" s="130">
        <v>6.05</v>
      </c>
      <c r="G93" s="130">
        <v>5.6</v>
      </c>
      <c r="H93" s="130">
        <v>5.3</v>
      </c>
      <c r="I93" s="130">
        <v>5.26</v>
      </c>
      <c r="J93" s="130">
        <v>5.2</v>
      </c>
      <c r="K93" s="130">
        <v>5.31</v>
      </c>
      <c r="L93" s="130"/>
      <c r="M93" s="130"/>
      <c r="N93" s="130"/>
      <c r="O93" s="130"/>
      <c r="P93" s="130"/>
      <c r="Q93" s="122"/>
      <c r="R93" s="186">
        <f t="shared" si="4"/>
        <v>7.33</v>
      </c>
      <c r="S93" s="123">
        <f t="shared" si="5"/>
        <v>0.12999999999999989</v>
      </c>
      <c r="T93" s="186">
        <f t="shared" si="6"/>
        <v>5.4814285714285722</v>
      </c>
      <c r="U93" s="123">
        <f t="shared" si="7"/>
        <v>0.1150864803492733</v>
      </c>
      <c r="V93" s="122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spans="1:32" ht="21" customHeight="1">
      <c r="A94" s="119">
        <v>25</v>
      </c>
      <c r="B94" s="119">
        <v>12</v>
      </c>
      <c r="C94" s="119">
        <v>7.43</v>
      </c>
      <c r="D94" s="119">
        <v>7.09</v>
      </c>
      <c r="E94" s="130">
        <v>5.67</v>
      </c>
      <c r="F94" s="130">
        <v>5.67</v>
      </c>
      <c r="G94" s="130">
        <v>5.46</v>
      </c>
      <c r="H94" s="130">
        <v>5.14</v>
      </c>
      <c r="I94" s="130">
        <v>5.21</v>
      </c>
      <c r="J94" s="130">
        <v>5.26</v>
      </c>
      <c r="K94" s="130">
        <v>5.46</v>
      </c>
      <c r="L94" s="130"/>
      <c r="M94" s="130"/>
      <c r="N94" s="130"/>
      <c r="O94" s="130"/>
      <c r="P94" s="122"/>
      <c r="Q94" s="122"/>
      <c r="R94" s="186">
        <f t="shared" si="4"/>
        <v>7.26</v>
      </c>
      <c r="S94" s="123">
        <f t="shared" si="5"/>
        <v>0.16999999999999993</v>
      </c>
      <c r="T94" s="186">
        <f t="shared" si="6"/>
        <v>5.410000000000001</v>
      </c>
      <c r="U94" s="123">
        <f t="shared" si="7"/>
        <v>8.1005584757501525E-2</v>
      </c>
      <c r="V94" s="122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spans="1:32" ht="21" customHeight="1">
      <c r="A95" s="119">
        <v>26</v>
      </c>
      <c r="B95" s="119">
        <v>12</v>
      </c>
      <c r="C95" s="119">
        <v>7.54</v>
      </c>
      <c r="D95" s="119">
        <v>7.5</v>
      </c>
      <c r="E95" s="130">
        <v>6.01</v>
      </c>
      <c r="F95" s="130">
        <v>5.56</v>
      </c>
      <c r="G95" s="130">
        <v>5.55</v>
      </c>
      <c r="H95" s="130">
        <v>5.26</v>
      </c>
      <c r="I95" s="130">
        <v>5.3</v>
      </c>
      <c r="J95" s="130">
        <v>5.45</v>
      </c>
      <c r="K95" s="130">
        <v>5.67</v>
      </c>
      <c r="L95" s="130"/>
      <c r="M95" s="130"/>
      <c r="N95" s="130"/>
      <c r="O95" s="130"/>
      <c r="P95" s="130"/>
      <c r="Q95" s="122"/>
      <c r="R95" s="186">
        <f t="shared" si="4"/>
        <v>7.52</v>
      </c>
      <c r="S95" s="123">
        <f t="shared" si="5"/>
        <v>2.0000000000000018E-2</v>
      </c>
      <c r="T95" s="186">
        <f t="shared" si="6"/>
        <v>5.5428571428571436</v>
      </c>
      <c r="U95" s="123">
        <f t="shared" si="7"/>
        <v>9.5411746449502816E-2</v>
      </c>
      <c r="V95" s="122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spans="1:32" ht="21" customHeight="1">
      <c r="A96" s="119">
        <v>27</v>
      </c>
      <c r="B96" s="119">
        <v>12</v>
      </c>
      <c r="C96" s="119">
        <v>7.57</v>
      </c>
      <c r="D96" s="119">
        <v>7.56</v>
      </c>
      <c r="E96" s="130">
        <v>6.2</v>
      </c>
      <c r="F96" s="130">
        <v>5.72</v>
      </c>
      <c r="G96" s="130">
        <v>5.77</v>
      </c>
      <c r="H96" s="130">
        <v>5.24</v>
      </c>
      <c r="I96" s="130">
        <v>5.23</v>
      </c>
      <c r="J96" s="130">
        <v>5.38</v>
      </c>
      <c r="K96" s="130">
        <v>5.7</v>
      </c>
      <c r="L96" s="130"/>
      <c r="M96" s="130"/>
      <c r="N96" s="130"/>
      <c r="O96" s="130"/>
      <c r="P96" s="122"/>
      <c r="Q96" s="122"/>
      <c r="R96" s="186">
        <f t="shared" si="4"/>
        <v>7.5649999999999995</v>
      </c>
      <c r="S96" s="123">
        <f t="shared" si="5"/>
        <v>5.0000000000003366E-3</v>
      </c>
      <c r="T96" s="186">
        <f t="shared" si="6"/>
        <v>5.6057142857142859</v>
      </c>
      <c r="U96" s="123">
        <f t="shared" si="7"/>
        <v>0.13165353417673406</v>
      </c>
      <c r="V96" s="122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spans="1:32" ht="21" customHeight="1">
      <c r="A97" s="119">
        <v>28</v>
      </c>
      <c r="B97" s="119">
        <v>12</v>
      </c>
      <c r="C97" s="119">
        <v>7.03</v>
      </c>
      <c r="D97" s="119">
        <v>6.99</v>
      </c>
      <c r="E97" s="130">
        <v>6.07</v>
      </c>
      <c r="F97" s="130">
        <v>5.96</v>
      </c>
      <c r="G97" s="130">
        <v>5.71</v>
      </c>
      <c r="H97" s="130">
        <v>5.23</v>
      </c>
      <c r="I97" s="130">
        <v>5.24</v>
      </c>
      <c r="J97" s="130">
        <v>5.35</v>
      </c>
      <c r="K97" s="130">
        <v>5.61</v>
      </c>
      <c r="L97" s="130"/>
      <c r="M97" s="130"/>
      <c r="N97" s="130"/>
      <c r="O97" s="130"/>
      <c r="P97" s="122"/>
      <c r="Q97" s="122"/>
      <c r="R97" s="186">
        <f t="shared" si="4"/>
        <v>7.01</v>
      </c>
      <c r="S97" s="123">
        <f t="shared" si="5"/>
        <v>2.0000000000000018E-2</v>
      </c>
      <c r="T97" s="186">
        <f t="shared" si="6"/>
        <v>5.5957142857142861</v>
      </c>
      <c r="U97" s="123">
        <f t="shared" si="7"/>
        <v>0.1283198597044036</v>
      </c>
      <c r="V97" s="122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spans="1:32" ht="21" customHeight="1">
      <c r="A98" s="119">
        <v>29</v>
      </c>
      <c r="B98" s="119">
        <v>12</v>
      </c>
      <c r="C98" s="119">
        <v>7.39</v>
      </c>
      <c r="D98" s="119">
        <v>7.48</v>
      </c>
      <c r="E98" s="130">
        <v>5.67</v>
      </c>
      <c r="F98" s="130">
        <v>5.91</v>
      </c>
      <c r="G98" s="130">
        <v>5.6</v>
      </c>
      <c r="H98" s="130">
        <v>5.21</v>
      </c>
      <c r="I98" s="130">
        <v>5.2</v>
      </c>
      <c r="J98" s="130">
        <v>5.33</v>
      </c>
      <c r="K98" s="130">
        <v>5.55</v>
      </c>
      <c r="L98" s="130"/>
      <c r="M98" s="130"/>
      <c r="N98" s="130"/>
      <c r="O98" s="130"/>
      <c r="P98" s="122"/>
      <c r="Q98" s="122"/>
      <c r="R98" s="186">
        <f t="shared" si="4"/>
        <v>7.4350000000000005</v>
      </c>
      <c r="S98" s="123">
        <f t="shared" si="5"/>
        <v>4.5000000000000366E-2</v>
      </c>
      <c r="T98" s="186">
        <f t="shared" si="6"/>
        <v>5.4957142857142856</v>
      </c>
      <c r="U98" s="123">
        <f t="shared" si="7"/>
        <v>9.9087675050627613E-2</v>
      </c>
      <c r="V98" s="122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spans="1:32" ht="21" customHeight="1">
      <c r="A99" s="119">
        <v>30</v>
      </c>
      <c r="B99" s="119">
        <v>12</v>
      </c>
      <c r="C99" s="119">
        <v>7.51</v>
      </c>
      <c r="D99" s="119">
        <v>7.37</v>
      </c>
      <c r="E99" s="130">
        <v>5.41</v>
      </c>
      <c r="F99" s="130">
        <v>5.71</v>
      </c>
      <c r="G99" s="130">
        <v>5.48</v>
      </c>
      <c r="H99" s="130">
        <v>5.0999999999999996</v>
      </c>
      <c r="I99" s="130">
        <v>5.12</v>
      </c>
      <c r="J99" s="130">
        <v>5.29</v>
      </c>
      <c r="K99" s="130">
        <v>5.48</v>
      </c>
      <c r="L99" s="130"/>
      <c r="M99" s="130"/>
      <c r="N99" s="130"/>
      <c r="O99" s="130"/>
      <c r="P99" s="130"/>
      <c r="Q99" s="122"/>
      <c r="R99" s="186">
        <f t="shared" si="4"/>
        <v>7.4399999999999995</v>
      </c>
      <c r="S99" s="123">
        <f t="shared" si="5"/>
        <v>6.999999999999984E-2</v>
      </c>
      <c r="T99" s="186">
        <f t="shared" si="6"/>
        <v>5.37</v>
      </c>
      <c r="U99" s="123">
        <f t="shared" si="7"/>
        <v>8.2114902075428126E-2</v>
      </c>
      <c r="V99" s="122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spans="1:32" ht="21" customHeight="1">
      <c r="A100" s="119">
        <v>31</v>
      </c>
      <c r="B100" s="119">
        <v>12</v>
      </c>
      <c r="C100" s="119">
        <v>7.46</v>
      </c>
      <c r="D100" s="119">
        <v>6.5</v>
      </c>
      <c r="E100" s="130">
        <v>5.63</v>
      </c>
      <c r="F100" s="130">
        <v>5.46</v>
      </c>
      <c r="G100" s="130">
        <v>5.33</v>
      </c>
      <c r="H100" s="130">
        <v>5.54</v>
      </c>
      <c r="I100" s="130">
        <v>5.35</v>
      </c>
      <c r="J100" s="130">
        <v>5.28</v>
      </c>
      <c r="K100" s="130">
        <v>5.43</v>
      </c>
      <c r="L100" s="130"/>
      <c r="M100" s="130"/>
      <c r="N100" s="130"/>
      <c r="O100" s="130"/>
      <c r="P100" s="122"/>
      <c r="Q100" s="122"/>
      <c r="R100" s="186">
        <f t="shared" si="4"/>
        <v>6.98</v>
      </c>
      <c r="S100" s="123">
        <f t="shared" si="5"/>
        <v>0.48</v>
      </c>
      <c r="T100" s="186">
        <f t="shared" si="6"/>
        <v>5.4314285714285715</v>
      </c>
      <c r="U100" s="123">
        <f t="shared" si="7"/>
        <v>4.6773444410699694E-2</v>
      </c>
      <c r="V100" s="122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spans="1:32" ht="21" customHeight="1">
      <c r="A101" s="119">
        <v>32</v>
      </c>
      <c r="B101" s="119">
        <v>12</v>
      </c>
      <c r="C101" s="119">
        <v>7.51</v>
      </c>
      <c r="D101" s="119">
        <v>7.25</v>
      </c>
      <c r="E101" s="130">
        <v>5.73</v>
      </c>
      <c r="F101" s="130">
        <v>5.64</v>
      </c>
      <c r="G101" s="130">
        <v>5.57</v>
      </c>
      <c r="H101" s="130">
        <v>5.46</v>
      </c>
      <c r="I101" s="130">
        <v>5.41</v>
      </c>
      <c r="J101" s="130">
        <v>5.41</v>
      </c>
      <c r="K101" s="130">
        <v>5.74</v>
      </c>
      <c r="L101" s="130"/>
      <c r="M101" s="130"/>
      <c r="N101" s="130"/>
      <c r="O101" s="130"/>
      <c r="P101" s="130"/>
      <c r="Q101" s="122"/>
      <c r="R101" s="186">
        <f t="shared" si="4"/>
        <v>7.38</v>
      </c>
      <c r="S101" s="123">
        <f t="shared" si="5"/>
        <v>0.12999999999999989</v>
      </c>
      <c r="T101" s="186">
        <f t="shared" si="6"/>
        <v>5.5657142857142858</v>
      </c>
      <c r="U101" s="123">
        <f t="shared" si="7"/>
        <v>5.4021915431968694E-2</v>
      </c>
      <c r="V101" s="122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spans="1:32" ht="21" customHeight="1">
      <c r="A102" s="119">
        <v>33</v>
      </c>
      <c r="B102" s="119">
        <v>12</v>
      </c>
      <c r="C102" s="119">
        <v>7.53</v>
      </c>
      <c r="D102" s="119">
        <v>6.51</v>
      </c>
      <c r="E102" s="130">
        <v>5.31</v>
      </c>
      <c r="F102" s="130">
        <v>5.41</v>
      </c>
      <c r="G102" s="130">
        <v>5.35</v>
      </c>
      <c r="H102" s="130">
        <v>5.16</v>
      </c>
      <c r="I102" s="130">
        <v>5.21</v>
      </c>
      <c r="J102" s="130">
        <v>5.31</v>
      </c>
      <c r="K102" s="130">
        <v>5.34</v>
      </c>
      <c r="L102" s="130"/>
      <c r="M102" s="130"/>
      <c r="N102" s="130"/>
      <c r="O102" s="130"/>
      <c r="P102" s="122"/>
      <c r="Q102" s="122"/>
      <c r="R102" s="186">
        <f t="shared" si="4"/>
        <v>7.02</v>
      </c>
      <c r="S102" s="123">
        <f t="shared" si="5"/>
        <v>0.51000000000000023</v>
      </c>
      <c r="T102" s="186">
        <f t="shared" si="6"/>
        <v>5.2985714285714289</v>
      </c>
      <c r="U102" s="123">
        <f t="shared" si="7"/>
        <v>3.2398454653664838E-2</v>
      </c>
      <c r="V102" s="122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spans="1:32" ht="21" customHeight="1">
      <c r="A103" s="119">
        <v>34</v>
      </c>
      <c r="B103" s="119">
        <v>12</v>
      </c>
      <c r="C103" s="119">
        <v>7.56</v>
      </c>
      <c r="D103" s="119">
        <v>7.09</v>
      </c>
      <c r="E103" s="130">
        <v>5.41</v>
      </c>
      <c r="F103" s="130">
        <v>5.33</v>
      </c>
      <c r="G103" s="130">
        <v>5.32</v>
      </c>
      <c r="H103" s="130">
        <v>5.01</v>
      </c>
      <c r="I103" s="130">
        <v>5.14</v>
      </c>
      <c r="J103" s="130">
        <v>5.22</v>
      </c>
      <c r="K103" s="130">
        <v>5.32</v>
      </c>
      <c r="L103" s="130"/>
      <c r="M103" s="130"/>
      <c r="N103" s="130"/>
      <c r="O103" s="130"/>
      <c r="P103" s="122"/>
      <c r="Q103" s="122"/>
      <c r="R103" s="186">
        <f t="shared" si="4"/>
        <v>7.3249999999999993</v>
      </c>
      <c r="S103" s="123">
        <f t="shared" si="5"/>
        <v>0.23499999999999985</v>
      </c>
      <c r="T103" s="186">
        <f t="shared" si="6"/>
        <v>5.25</v>
      </c>
      <c r="U103" s="123">
        <f t="shared" si="7"/>
        <v>5.1731909651495406E-2</v>
      </c>
      <c r="V103" s="122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spans="1:32" ht="21" customHeight="1">
      <c r="A104" s="119">
        <v>35</v>
      </c>
      <c r="B104" s="119">
        <v>12</v>
      </c>
      <c r="C104" s="119">
        <v>7.73</v>
      </c>
      <c r="D104" s="119">
        <v>7.41</v>
      </c>
      <c r="E104" s="130">
        <v>5.64</v>
      </c>
      <c r="F104" s="130">
        <v>5.72</v>
      </c>
      <c r="G104" s="130">
        <v>5.6</v>
      </c>
      <c r="H104" s="130">
        <v>5.51</v>
      </c>
      <c r="I104" s="130">
        <v>5.57</v>
      </c>
      <c r="J104" s="130">
        <v>5.78</v>
      </c>
      <c r="K104" s="130">
        <v>5.93</v>
      </c>
      <c r="L104" s="130"/>
      <c r="M104" s="130"/>
      <c r="N104" s="130"/>
      <c r="O104" s="130"/>
      <c r="P104" s="122"/>
      <c r="Q104" s="122"/>
      <c r="R104" s="186">
        <f t="shared" si="4"/>
        <v>7.57</v>
      </c>
      <c r="S104" s="123">
        <f t="shared" si="5"/>
        <v>0.16000000000000014</v>
      </c>
      <c r="T104" s="186">
        <f t="shared" si="6"/>
        <v>5.6785714285714288</v>
      </c>
      <c r="U104" s="123">
        <f t="shared" si="7"/>
        <v>5.4135129489989754E-2</v>
      </c>
      <c r="V104" s="122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spans="1:32" ht="18.5">
      <c r="A105" s="119">
        <v>36</v>
      </c>
      <c r="B105" s="119">
        <v>12</v>
      </c>
      <c r="C105" s="119">
        <v>7.38</v>
      </c>
      <c r="D105" s="119">
        <v>6.94</v>
      </c>
      <c r="E105" s="130">
        <v>5.57</v>
      </c>
      <c r="F105" s="130">
        <v>5.53</v>
      </c>
      <c r="G105" s="130">
        <v>5.61</v>
      </c>
      <c r="H105" s="130">
        <v>5.19</v>
      </c>
      <c r="I105" s="130">
        <v>5.34</v>
      </c>
      <c r="J105" s="130">
        <v>5.58</v>
      </c>
      <c r="K105" s="130">
        <v>5.66</v>
      </c>
      <c r="L105" s="130"/>
      <c r="M105" s="130"/>
      <c r="N105" s="130"/>
      <c r="O105" s="130"/>
      <c r="P105" s="122"/>
      <c r="Q105" s="122"/>
      <c r="R105" s="186">
        <f t="shared" si="4"/>
        <v>7.16</v>
      </c>
      <c r="S105" s="123">
        <f t="shared" si="5"/>
        <v>0.21999999999999972</v>
      </c>
      <c r="T105" s="186">
        <f t="shared" si="6"/>
        <v>5.4971428571428573</v>
      </c>
      <c r="U105" s="123">
        <f t="shared" si="7"/>
        <v>6.3908948837362353E-2</v>
      </c>
      <c r="V105" s="122"/>
    </row>
    <row r="106" spans="1:32" ht="18.5">
      <c r="A106" s="119">
        <v>37</v>
      </c>
      <c r="B106" s="119">
        <v>12</v>
      </c>
      <c r="C106" s="119">
        <v>7.45</v>
      </c>
      <c r="D106" s="119">
        <v>7.31</v>
      </c>
      <c r="E106" s="130">
        <v>5.96</v>
      </c>
      <c r="F106" s="130">
        <v>5.52</v>
      </c>
      <c r="G106" s="130">
        <v>5.51</v>
      </c>
      <c r="H106" s="130">
        <v>5.3</v>
      </c>
      <c r="I106" s="130">
        <v>5.25</v>
      </c>
      <c r="J106" s="130">
        <v>5.39</v>
      </c>
      <c r="K106" s="130">
        <v>5.43</v>
      </c>
      <c r="L106" s="130"/>
      <c r="M106" s="130"/>
      <c r="N106" s="130"/>
      <c r="O106" s="130"/>
      <c r="P106" s="130"/>
      <c r="Q106" s="122"/>
      <c r="R106" s="186">
        <f t="shared" si="4"/>
        <v>7.38</v>
      </c>
      <c r="S106" s="123">
        <f t="shared" si="5"/>
        <v>7.000000000000027E-2</v>
      </c>
      <c r="T106" s="186">
        <f t="shared" si="6"/>
        <v>5.4799999999999995</v>
      </c>
      <c r="U106" s="123">
        <f>STDEV(E106:P106)/SQRT(COUNT(E106:P106))</f>
        <v>8.8479214669725845E-2</v>
      </c>
      <c r="V106" s="122"/>
    </row>
    <row r="107" spans="1:32" ht="18.5">
      <c r="A107" s="119">
        <v>38</v>
      </c>
      <c r="B107" s="119">
        <v>12</v>
      </c>
      <c r="C107" s="119">
        <v>7.59</v>
      </c>
      <c r="D107" s="119">
        <v>7.5</v>
      </c>
      <c r="E107" s="130">
        <v>5.97</v>
      </c>
      <c r="F107" s="130">
        <v>5.69</v>
      </c>
      <c r="G107" s="130">
        <v>5.55</v>
      </c>
      <c r="H107" s="130">
        <v>5.24</v>
      </c>
      <c r="I107" s="130">
        <v>5.21</v>
      </c>
      <c r="J107" s="130">
        <v>5.28</v>
      </c>
      <c r="K107" s="130">
        <v>5.29</v>
      </c>
      <c r="L107" s="130"/>
      <c r="M107" s="130"/>
      <c r="N107" s="130"/>
      <c r="O107" s="130"/>
      <c r="P107" s="124"/>
      <c r="Q107" s="122"/>
      <c r="R107" s="186">
        <f t="shared" si="4"/>
        <v>7.5449999999999999</v>
      </c>
      <c r="S107" s="123">
        <f t="shared" si="5"/>
        <v>4.4999999999999929E-2</v>
      </c>
      <c r="T107" s="186">
        <f t="shared" si="6"/>
        <v>5.4614285714285717</v>
      </c>
      <c r="U107" s="123">
        <f t="shared" si="7"/>
        <v>0.10837388042874382</v>
      </c>
      <c r="V107" s="122"/>
    </row>
    <row r="108" spans="1:32" ht="18.5">
      <c r="A108" s="119">
        <v>39</v>
      </c>
      <c r="B108" s="119">
        <v>12</v>
      </c>
      <c r="C108" s="119">
        <v>7.6</v>
      </c>
      <c r="D108" s="119">
        <v>7.53</v>
      </c>
      <c r="E108" s="130">
        <v>5.71</v>
      </c>
      <c r="F108" s="130">
        <v>5.66</v>
      </c>
      <c r="G108" s="130">
        <v>5.43</v>
      </c>
      <c r="H108" s="130">
        <v>5.24</v>
      </c>
      <c r="I108" s="130">
        <v>5.18</v>
      </c>
      <c r="J108" s="130">
        <v>5.2</v>
      </c>
      <c r="K108" s="130">
        <v>5.22</v>
      </c>
      <c r="L108" s="130"/>
      <c r="M108" s="130"/>
      <c r="N108" s="130"/>
      <c r="O108" s="130"/>
      <c r="P108" s="124"/>
      <c r="Q108" s="122"/>
      <c r="R108" s="186">
        <f t="shared" si="4"/>
        <v>7.5649999999999995</v>
      </c>
      <c r="S108" s="123">
        <f t="shared" si="5"/>
        <v>3.4999999999999691E-2</v>
      </c>
      <c r="T108" s="186">
        <f t="shared" si="6"/>
        <v>5.3771428571428572</v>
      </c>
      <c r="U108" s="123">
        <f t="shared" si="7"/>
        <v>8.5543480609745676E-2</v>
      </c>
      <c r="V108" s="122"/>
    </row>
    <row r="109" spans="1:32" ht="18.5">
      <c r="A109" s="119">
        <v>40</v>
      </c>
      <c r="B109" s="119">
        <v>12</v>
      </c>
      <c r="C109" s="119">
        <v>7.18</v>
      </c>
      <c r="D109" s="119">
        <v>7.13</v>
      </c>
      <c r="E109" s="130">
        <v>5.6</v>
      </c>
      <c r="F109" s="130">
        <v>5.56</v>
      </c>
      <c r="G109" s="130">
        <v>5.37</v>
      </c>
      <c r="H109" s="130">
        <v>5.54</v>
      </c>
      <c r="I109" s="130">
        <v>5.34</v>
      </c>
      <c r="J109" s="130">
        <v>5.22</v>
      </c>
      <c r="K109" s="130">
        <v>5.27</v>
      </c>
      <c r="L109" s="130"/>
      <c r="M109" s="130"/>
      <c r="N109" s="130"/>
      <c r="O109" s="130"/>
      <c r="P109" s="124"/>
      <c r="Q109" s="122"/>
      <c r="R109" s="186">
        <f t="shared" si="4"/>
        <v>7.1549999999999994</v>
      </c>
      <c r="S109" s="123">
        <f t="shared" si="5"/>
        <v>2.4999999999999911E-2</v>
      </c>
      <c r="T109" s="186">
        <f t="shared" si="6"/>
        <v>5.4142857142857155</v>
      </c>
      <c r="U109" s="123">
        <f t="shared" si="7"/>
        <v>5.7232073211457513E-2</v>
      </c>
      <c r="V109" s="122"/>
    </row>
    <row r="110" spans="1:32" ht="18.5">
      <c r="A110" s="119">
        <v>41</v>
      </c>
      <c r="B110" s="119">
        <v>12</v>
      </c>
      <c r="C110" s="119">
        <v>6.92</v>
      </c>
      <c r="D110" s="119">
        <v>6.59</v>
      </c>
      <c r="E110" s="130">
        <v>5.71</v>
      </c>
      <c r="F110" s="130">
        <v>5.43</v>
      </c>
      <c r="G110" s="130">
        <v>5.56</v>
      </c>
      <c r="H110" s="130">
        <v>5.41</v>
      </c>
      <c r="I110" s="130">
        <v>5.37</v>
      </c>
      <c r="J110" s="130">
        <v>5.3</v>
      </c>
      <c r="K110" s="130">
        <v>5.31</v>
      </c>
      <c r="L110" s="130"/>
      <c r="M110" s="130"/>
      <c r="N110" s="130"/>
      <c r="O110" s="130"/>
      <c r="P110" s="124"/>
      <c r="Q110" s="122"/>
      <c r="R110" s="186">
        <f t="shared" si="4"/>
        <v>6.7549999999999999</v>
      </c>
      <c r="S110" s="123">
        <f t="shared" si="5"/>
        <v>0.16500000000000004</v>
      </c>
      <c r="T110" s="186">
        <f t="shared" si="6"/>
        <v>5.4414285714285722</v>
      </c>
      <c r="U110" s="123">
        <f t="shared" si="7"/>
        <v>5.5567572396504922E-2</v>
      </c>
      <c r="V110" s="122"/>
    </row>
    <row r="111" spans="1:32" ht="18.5">
      <c r="A111" s="119">
        <v>42</v>
      </c>
      <c r="B111" s="119">
        <v>12</v>
      </c>
      <c r="C111" s="119">
        <v>6.96</v>
      </c>
      <c r="D111" s="119">
        <v>7.4</v>
      </c>
      <c r="E111" s="130">
        <v>6.24</v>
      </c>
      <c r="F111" s="130">
        <v>5.66</v>
      </c>
      <c r="G111" s="130">
        <v>5.51</v>
      </c>
      <c r="H111" s="130">
        <v>5.2</v>
      </c>
      <c r="I111" s="130">
        <v>5.24</v>
      </c>
      <c r="J111" s="130">
        <v>5.24</v>
      </c>
      <c r="K111" s="130">
        <v>5.25</v>
      </c>
      <c r="L111" s="130"/>
      <c r="M111" s="130"/>
      <c r="N111" s="130"/>
      <c r="O111" s="130"/>
      <c r="P111" s="126"/>
      <c r="Q111" s="122"/>
      <c r="R111" s="186">
        <f t="shared" si="4"/>
        <v>7.18</v>
      </c>
      <c r="S111" s="123">
        <f t="shared" si="5"/>
        <v>0.2200000000000002</v>
      </c>
      <c r="T111" s="186">
        <f t="shared" si="6"/>
        <v>5.4771428571428578</v>
      </c>
      <c r="U111" s="123">
        <f t="shared" si="7"/>
        <v>0.1428738085517007</v>
      </c>
      <c r="V111" s="122"/>
    </row>
    <row r="112" spans="1:32" ht="18.5">
      <c r="A112" s="119">
        <v>43</v>
      </c>
      <c r="B112" s="119">
        <v>12</v>
      </c>
      <c r="C112" s="119">
        <v>7.41</v>
      </c>
      <c r="D112" s="119">
        <v>7.48</v>
      </c>
      <c r="E112" s="130">
        <v>5.51</v>
      </c>
      <c r="F112" s="130">
        <v>5.63</v>
      </c>
      <c r="G112" s="130">
        <v>5.36</v>
      </c>
      <c r="H112" s="130">
        <v>5.29</v>
      </c>
      <c r="I112" s="130">
        <v>5.32</v>
      </c>
      <c r="J112" s="130">
        <v>5.41</v>
      </c>
      <c r="K112" s="130">
        <v>5.51</v>
      </c>
      <c r="L112" s="130"/>
      <c r="M112" s="130"/>
      <c r="N112" s="130"/>
      <c r="O112" s="130"/>
      <c r="P112" s="126"/>
      <c r="Q112" s="122"/>
      <c r="R112" s="186">
        <f t="shared" si="4"/>
        <v>7.4450000000000003</v>
      </c>
      <c r="S112" s="123">
        <f t="shared" si="5"/>
        <v>3.5000000000000135E-2</v>
      </c>
      <c r="T112" s="186">
        <f t="shared" si="6"/>
        <v>5.4328571428571424</v>
      </c>
      <c r="U112" s="123">
        <f t="shared" si="7"/>
        <v>4.6224827678181188E-2</v>
      </c>
      <c r="V112" s="122"/>
    </row>
    <row r="113" spans="1:22" ht="18.5">
      <c r="A113" s="119">
        <v>44</v>
      </c>
      <c r="B113" s="119">
        <v>12</v>
      </c>
      <c r="C113" s="119">
        <v>7.49</v>
      </c>
      <c r="D113" s="119">
        <v>7.14</v>
      </c>
      <c r="E113" s="130">
        <v>5.69</v>
      </c>
      <c r="F113" s="130">
        <v>5.44</v>
      </c>
      <c r="G113" s="130">
        <v>5.28</v>
      </c>
      <c r="H113" s="130">
        <v>5.1100000000000003</v>
      </c>
      <c r="I113" s="130">
        <v>5.19</v>
      </c>
      <c r="J113" s="130">
        <v>5.27</v>
      </c>
      <c r="K113" s="130">
        <v>5.37</v>
      </c>
      <c r="L113" s="130"/>
      <c r="M113" s="130"/>
      <c r="N113" s="130"/>
      <c r="O113" s="130"/>
      <c r="P113" s="126"/>
      <c r="Q113" s="122"/>
      <c r="R113" s="186">
        <f t="shared" si="4"/>
        <v>7.3149999999999995</v>
      </c>
      <c r="S113" s="123">
        <f t="shared" si="5"/>
        <v>0.17500000000000024</v>
      </c>
      <c r="T113" s="186">
        <f t="shared" si="6"/>
        <v>5.3357142857142863</v>
      </c>
      <c r="U113" s="123">
        <f t="shared" si="7"/>
        <v>7.1907915414923071E-2</v>
      </c>
      <c r="V113" s="122"/>
    </row>
    <row r="114" spans="1:22" ht="18.5">
      <c r="A114" s="119">
        <v>45</v>
      </c>
      <c r="B114" s="119">
        <v>12</v>
      </c>
      <c r="C114" s="119">
        <v>6.83</v>
      </c>
      <c r="D114" s="119">
        <v>6.86</v>
      </c>
      <c r="E114" s="130">
        <v>5.84</v>
      </c>
      <c r="F114" s="130">
        <v>5.51</v>
      </c>
      <c r="G114" s="130">
        <v>5.42</v>
      </c>
      <c r="H114" s="130">
        <v>5.3</v>
      </c>
      <c r="I114" s="130">
        <v>5.28</v>
      </c>
      <c r="J114" s="130">
        <v>5.26</v>
      </c>
      <c r="K114" s="130">
        <v>5.29</v>
      </c>
      <c r="L114" s="130"/>
      <c r="M114" s="130"/>
      <c r="N114" s="130"/>
      <c r="O114" s="130"/>
      <c r="P114" s="126"/>
      <c r="Q114" s="122"/>
      <c r="R114" s="186">
        <f t="shared" si="4"/>
        <v>6.8450000000000006</v>
      </c>
      <c r="S114" s="123">
        <f t="shared" si="5"/>
        <v>1.5000000000000123E-2</v>
      </c>
      <c r="T114" s="186">
        <f t="shared" si="6"/>
        <v>5.4142857142857137</v>
      </c>
      <c r="U114" s="123">
        <f t="shared" si="7"/>
        <v>7.8796215248036899E-2</v>
      </c>
      <c r="V114" s="122"/>
    </row>
    <row r="115" spans="1:22" ht="18.5">
      <c r="A115" s="119">
        <v>46</v>
      </c>
      <c r="B115" s="119">
        <v>12</v>
      </c>
      <c r="C115" s="119">
        <v>7.35</v>
      </c>
      <c r="D115" s="119">
        <v>7.18</v>
      </c>
      <c r="E115" s="130">
        <v>5.81</v>
      </c>
      <c r="F115" s="130">
        <v>5.57</v>
      </c>
      <c r="G115" s="130">
        <v>5.59</v>
      </c>
      <c r="H115" s="130">
        <v>5.09</v>
      </c>
      <c r="I115" s="130">
        <v>5.21</v>
      </c>
      <c r="J115" s="130">
        <v>5.28</v>
      </c>
      <c r="K115" s="130">
        <v>5.32</v>
      </c>
      <c r="L115" s="130"/>
      <c r="M115" s="130"/>
      <c r="N115" s="130"/>
      <c r="O115" s="130"/>
      <c r="P115" s="126"/>
      <c r="Q115" s="122"/>
      <c r="R115" s="186">
        <f t="shared" si="4"/>
        <v>7.2649999999999997</v>
      </c>
      <c r="S115" s="123">
        <f t="shared" si="5"/>
        <v>8.4999999999999964E-2</v>
      </c>
      <c r="T115" s="186">
        <f t="shared" si="6"/>
        <v>5.4099999999999993</v>
      </c>
      <c r="U115" s="123">
        <f t="shared" si="7"/>
        <v>9.579243433690611E-2</v>
      </c>
      <c r="V115" s="122"/>
    </row>
    <row r="116" spans="1:22" ht="18.5">
      <c r="A116" s="119">
        <v>47</v>
      </c>
      <c r="B116" s="119">
        <v>12</v>
      </c>
      <c r="C116" s="119">
        <v>7.49</v>
      </c>
      <c r="D116" s="119">
        <v>7.4</v>
      </c>
      <c r="E116" s="130">
        <v>6.31</v>
      </c>
      <c r="F116" s="130">
        <v>5.55</v>
      </c>
      <c r="G116" s="130">
        <v>5.79</v>
      </c>
      <c r="H116" s="130">
        <v>5.41</v>
      </c>
      <c r="I116" s="130">
        <v>5.21</v>
      </c>
      <c r="J116" s="130">
        <v>5.24</v>
      </c>
      <c r="K116" s="130">
        <v>5.22</v>
      </c>
      <c r="L116" s="130"/>
      <c r="M116" s="130"/>
      <c r="N116" s="130"/>
      <c r="O116" s="130"/>
      <c r="P116" s="126"/>
      <c r="Q116" s="122"/>
      <c r="R116" s="186">
        <f t="shared" si="4"/>
        <v>7.4450000000000003</v>
      </c>
      <c r="S116" s="123">
        <f t="shared" si="5"/>
        <v>4.4999999999999929E-2</v>
      </c>
      <c r="T116" s="186">
        <f t="shared" si="6"/>
        <v>5.532857142857142</v>
      </c>
      <c r="U116" s="123">
        <f t="shared" si="7"/>
        <v>0.15223281489867019</v>
      </c>
      <c r="V116" s="122"/>
    </row>
    <row r="117" spans="1:22" ht="18.5">
      <c r="A117" s="119">
        <v>48</v>
      </c>
      <c r="B117" s="119">
        <v>12</v>
      </c>
      <c r="C117" s="119">
        <v>7.52</v>
      </c>
      <c r="D117" s="119">
        <v>7.49</v>
      </c>
      <c r="E117" s="130">
        <v>5.78</v>
      </c>
      <c r="F117" s="130">
        <v>5.76</v>
      </c>
      <c r="G117" s="130">
        <v>5.69</v>
      </c>
      <c r="H117" s="130">
        <v>5.17</v>
      </c>
      <c r="I117" s="130">
        <v>5.18</v>
      </c>
      <c r="J117" s="130">
        <v>5.21</v>
      </c>
      <c r="K117" s="130">
        <v>5.23</v>
      </c>
      <c r="L117" s="130"/>
      <c r="M117" s="130"/>
      <c r="N117" s="130"/>
      <c r="O117" s="130"/>
      <c r="P117" s="126"/>
      <c r="Q117" s="122"/>
      <c r="R117" s="186">
        <f t="shared" si="4"/>
        <v>7.5049999999999999</v>
      </c>
      <c r="S117" s="123">
        <f t="shared" si="5"/>
        <v>1.4999999999999679E-2</v>
      </c>
      <c r="T117" s="186">
        <f t="shared" si="6"/>
        <v>5.4314285714285706</v>
      </c>
      <c r="U117" s="123">
        <f t="shared" si="7"/>
        <v>0.11100039835682644</v>
      </c>
      <c r="V117" s="122"/>
    </row>
    <row r="118" spans="1:22" ht="18.5">
      <c r="A118" s="119">
        <v>49</v>
      </c>
      <c r="B118" s="119">
        <v>12</v>
      </c>
      <c r="C118" s="119">
        <v>7.54</v>
      </c>
      <c r="D118" s="119">
        <v>7.48</v>
      </c>
      <c r="E118" s="130">
        <v>6.21</v>
      </c>
      <c r="F118" s="130">
        <v>5.84</v>
      </c>
      <c r="G118" s="130">
        <v>5.65</v>
      </c>
      <c r="H118" s="130">
        <v>5.14</v>
      </c>
      <c r="I118" s="130">
        <v>5.12</v>
      </c>
      <c r="J118" s="130">
        <v>5.2</v>
      </c>
      <c r="K118" s="130">
        <v>5.3</v>
      </c>
      <c r="L118" s="130"/>
      <c r="M118" s="130"/>
      <c r="N118" s="130"/>
      <c r="O118" s="130"/>
      <c r="P118" s="126"/>
      <c r="Q118" s="122"/>
      <c r="R118" s="186">
        <f t="shared" si="4"/>
        <v>7.51</v>
      </c>
      <c r="S118" s="123">
        <f t="shared" si="5"/>
        <v>2.9999999999999805E-2</v>
      </c>
      <c r="T118" s="186">
        <f t="shared" si="6"/>
        <v>5.4942857142857147</v>
      </c>
      <c r="U118" s="123">
        <f t="shared" si="7"/>
        <v>0.15781027099860473</v>
      </c>
      <c r="V118" s="122"/>
    </row>
    <row r="119" spans="1:22" ht="18.5">
      <c r="A119" s="119">
        <v>50</v>
      </c>
      <c r="B119" s="119">
        <v>12</v>
      </c>
      <c r="C119" s="119">
        <v>7.54</v>
      </c>
      <c r="D119" s="119">
        <v>7.04</v>
      </c>
      <c r="E119" s="130">
        <v>6.15</v>
      </c>
      <c r="F119" s="130">
        <v>6</v>
      </c>
      <c r="G119" s="130">
        <v>5.84</v>
      </c>
      <c r="H119" s="130">
        <v>5.59</v>
      </c>
      <c r="I119" s="130">
        <v>5.21</v>
      </c>
      <c r="J119" s="130">
        <v>5.25</v>
      </c>
      <c r="K119" s="130">
        <v>5.4</v>
      </c>
      <c r="L119" s="130"/>
      <c r="M119" s="130"/>
      <c r="N119" s="130"/>
      <c r="O119" s="130"/>
      <c r="P119" s="126"/>
      <c r="Q119" s="122"/>
      <c r="R119" s="186">
        <f t="shared" si="4"/>
        <v>7.29</v>
      </c>
      <c r="S119" s="123">
        <f t="shared" si="5"/>
        <v>0.25</v>
      </c>
      <c r="T119" s="186">
        <f t="shared" si="6"/>
        <v>5.6342857142857152</v>
      </c>
      <c r="U119" s="123">
        <f t="shared" si="7"/>
        <v>0.14028639317069755</v>
      </c>
      <c r="V119" s="122"/>
    </row>
    <row r="120" spans="1:22" ht="18.5">
      <c r="A120" s="119">
        <v>52</v>
      </c>
      <c r="B120" s="119">
        <v>12</v>
      </c>
      <c r="C120" s="119">
        <v>7.38</v>
      </c>
      <c r="D120" s="119">
        <v>7.23</v>
      </c>
      <c r="E120" s="130">
        <v>6.11</v>
      </c>
      <c r="F120" s="130">
        <v>6.03</v>
      </c>
      <c r="G120" s="130">
        <v>5.86</v>
      </c>
      <c r="H120" s="130">
        <v>5.23</v>
      </c>
      <c r="I120" s="130">
        <v>5.25</v>
      </c>
      <c r="J120" s="130">
        <v>5.31</v>
      </c>
      <c r="K120" s="130">
        <v>5.46</v>
      </c>
      <c r="L120" s="130"/>
      <c r="M120" s="130"/>
      <c r="N120" s="130"/>
      <c r="O120" s="130"/>
      <c r="P120" s="126"/>
      <c r="Q120" s="122"/>
      <c r="R120" s="186">
        <f t="shared" si="4"/>
        <v>7.3049999999999997</v>
      </c>
      <c r="S120" s="123">
        <f t="shared" si="5"/>
        <v>7.4999999999999734E-2</v>
      </c>
      <c r="T120" s="186">
        <f t="shared" si="6"/>
        <v>5.6071428571428568</v>
      </c>
      <c r="U120" s="123">
        <f t="shared" si="7"/>
        <v>0.14436584290835372</v>
      </c>
      <c r="V120" s="122"/>
    </row>
    <row r="121" spans="1:22" ht="18.5">
      <c r="A121" s="119">
        <v>53</v>
      </c>
      <c r="B121" s="119">
        <v>12</v>
      </c>
      <c r="C121" s="119">
        <v>7.58</v>
      </c>
      <c r="D121" s="119">
        <v>7.48</v>
      </c>
      <c r="E121" s="130">
        <v>5.81</v>
      </c>
      <c r="F121" s="130">
        <v>5.97</v>
      </c>
      <c r="G121" s="130">
        <v>5.83</v>
      </c>
      <c r="H121" s="130">
        <v>5.33</v>
      </c>
      <c r="I121" s="130">
        <v>5.29</v>
      </c>
      <c r="J121" s="130">
        <v>5.32</v>
      </c>
      <c r="K121" s="130">
        <v>5.4</v>
      </c>
      <c r="L121" s="130"/>
      <c r="M121" s="130"/>
      <c r="N121" s="130"/>
      <c r="O121" s="130"/>
      <c r="P121" s="126"/>
      <c r="Q121" s="122"/>
      <c r="R121" s="186">
        <f t="shared" si="4"/>
        <v>7.53</v>
      </c>
      <c r="S121" s="123">
        <f t="shared" si="5"/>
        <v>4.9999999999999822E-2</v>
      </c>
      <c r="T121" s="186">
        <f t="shared" si="6"/>
        <v>5.5642857142857141</v>
      </c>
      <c r="U121" s="123">
        <f t="shared" si="7"/>
        <v>0.11045053068179952</v>
      </c>
      <c r="V121" s="122"/>
    </row>
    <row r="122" spans="1:22" ht="18.5">
      <c r="A122" s="119">
        <v>54</v>
      </c>
      <c r="B122" s="119">
        <v>12</v>
      </c>
      <c r="C122" s="119">
        <v>7.64</v>
      </c>
      <c r="D122" s="119">
        <v>7.59</v>
      </c>
      <c r="E122" s="130">
        <v>5.77</v>
      </c>
      <c r="F122" s="130">
        <v>5.89</v>
      </c>
      <c r="G122" s="130">
        <v>5.9</v>
      </c>
      <c r="H122" s="130">
        <v>5.23</v>
      </c>
      <c r="I122" s="130">
        <v>5.38</v>
      </c>
      <c r="J122" s="130">
        <v>5.42</v>
      </c>
      <c r="K122" s="130">
        <v>5.57</v>
      </c>
      <c r="L122" s="130"/>
      <c r="M122" s="130"/>
      <c r="N122" s="130"/>
      <c r="O122" s="130"/>
      <c r="P122" s="126"/>
      <c r="Q122" s="122"/>
      <c r="R122" s="186">
        <f t="shared" si="4"/>
        <v>7.6150000000000002</v>
      </c>
      <c r="S122" s="123">
        <f t="shared" si="5"/>
        <v>2.4999999999999911E-2</v>
      </c>
      <c r="T122" s="186">
        <f t="shared" si="6"/>
        <v>5.5942857142857152</v>
      </c>
      <c r="U122" s="123">
        <f t="shared" si="7"/>
        <v>0.10016313224547484</v>
      </c>
      <c r="V122" s="122"/>
    </row>
    <row r="123" spans="1:22" ht="18.5">
      <c r="A123" s="119">
        <v>55</v>
      </c>
      <c r="B123" s="119">
        <v>12</v>
      </c>
      <c r="C123" s="119">
        <v>7.64</v>
      </c>
      <c r="D123" s="119">
        <v>7.6</v>
      </c>
      <c r="E123" s="130">
        <v>5.74</v>
      </c>
      <c r="F123" s="130">
        <v>5.65</v>
      </c>
      <c r="G123" s="130">
        <v>5.66</v>
      </c>
      <c r="H123" s="130">
        <v>5.2</v>
      </c>
      <c r="I123" s="130">
        <v>5.38</v>
      </c>
      <c r="J123" s="130">
        <v>5.52</v>
      </c>
      <c r="K123" s="130">
        <v>5.8</v>
      </c>
      <c r="L123" s="130"/>
      <c r="M123" s="130"/>
      <c r="N123" s="130"/>
      <c r="O123" s="130"/>
      <c r="P123" s="126"/>
      <c r="Q123" s="122"/>
      <c r="R123" s="186">
        <f t="shared" si="4"/>
        <v>7.6199999999999992</v>
      </c>
      <c r="S123" s="123">
        <f t="shared" si="5"/>
        <v>2.0000000000000018E-2</v>
      </c>
      <c r="T123" s="186">
        <f t="shared" si="6"/>
        <v>5.5642857142857141</v>
      </c>
      <c r="U123" s="123">
        <f t="shared" si="7"/>
        <v>8.0411357372934714E-2</v>
      </c>
      <c r="V123" s="122"/>
    </row>
    <row r="124" spans="1:22" ht="18.5">
      <c r="A124" s="119">
        <v>56</v>
      </c>
      <c r="B124" s="119">
        <v>1.1000000000000001</v>
      </c>
      <c r="C124" s="119">
        <v>7.25</v>
      </c>
      <c r="D124" s="119">
        <v>5.81</v>
      </c>
      <c r="E124" s="130">
        <v>6.08</v>
      </c>
      <c r="F124" s="130">
        <v>6.32</v>
      </c>
      <c r="G124" s="130">
        <v>7.21</v>
      </c>
      <c r="H124" s="130">
        <v>7.08</v>
      </c>
      <c r="I124" s="130">
        <v>6.94</v>
      </c>
      <c r="J124" s="130">
        <v>6.24</v>
      </c>
      <c r="K124" s="130">
        <v>6.2</v>
      </c>
      <c r="L124" s="130"/>
      <c r="M124" s="130"/>
      <c r="N124" s="130"/>
      <c r="O124" s="130"/>
      <c r="P124" s="126"/>
      <c r="Q124" s="122"/>
      <c r="R124" s="186">
        <f t="shared" si="4"/>
        <v>6.5299999999999994</v>
      </c>
      <c r="S124" s="123">
        <f t="shared" si="5"/>
        <v>0.72000000000000475</v>
      </c>
      <c r="T124" s="186">
        <f t="shared" si="6"/>
        <v>6.5814285714285718</v>
      </c>
      <c r="U124" s="123">
        <f t="shared" si="7"/>
        <v>0.17955538436488547</v>
      </c>
      <c r="V124" s="122"/>
    </row>
    <row r="125" spans="1:22" ht="18.5">
      <c r="A125" s="119">
        <v>57</v>
      </c>
      <c r="B125" s="119">
        <v>1.1000000000000001</v>
      </c>
      <c r="C125" s="119">
        <v>7.08</v>
      </c>
      <c r="D125" s="119">
        <v>5.79</v>
      </c>
      <c r="E125" s="130">
        <v>6.12</v>
      </c>
      <c r="F125" s="130">
        <v>6.64</v>
      </c>
      <c r="G125" s="130">
        <v>7.18</v>
      </c>
      <c r="H125" s="130">
        <v>6.94</v>
      </c>
      <c r="I125" s="130">
        <v>6.95</v>
      </c>
      <c r="J125" s="130">
        <v>6.26</v>
      </c>
      <c r="K125" s="130">
        <v>6.15</v>
      </c>
      <c r="L125" s="130"/>
      <c r="M125" s="130"/>
      <c r="N125" s="130"/>
      <c r="O125" s="130"/>
      <c r="P125" s="126"/>
      <c r="Q125" s="122"/>
      <c r="R125" s="186">
        <f t="shared" si="4"/>
        <v>6.4350000000000005</v>
      </c>
      <c r="S125" s="123">
        <f t="shared" si="5"/>
        <v>0.64499999999999991</v>
      </c>
      <c r="T125" s="186">
        <f t="shared" si="6"/>
        <v>6.605714285714285</v>
      </c>
      <c r="U125" s="123">
        <f t="shared" si="7"/>
        <v>0.16361768944499772</v>
      </c>
      <c r="V125" s="122"/>
    </row>
    <row r="126" spans="1:22" ht="18.5">
      <c r="A126" s="119">
        <v>58</v>
      </c>
      <c r="B126" s="119">
        <v>1.1000000000000001</v>
      </c>
      <c r="C126" s="119">
        <v>7.03</v>
      </c>
      <c r="D126" s="119">
        <v>5.72</v>
      </c>
      <c r="E126" s="130">
        <v>6.18</v>
      </c>
      <c r="F126" s="130">
        <v>6.75</v>
      </c>
      <c r="G126" s="130">
        <v>7.12</v>
      </c>
      <c r="H126" s="130">
        <v>6.96</v>
      </c>
      <c r="I126" s="130">
        <v>7.1</v>
      </c>
      <c r="J126" s="130">
        <v>6.28</v>
      </c>
      <c r="K126" s="130">
        <v>6.18</v>
      </c>
      <c r="L126" s="130"/>
      <c r="M126" s="130"/>
      <c r="N126" s="130"/>
      <c r="O126" s="130"/>
      <c r="P126" s="126"/>
      <c r="Q126" s="122"/>
      <c r="R126" s="186">
        <f t="shared" si="4"/>
        <v>6.375</v>
      </c>
      <c r="S126" s="123">
        <f t="shared" si="5"/>
        <v>0.6549999999999967</v>
      </c>
      <c r="T126" s="186">
        <f t="shared" si="6"/>
        <v>6.652857142857143</v>
      </c>
      <c r="U126" s="123">
        <f t="shared" si="7"/>
        <v>0.16243261292454972</v>
      </c>
      <c r="V126" s="122"/>
    </row>
    <row r="127" spans="1:22" ht="18.5">
      <c r="A127" s="119">
        <v>59</v>
      </c>
      <c r="B127" s="119">
        <v>1.1000000000000001</v>
      </c>
      <c r="C127" s="119">
        <v>6.95</v>
      </c>
      <c r="D127" s="119">
        <v>5.69</v>
      </c>
      <c r="E127" s="130">
        <v>6.18</v>
      </c>
      <c r="F127" s="130">
        <v>6.75</v>
      </c>
      <c r="G127" s="130">
        <v>7</v>
      </c>
      <c r="H127" s="130">
        <v>6.99</v>
      </c>
      <c r="I127" s="130">
        <v>7.11</v>
      </c>
      <c r="J127" s="130">
        <v>6.32</v>
      </c>
      <c r="K127" s="130">
        <v>6.2</v>
      </c>
      <c r="L127" s="130"/>
      <c r="M127" s="130"/>
      <c r="N127" s="130"/>
      <c r="O127" s="130"/>
      <c r="P127" s="126"/>
      <c r="Q127" s="122"/>
      <c r="R127" s="186">
        <f t="shared" si="4"/>
        <v>6.32</v>
      </c>
      <c r="S127" s="123">
        <f t="shared" si="5"/>
        <v>0.62999999999999989</v>
      </c>
      <c r="T127" s="186">
        <f t="shared" si="6"/>
        <v>6.65</v>
      </c>
      <c r="U127" s="123">
        <f t="shared" si="7"/>
        <v>0.15368489717290904</v>
      </c>
      <c r="V127" s="122"/>
    </row>
    <row r="128" spans="1:22" ht="18.5">
      <c r="A128" s="119">
        <v>60</v>
      </c>
      <c r="B128" s="119">
        <v>1.1000000000000001</v>
      </c>
      <c r="C128" s="119">
        <v>6.92</v>
      </c>
      <c r="D128" s="119">
        <v>5.66</v>
      </c>
      <c r="E128" s="130">
        <v>6.22</v>
      </c>
      <c r="F128" s="130">
        <v>6.71</v>
      </c>
      <c r="G128" s="130">
        <v>6.87</v>
      </c>
      <c r="H128" s="130">
        <v>7.02</v>
      </c>
      <c r="I128" s="130">
        <v>7.16</v>
      </c>
      <c r="J128" s="130">
        <v>6.32</v>
      </c>
      <c r="K128" s="130">
        <v>6.2</v>
      </c>
      <c r="L128" s="130"/>
      <c r="M128" s="130"/>
      <c r="N128" s="130"/>
      <c r="O128" s="130"/>
      <c r="P128" s="126"/>
      <c r="Q128" s="122"/>
      <c r="R128" s="186">
        <f t="shared" si="4"/>
        <v>6.29</v>
      </c>
      <c r="S128" s="123">
        <f t="shared" si="5"/>
        <v>0.62999999999999989</v>
      </c>
      <c r="T128" s="186">
        <f t="shared" si="6"/>
        <v>6.6428571428571441</v>
      </c>
      <c r="U128" s="123">
        <f t="shared" si="7"/>
        <v>0.14999546478404707</v>
      </c>
      <c r="V128" s="122"/>
    </row>
    <row r="129" spans="1:33" ht="18.5">
      <c r="A129" s="119">
        <v>61</v>
      </c>
      <c r="B129" s="119">
        <v>1.1000000000000001</v>
      </c>
      <c r="C129" s="119">
        <v>6.94</v>
      </c>
      <c r="D129" s="119">
        <v>5.57</v>
      </c>
      <c r="E129" s="166">
        <v>6.33</v>
      </c>
      <c r="F129" s="130">
        <v>6.71</v>
      </c>
      <c r="G129" s="130">
        <v>6.76</v>
      </c>
      <c r="H129" s="130">
        <v>7.04</v>
      </c>
      <c r="I129" s="130">
        <v>7.2</v>
      </c>
      <c r="J129" s="130">
        <v>6.26</v>
      </c>
      <c r="K129" s="130">
        <v>6.21</v>
      </c>
      <c r="L129" s="130"/>
      <c r="M129" s="130"/>
      <c r="N129" s="130"/>
      <c r="O129" s="130"/>
      <c r="P129" s="119"/>
      <c r="Q129" s="122"/>
      <c r="R129" s="186">
        <f t="shared" si="4"/>
        <v>6.2550000000000008</v>
      </c>
      <c r="S129" s="123">
        <f t="shared" si="5"/>
        <v>0.68499999999999595</v>
      </c>
      <c r="T129" s="186">
        <f t="shared" si="6"/>
        <v>6.6442857142857141</v>
      </c>
      <c r="U129" s="123">
        <f t="shared" si="7"/>
        <v>0.14785541751926415</v>
      </c>
      <c r="V129" s="122"/>
    </row>
    <row r="131" spans="1:33" ht="18.5">
      <c r="E131" s="127"/>
      <c r="F131" s="128"/>
      <c r="N131" s="127"/>
      <c r="O131" s="128"/>
      <c r="W131" s="127"/>
      <c r="X131" s="128"/>
      <c r="AF131" s="127"/>
      <c r="AG131" s="128"/>
    </row>
    <row r="158" spans="5:33" ht="18.5">
      <c r="E158" s="127"/>
      <c r="F158" s="131"/>
      <c r="N158" s="119"/>
      <c r="O158" s="131"/>
      <c r="W158" s="127"/>
      <c r="X158" s="131"/>
      <c r="AF158" s="119"/>
      <c r="AG158" s="131"/>
    </row>
  </sheetData>
  <mergeCells count="6">
    <mergeCell ref="A3:A4"/>
    <mergeCell ref="B3:B4"/>
    <mergeCell ref="C3:P3"/>
    <mergeCell ref="A68:A69"/>
    <mergeCell ref="B68:B69"/>
    <mergeCell ref="C68:P68"/>
  </mergeCells>
  <pageMargins left="0.23622047244094491" right="0.23622047244094491" top="0.19685039370078741" bottom="0.15748031496062992" header="0" footer="0"/>
  <pageSetup scale="22" orientation="landscape" r:id="rId1"/>
  <headerFooter>
    <oddHeader>&amp;R&amp;"Calibri"&amp;10&amp;K000000 Unclassified / Non classifié&amp;1#_x000D_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F1EC-668A-437A-B47A-65755C0D99E3}">
  <dimension ref="A1:AT108"/>
  <sheetViews>
    <sheetView topLeftCell="J1" zoomScale="69" zoomScaleNormal="69" workbookViewId="0">
      <selection activeCell="T62" sqref="T62"/>
    </sheetView>
  </sheetViews>
  <sheetFormatPr defaultRowHeight="14.5"/>
  <cols>
    <col min="1" max="1" width="8.54296875" customWidth="1"/>
    <col min="2" max="2" width="18.7265625" bestFit="1" customWidth="1"/>
    <col min="3" max="3" width="11.7265625" bestFit="1" customWidth="1"/>
    <col min="4" max="5" width="12.54296875" bestFit="1" customWidth="1"/>
    <col min="6" max="6" width="13" bestFit="1" customWidth="1"/>
    <col min="7" max="7" width="13" style="112" bestFit="1" customWidth="1"/>
    <col min="8" max="8" width="12.7265625" style="112" bestFit="1" customWidth="1"/>
    <col min="9" max="10" width="13" style="112" bestFit="1" customWidth="1"/>
    <col min="11" max="11" width="12.54296875" bestFit="1" customWidth="1"/>
    <col min="12" max="12" width="11.26953125" style="112" customWidth="1"/>
    <col min="13" max="13" width="12" style="112" bestFit="1" customWidth="1"/>
    <col min="14" max="14" width="12.453125" style="112" bestFit="1" customWidth="1"/>
    <col min="15" max="15" width="9.54296875" style="112" customWidth="1"/>
    <col min="16" max="16" width="10.453125" style="112" bestFit="1" customWidth="1"/>
    <col min="17" max="17" width="11.54296875" bestFit="1" customWidth="1"/>
    <col min="18" max="18" width="13.26953125" bestFit="1" customWidth="1"/>
    <col min="19" max="19" width="9.7265625" bestFit="1" customWidth="1"/>
    <col min="20" max="21" width="11.26953125" bestFit="1" customWidth="1"/>
    <col min="22" max="22" width="11.54296875" customWidth="1"/>
    <col min="23" max="23" width="11.453125" customWidth="1"/>
    <col min="24" max="24" width="11.7265625" bestFit="1" customWidth="1"/>
    <col min="25" max="25" width="11.453125" bestFit="1" customWidth="1"/>
    <col min="26" max="28" width="11.7265625" bestFit="1" customWidth="1"/>
    <col min="29" max="29" width="10.7265625" bestFit="1" customWidth="1"/>
    <col min="34" max="40" width="10.26953125" bestFit="1" customWidth="1"/>
  </cols>
  <sheetData>
    <row r="1" spans="1:18" ht="18.5">
      <c r="A1" s="42" t="s">
        <v>847</v>
      </c>
      <c r="B1" s="110"/>
      <c r="C1" s="110"/>
      <c r="D1" s="110"/>
      <c r="E1" s="110"/>
      <c r="F1" s="110"/>
      <c r="G1"/>
    </row>
    <row r="2" spans="1:18" ht="18.5">
      <c r="A2" s="42"/>
      <c r="B2" s="110"/>
      <c r="C2" s="110"/>
      <c r="D2" s="110"/>
      <c r="E2" s="110"/>
      <c r="F2" s="110"/>
      <c r="G2"/>
    </row>
    <row r="3" spans="1:18" ht="18.5">
      <c r="A3" s="176" t="s">
        <v>990</v>
      </c>
      <c r="B3" s="110"/>
      <c r="C3" s="110"/>
      <c r="D3" s="110"/>
      <c r="E3" s="110"/>
      <c r="F3" s="110"/>
      <c r="G3"/>
    </row>
    <row r="4" spans="1:18" ht="16.149999999999999" customHeight="1">
      <c r="A4" s="240" t="s">
        <v>100</v>
      </c>
      <c r="B4" s="240" t="s">
        <v>825</v>
      </c>
      <c r="C4" s="243" t="s">
        <v>822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97" t="s">
        <v>829</v>
      </c>
    </row>
    <row r="5" spans="1:18" ht="16.149999999999999" customHeight="1">
      <c r="A5" s="241"/>
      <c r="B5" s="242"/>
      <c r="C5" s="132">
        <v>45357</v>
      </c>
      <c r="D5" s="133">
        <v>45364</v>
      </c>
      <c r="E5" s="133" t="s">
        <v>989</v>
      </c>
      <c r="F5" s="133">
        <v>45378</v>
      </c>
      <c r="G5" s="134">
        <v>45385</v>
      </c>
      <c r="H5" s="133">
        <v>45392</v>
      </c>
      <c r="I5" s="133" t="s">
        <v>1047</v>
      </c>
      <c r="J5" s="133">
        <v>45406</v>
      </c>
      <c r="K5" s="133">
        <v>45413</v>
      </c>
      <c r="L5" s="133">
        <v>45420</v>
      </c>
      <c r="M5" s="133">
        <v>45427</v>
      </c>
      <c r="N5" s="133">
        <v>45434</v>
      </c>
      <c r="O5" s="133"/>
      <c r="P5" s="133"/>
      <c r="Q5" s="109" t="s">
        <v>830</v>
      </c>
      <c r="R5" s="109" t="s">
        <v>831</v>
      </c>
    </row>
    <row r="6" spans="1:18" ht="15.75" customHeight="1">
      <c r="A6" s="108">
        <v>1</v>
      </c>
      <c r="B6" s="135">
        <v>12</v>
      </c>
      <c r="C6" s="136">
        <v>40</v>
      </c>
      <c r="D6" s="136">
        <v>30</v>
      </c>
      <c r="E6" s="136">
        <v>40</v>
      </c>
      <c r="F6" s="136">
        <v>20</v>
      </c>
      <c r="G6" s="137">
        <v>30</v>
      </c>
      <c r="H6" s="137">
        <v>35</v>
      </c>
      <c r="I6" s="137">
        <v>60</v>
      </c>
      <c r="J6" s="137">
        <v>45</v>
      </c>
      <c r="K6" s="137">
        <v>55</v>
      </c>
      <c r="L6" s="155">
        <v>55</v>
      </c>
      <c r="M6" s="155">
        <v>65</v>
      </c>
      <c r="N6" s="155">
        <v>50</v>
      </c>
      <c r="O6" s="137"/>
      <c r="P6" s="137"/>
      <c r="Q6" s="138">
        <f t="shared" ref="Q6:Q41" si="0">SUM(C6:P6)</f>
        <v>525</v>
      </c>
      <c r="R6" s="177">
        <f t="shared" ref="R6:R41" si="1">(Q6*3.14)*(0.475*0.475)</f>
        <v>371.9428125</v>
      </c>
    </row>
    <row r="7" spans="1:18" ht="15.75" customHeight="1">
      <c r="A7" s="108">
        <v>2</v>
      </c>
      <c r="B7" s="135">
        <v>12</v>
      </c>
      <c r="C7" s="136">
        <v>40</v>
      </c>
      <c r="D7" s="136">
        <v>30</v>
      </c>
      <c r="E7" s="136">
        <v>40</v>
      </c>
      <c r="F7" s="136">
        <v>20</v>
      </c>
      <c r="G7" s="137">
        <v>30</v>
      </c>
      <c r="H7" s="137">
        <v>35</v>
      </c>
      <c r="I7" s="137">
        <v>60</v>
      </c>
      <c r="J7" s="137">
        <v>40</v>
      </c>
      <c r="K7" s="137">
        <v>50</v>
      </c>
      <c r="L7" s="155">
        <v>50</v>
      </c>
      <c r="M7" s="155">
        <v>60</v>
      </c>
      <c r="N7" s="155">
        <v>50</v>
      </c>
      <c r="O7" s="137"/>
      <c r="P7" s="137"/>
      <c r="Q7" s="138">
        <f t="shared" si="0"/>
        <v>505</v>
      </c>
      <c r="R7" s="177">
        <f t="shared" si="1"/>
        <v>357.77356250000003</v>
      </c>
    </row>
    <row r="8" spans="1:18" ht="15.75" customHeight="1">
      <c r="A8" s="108">
        <v>3</v>
      </c>
      <c r="B8" s="135">
        <v>12</v>
      </c>
      <c r="C8" s="136">
        <v>45</v>
      </c>
      <c r="D8" s="136">
        <v>30</v>
      </c>
      <c r="E8" s="136">
        <v>40</v>
      </c>
      <c r="F8" s="136">
        <v>15</v>
      </c>
      <c r="G8" s="137">
        <v>30</v>
      </c>
      <c r="H8" s="137">
        <v>35</v>
      </c>
      <c r="I8" s="137">
        <v>45</v>
      </c>
      <c r="J8" s="137">
        <v>30</v>
      </c>
      <c r="K8" s="137">
        <v>45</v>
      </c>
      <c r="L8" s="155">
        <v>35</v>
      </c>
      <c r="M8" s="155">
        <v>40</v>
      </c>
      <c r="N8" s="155">
        <v>35</v>
      </c>
      <c r="O8" s="137"/>
      <c r="P8" s="137"/>
      <c r="Q8" s="138">
        <f t="shared" si="0"/>
        <v>425</v>
      </c>
      <c r="R8" s="177">
        <f t="shared" si="1"/>
        <v>301.0965625</v>
      </c>
    </row>
    <row r="9" spans="1:18" ht="15.75" customHeight="1">
      <c r="A9" s="108">
        <v>4</v>
      </c>
      <c r="B9" s="135">
        <v>12</v>
      </c>
      <c r="C9" s="136">
        <v>40</v>
      </c>
      <c r="D9" s="136">
        <v>30</v>
      </c>
      <c r="E9" s="136">
        <v>40</v>
      </c>
      <c r="F9" s="136">
        <v>20</v>
      </c>
      <c r="G9" s="137">
        <v>30</v>
      </c>
      <c r="H9" s="137">
        <v>30</v>
      </c>
      <c r="I9" s="137">
        <v>40</v>
      </c>
      <c r="J9" s="137">
        <v>15</v>
      </c>
      <c r="K9" s="137">
        <v>40</v>
      </c>
      <c r="L9" s="155">
        <v>35</v>
      </c>
      <c r="M9" s="155">
        <v>45</v>
      </c>
      <c r="N9" s="155">
        <v>35</v>
      </c>
      <c r="O9" s="137"/>
      <c r="P9" s="137"/>
      <c r="Q9" s="138">
        <f t="shared" si="0"/>
        <v>400</v>
      </c>
      <c r="R9" s="177">
        <f t="shared" si="1"/>
        <v>283.38499999999999</v>
      </c>
    </row>
    <row r="10" spans="1:18" ht="15.75" customHeight="1">
      <c r="A10" s="108">
        <v>5</v>
      </c>
      <c r="B10" s="135">
        <v>12</v>
      </c>
      <c r="C10" s="136">
        <v>40</v>
      </c>
      <c r="D10" s="136">
        <v>40</v>
      </c>
      <c r="E10" s="136">
        <v>40</v>
      </c>
      <c r="F10" s="136">
        <v>20</v>
      </c>
      <c r="G10" s="137">
        <v>60</v>
      </c>
      <c r="H10" s="137">
        <v>65</v>
      </c>
      <c r="I10" s="137">
        <v>105</v>
      </c>
      <c r="J10" s="137">
        <v>60</v>
      </c>
      <c r="K10" s="137">
        <v>100</v>
      </c>
      <c r="L10" s="155">
        <v>75</v>
      </c>
      <c r="M10" s="155">
        <v>80</v>
      </c>
      <c r="N10" s="155">
        <v>70</v>
      </c>
      <c r="O10" s="137"/>
      <c r="P10" s="137"/>
      <c r="Q10" s="138">
        <f t="shared" si="0"/>
        <v>755</v>
      </c>
      <c r="R10" s="177">
        <f t="shared" si="1"/>
        <v>534.88918750000005</v>
      </c>
    </row>
    <row r="11" spans="1:18" ht="15.75" customHeight="1">
      <c r="A11" s="108">
        <v>6</v>
      </c>
      <c r="B11" s="135">
        <v>12</v>
      </c>
      <c r="C11" s="136">
        <v>35</v>
      </c>
      <c r="D11" s="136">
        <v>25</v>
      </c>
      <c r="E11" s="136">
        <v>40</v>
      </c>
      <c r="F11" s="136">
        <v>10</v>
      </c>
      <c r="G11" s="137">
        <v>25</v>
      </c>
      <c r="H11" s="137">
        <v>25</v>
      </c>
      <c r="I11" s="137">
        <v>55</v>
      </c>
      <c r="J11" s="137">
        <v>30</v>
      </c>
      <c r="K11" s="137">
        <v>55</v>
      </c>
      <c r="L11" s="155">
        <v>50</v>
      </c>
      <c r="M11" s="155">
        <v>55</v>
      </c>
      <c r="N11" s="155">
        <v>55</v>
      </c>
      <c r="O11" s="137"/>
      <c r="P11" s="137"/>
      <c r="Q11" s="138">
        <f t="shared" si="0"/>
        <v>460</v>
      </c>
      <c r="R11" s="177">
        <f t="shared" si="1"/>
        <v>325.89275000000004</v>
      </c>
    </row>
    <row r="12" spans="1:18" ht="15.75" customHeight="1">
      <c r="A12" s="108">
        <v>7</v>
      </c>
      <c r="B12" s="135">
        <v>12</v>
      </c>
      <c r="C12" s="136">
        <v>40</v>
      </c>
      <c r="D12" s="136">
        <v>30</v>
      </c>
      <c r="E12" s="136">
        <v>40</v>
      </c>
      <c r="F12" s="136">
        <v>20</v>
      </c>
      <c r="G12" s="137">
        <v>25</v>
      </c>
      <c r="H12" s="137">
        <v>30</v>
      </c>
      <c r="I12" s="137">
        <v>45</v>
      </c>
      <c r="J12" s="137">
        <v>25</v>
      </c>
      <c r="K12" s="137">
        <v>35</v>
      </c>
      <c r="L12" s="155">
        <v>40</v>
      </c>
      <c r="M12" s="155">
        <v>45</v>
      </c>
      <c r="N12" s="155">
        <v>40</v>
      </c>
      <c r="O12" s="137"/>
      <c r="P12" s="137"/>
      <c r="Q12" s="138">
        <f t="shared" si="0"/>
        <v>415</v>
      </c>
      <c r="R12" s="177">
        <f t="shared" si="1"/>
        <v>294.01193750000004</v>
      </c>
    </row>
    <row r="13" spans="1:18" ht="15.75" customHeight="1">
      <c r="A13" s="108">
        <v>8</v>
      </c>
      <c r="B13" s="135">
        <v>12</v>
      </c>
      <c r="C13" s="136">
        <v>45</v>
      </c>
      <c r="D13" s="136">
        <v>30</v>
      </c>
      <c r="E13" s="136">
        <v>40</v>
      </c>
      <c r="F13" s="136">
        <v>25</v>
      </c>
      <c r="G13" s="137">
        <v>25</v>
      </c>
      <c r="H13" s="137">
        <v>55</v>
      </c>
      <c r="I13" s="137">
        <v>90</v>
      </c>
      <c r="J13" s="137">
        <v>50</v>
      </c>
      <c r="K13" s="137">
        <v>90</v>
      </c>
      <c r="L13" s="155">
        <v>65</v>
      </c>
      <c r="M13" s="155">
        <v>60</v>
      </c>
      <c r="N13" s="155">
        <v>45</v>
      </c>
      <c r="O13" s="137"/>
      <c r="P13" s="137"/>
      <c r="Q13" s="138">
        <f t="shared" si="0"/>
        <v>620</v>
      </c>
      <c r="R13" s="177">
        <f t="shared" si="1"/>
        <v>439.24675000000002</v>
      </c>
    </row>
    <row r="14" spans="1:18" ht="15.75" customHeight="1">
      <c r="A14" s="108">
        <v>9</v>
      </c>
      <c r="B14" s="135">
        <v>12</v>
      </c>
      <c r="C14" s="136">
        <v>45</v>
      </c>
      <c r="D14" s="136">
        <v>25</v>
      </c>
      <c r="E14" s="136">
        <v>40</v>
      </c>
      <c r="F14" s="136">
        <v>20</v>
      </c>
      <c r="G14" s="137">
        <v>35</v>
      </c>
      <c r="H14" s="137">
        <v>45</v>
      </c>
      <c r="I14" s="137">
        <v>65</v>
      </c>
      <c r="J14" s="137">
        <v>35</v>
      </c>
      <c r="K14" s="137">
        <v>55</v>
      </c>
      <c r="L14" s="155">
        <v>50</v>
      </c>
      <c r="M14" s="155">
        <v>60</v>
      </c>
      <c r="N14" s="155">
        <v>45</v>
      </c>
      <c r="O14" s="137"/>
      <c r="P14" s="137"/>
      <c r="Q14" s="138">
        <f t="shared" si="0"/>
        <v>520</v>
      </c>
      <c r="R14" s="177">
        <f t="shared" si="1"/>
        <v>368.40049999999997</v>
      </c>
    </row>
    <row r="15" spans="1:18" ht="15.75" customHeight="1">
      <c r="A15" s="108">
        <v>10</v>
      </c>
      <c r="B15" s="135">
        <v>12</v>
      </c>
      <c r="C15" s="136">
        <v>50</v>
      </c>
      <c r="D15" s="136">
        <v>35</v>
      </c>
      <c r="E15" s="136">
        <v>40</v>
      </c>
      <c r="F15" s="136">
        <v>25</v>
      </c>
      <c r="G15" s="137">
        <v>35</v>
      </c>
      <c r="H15" s="137">
        <v>55</v>
      </c>
      <c r="I15" s="137">
        <v>75</v>
      </c>
      <c r="J15" s="137">
        <v>45</v>
      </c>
      <c r="K15" s="137">
        <v>60</v>
      </c>
      <c r="L15" s="155">
        <v>60</v>
      </c>
      <c r="M15" s="155">
        <v>60</v>
      </c>
      <c r="N15" s="155">
        <v>50</v>
      </c>
      <c r="O15" s="137"/>
      <c r="P15" s="137"/>
      <c r="Q15" s="138">
        <f t="shared" si="0"/>
        <v>590</v>
      </c>
      <c r="R15" s="177">
        <f t="shared" si="1"/>
        <v>417.99287500000003</v>
      </c>
    </row>
    <row r="16" spans="1:18" ht="15.75" customHeight="1">
      <c r="A16" s="108">
        <v>11</v>
      </c>
      <c r="B16" s="135">
        <v>12</v>
      </c>
      <c r="C16" s="136">
        <v>40</v>
      </c>
      <c r="D16" s="136">
        <v>30</v>
      </c>
      <c r="E16" s="136">
        <v>40</v>
      </c>
      <c r="F16" s="136">
        <v>20</v>
      </c>
      <c r="G16" s="137">
        <v>30</v>
      </c>
      <c r="H16" s="137">
        <v>40</v>
      </c>
      <c r="I16" s="137">
        <v>55</v>
      </c>
      <c r="J16" s="137">
        <v>35</v>
      </c>
      <c r="K16" s="137">
        <v>40</v>
      </c>
      <c r="L16" s="155">
        <v>40</v>
      </c>
      <c r="M16" s="155">
        <v>50</v>
      </c>
      <c r="N16" s="155">
        <v>40</v>
      </c>
      <c r="O16" s="137"/>
      <c r="P16" s="137"/>
      <c r="Q16" s="138">
        <f t="shared" si="0"/>
        <v>460</v>
      </c>
      <c r="R16" s="177">
        <f t="shared" si="1"/>
        <v>325.89275000000004</v>
      </c>
    </row>
    <row r="17" spans="1:46" ht="15.75" customHeight="1">
      <c r="A17" s="108">
        <v>12</v>
      </c>
      <c r="B17" s="135">
        <v>12</v>
      </c>
      <c r="C17" s="136">
        <v>40</v>
      </c>
      <c r="D17" s="136">
        <v>25</v>
      </c>
      <c r="E17" s="136">
        <v>40</v>
      </c>
      <c r="F17" s="136">
        <v>30</v>
      </c>
      <c r="G17" s="137">
        <v>30</v>
      </c>
      <c r="H17" s="137">
        <v>50</v>
      </c>
      <c r="I17" s="137">
        <v>65</v>
      </c>
      <c r="J17" s="137">
        <v>50</v>
      </c>
      <c r="K17" s="137">
        <v>70</v>
      </c>
      <c r="L17" s="155">
        <v>50</v>
      </c>
      <c r="M17" s="155">
        <v>55</v>
      </c>
      <c r="N17" s="155">
        <v>35</v>
      </c>
      <c r="O17" s="137"/>
      <c r="P17" s="137"/>
      <c r="Q17" s="138">
        <f t="shared" si="0"/>
        <v>540</v>
      </c>
      <c r="R17" s="177">
        <f t="shared" si="1"/>
        <v>382.56975</v>
      </c>
    </row>
    <row r="18" spans="1:46" ht="15.75" customHeight="1">
      <c r="A18" s="108">
        <v>13</v>
      </c>
      <c r="B18" s="135">
        <v>12</v>
      </c>
      <c r="C18" s="136">
        <v>40</v>
      </c>
      <c r="D18" s="136">
        <v>25</v>
      </c>
      <c r="E18" s="136">
        <v>40</v>
      </c>
      <c r="F18" s="136">
        <v>30</v>
      </c>
      <c r="G18" s="137">
        <v>50</v>
      </c>
      <c r="H18" s="137">
        <v>55</v>
      </c>
      <c r="I18" s="137">
        <v>65</v>
      </c>
      <c r="J18" s="137">
        <v>45</v>
      </c>
      <c r="K18" s="137">
        <v>65</v>
      </c>
      <c r="L18" s="155">
        <v>50</v>
      </c>
      <c r="M18" s="155">
        <v>55</v>
      </c>
      <c r="N18" s="155">
        <v>45</v>
      </c>
      <c r="O18" s="137"/>
      <c r="P18" s="137"/>
      <c r="Q18" s="138">
        <f t="shared" si="0"/>
        <v>565</v>
      </c>
      <c r="R18" s="177">
        <f t="shared" si="1"/>
        <v>400.28131250000001</v>
      </c>
    </row>
    <row r="19" spans="1:46" ht="15.75" customHeight="1">
      <c r="A19" s="108">
        <v>14</v>
      </c>
      <c r="B19" s="135">
        <v>12</v>
      </c>
      <c r="C19" s="136">
        <v>40</v>
      </c>
      <c r="D19" s="136">
        <v>25</v>
      </c>
      <c r="E19" s="136">
        <v>40</v>
      </c>
      <c r="F19" s="136">
        <v>30</v>
      </c>
      <c r="G19" s="137">
        <v>50</v>
      </c>
      <c r="H19" s="137">
        <v>50</v>
      </c>
      <c r="I19" s="137">
        <v>70</v>
      </c>
      <c r="J19" s="137">
        <v>50</v>
      </c>
      <c r="K19" s="137">
        <v>70</v>
      </c>
      <c r="L19" s="155">
        <v>50</v>
      </c>
      <c r="M19" s="155">
        <v>60</v>
      </c>
      <c r="N19" s="155">
        <v>40</v>
      </c>
      <c r="O19" s="137"/>
      <c r="P19" s="137"/>
      <c r="Q19" s="138">
        <f t="shared" si="0"/>
        <v>575</v>
      </c>
      <c r="R19" s="177">
        <f t="shared" si="1"/>
        <v>407.36593749999997</v>
      </c>
    </row>
    <row r="20" spans="1:46" ht="15.75" customHeight="1">
      <c r="A20" s="108">
        <v>15</v>
      </c>
      <c r="B20" s="135">
        <v>12</v>
      </c>
      <c r="C20" s="136">
        <v>45</v>
      </c>
      <c r="D20" s="136">
        <v>30</v>
      </c>
      <c r="E20" s="136">
        <v>40</v>
      </c>
      <c r="F20" s="136">
        <v>30</v>
      </c>
      <c r="G20" s="137">
        <v>45</v>
      </c>
      <c r="H20" s="137">
        <v>65</v>
      </c>
      <c r="I20" s="137">
        <v>85</v>
      </c>
      <c r="J20" s="137">
        <v>55</v>
      </c>
      <c r="K20" s="137">
        <v>75</v>
      </c>
      <c r="L20" s="155">
        <v>65</v>
      </c>
      <c r="M20" s="155">
        <v>70</v>
      </c>
      <c r="N20" s="155">
        <v>65</v>
      </c>
      <c r="O20" s="137"/>
      <c r="P20" s="137"/>
      <c r="Q20" s="138">
        <f t="shared" si="0"/>
        <v>670</v>
      </c>
      <c r="R20" s="177">
        <f t="shared" si="1"/>
        <v>474.66987500000005</v>
      </c>
    </row>
    <row r="21" spans="1:46" ht="15.75" customHeight="1">
      <c r="A21" s="108">
        <v>16</v>
      </c>
      <c r="B21" s="135">
        <v>12</v>
      </c>
      <c r="C21" s="136">
        <v>40</v>
      </c>
      <c r="D21" s="136">
        <v>30</v>
      </c>
      <c r="E21" s="136">
        <v>40</v>
      </c>
      <c r="F21" s="136">
        <v>25</v>
      </c>
      <c r="G21" s="137">
        <v>50</v>
      </c>
      <c r="H21" s="137">
        <v>55</v>
      </c>
      <c r="I21" s="137">
        <v>85</v>
      </c>
      <c r="J21" s="137">
        <v>60</v>
      </c>
      <c r="K21" s="137">
        <v>75</v>
      </c>
      <c r="L21" s="155">
        <v>60</v>
      </c>
      <c r="M21" s="155">
        <v>60</v>
      </c>
      <c r="N21" s="155">
        <v>50</v>
      </c>
      <c r="O21" s="137"/>
      <c r="P21" s="137"/>
      <c r="Q21" s="138">
        <f t="shared" si="0"/>
        <v>630</v>
      </c>
      <c r="R21" s="177">
        <f t="shared" si="1"/>
        <v>446.33137499999998</v>
      </c>
    </row>
    <row r="22" spans="1:46" ht="15.75" customHeight="1">
      <c r="A22" s="108">
        <v>17</v>
      </c>
      <c r="B22" s="135">
        <v>12</v>
      </c>
      <c r="C22" s="136">
        <v>40</v>
      </c>
      <c r="D22" s="136">
        <v>30</v>
      </c>
      <c r="E22" s="136">
        <v>40</v>
      </c>
      <c r="F22" s="136">
        <v>25</v>
      </c>
      <c r="G22" s="137">
        <v>45</v>
      </c>
      <c r="H22" s="137">
        <v>50</v>
      </c>
      <c r="I22" s="137">
        <v>65</v>
      </c>
      <c r="J22" s="137">
        <v>45</v>
      </c>
      <c r="K22" s="137">
        <v>55</v>
      </c>
      <c r="L22" s="155">
        <v>55</v>
      </c>
      <c r="M22" s="155">
        <v>50</v>
      </c>
      <c r="N22" s="155">
        <v>35</v>
      </c>
      <c r="O22" s="137"/>
      <c r="P22" s="137"/>
      <c r="Q22" s="138">
        <f t="shared" si="0"/>
        <v>535</v>
      </c>
      <c r="R22" s="177">
        <f t="shared" si="1"/>
        <v>379.02743750000002</v>
      </c>
    </row>
    <row r="23" spans="1:46" ht="15.75" customHeight="1">
      <c r="A23" s="108">
        <v>18</v>
      </c>
      <c r="B23" s="135">
        <v>12</v>
      </c>
      <c r="C23" s="136">
        <v>40</v>
      </c>
      <c r="D23" s="136">
        <v>25</v>
      </c>
      <c r="E23" s="136">
        <v>40</v>
      </c>
      <c r="F23" s="136">
        <v>30</v>
      </c>
      <c r="G23" s="137">
        <v>45</v>
      </c>
      <c r="H23" s="137">
        <v>65</v>
      </c>
      <c r="I23" s="137">
        <v>80</v>
      </c>
      <c r="J23" s="137">
        <v>60</v>
      </c>
      <c r="K23" s="137">
        <v>75</v>
      </c>
      <c r="L23" s="155">
        <v>55</v>
      </c>
      <c r="M23" s="155">
        <v>60</v>
      </c>
      <c r="N23" s="155">
        <v>50</v>
      </c>
      <c r="O23" s="137"/>
      <c r="P23" s="137"/>
      <c r="Q23" s="138">
        <f t="shared" si="0"/>
        <v>625</v>
      </c>
      <c r="R23" s="177">
        <f t="shared" si="1"/>
        <v>442.7890625</v>
      </c>
    </row>
    <row r="24" spans="1:46" ht="15.75" customHeight="1">
      <c r="A24" s="108">
        <v>19</v>
      </c>
      <c r="B24" s="135">
        <v>12</v>
      </c>
      <c r="C24" s="136">
        <v>45</v>
      </c>
      <c r="D24" s="136">
        <v>40</v>
      </c>
      <c r="E24" s="136">
        <v>40</v>
      </c>
      <c r="F24" s="136">
        <v>30</v>
      </c>
      <c r="G24" s="137">
        <v>60</v>
      </c>
      <c r="H24" s="137">
        <v>60</v>
      </c>
      <c r="I24" s="137">
        <v>80</v>
      </c>
      <c r="J24" s="137">
        <v>60</v>
      </c>
      <c r="K24" s="137">
        <v>75</v>
      </c>
      <c r="L24" s="155">
        <v>65</v>
      </c>
      <c r="M24" s="155">
        <v>70</v>
      </c>
      <c r="N24" s="155">
        <v>55</v>
      </c>
      <c r="O24" s="137"/>
      <c r="P24" s="137"/>
      <c r="Q24" s="138">
        <f t="shared" si="0"/>
        <v>680</v>
      </c>
      <c r="R24" s="177">
        <f t="shared" si="1"/>
        <v>481.75450000000006</v>
      </c>
    </row>
    <row r="25" spans="1:46" ht="15.75" customHeight="1">
      <c r="A25" s="108">
        <v>20</v>
      </c>
      <c r="B25" s="135">
        <v>12</v>
      </c>
      <c r="C25" s="136">
        <v>50</v>
      </c>
      <c r="D25" s="136">
        <v>30</v>
      </c>
      <c r="E25" s="136">
        <v>40</v>
      </c>
      <c r="F25" s="136">
        <v>35</v>
      </c>
      <c r="G25" s="137">
        <v>45</v>
      </c>
      <c r="H25" s="137">
        <v>60</v>
      </c>
      <c r="I25" s="137">
        <v>85</v>
      </c>
      <c r="J25" s="137">
        <v>65</v>
      </c>
      <c r="K25" s="137">
        <v>75</v>
      </c>
      <c r="L25" s="155">
        <v>60</v>
      </c>
      <c r="M25" s="155">
        <v>65</v>
      </c>
      <c r="N25" s="155">
        <v>45</v>
      </c>
      <c r="O25" s="137"/>
      <c r="P25" s="137"/>
      <c r="Q25" s="138">
        <f t="shared" si="0"/>
        <v>655</v>
      </c>
      <c r="R25" s="177">
        <f t="shared" si="1"/>
        <v>464.04293750000005</v>
      </c>
    </row>
    <row r="26" spans="1:46" ht="15.75" customHeight="1">
      <c r="A26" s="108">
        <v>21</v>
      </c>
      <c r="B26" s="135">
        <v>12</v>
      </c>
      <c r="C26" s="136">
        <v>40</v>
      </c>
      <c r="D26" s="136">
        <v>30</v>
      </c>
      <c r="E26" s="136">
        <v>40</v>
      </c>
      <c r="F26" s="136">
        <v>20</v>
      </c>
      <c r="G26" s="137">
        <v>50</v>
      </c>
      <c r="H26" s="137">
        <v>55</v>
      </c>
      <c r="I26" s="137">
        <v>65</v>
      </c>
      <c r="J26" s="137">
        <v>70</v>
      </c>
      <c r="K26" s="137">
        <v>65</v>
      </c>
      <c r="L26" s="155">
        <v>55</v>
      </c>
      <c r="M26" s="155">
        <v>60</v>
      </c>
      <c r="N26" s="155">
        <v>50</v>
      </c>
      <c r="O26" s="137"/>
      <c r="P26" s="137"/>
      <c r="Q26" s="138">
        <f t="shared" si="0"/>
        <v>600</v>
      </c>
      <c r="R26" s="177">
        <f t="shared" si="1"/>
        <v>425.07749999999999</v>
      </c>
    </row>
    <row r="27" spans="1:46" ht="15.75" customHeight="1">
      <c r="A27" s="108">
        <v>22</v>
      </c>
      <c r="B27" s="135">
        <v>12</v>
      </c>
      <c r="C27" s="136">
        <v>40</v>
      </c>
      <c r="D27" s="136">
        <v>30</v>
      </c>
      <c r="E27" s="136">
        <v>40</v>
      </c>
      <c r="F27" s="136">
        <v>25</v>
      </c>
      <c r="G27" s="137">
        <v>40</v>
      </c>
      <c r="H27" s="137">
        <v>45</v>
      </c>
      <c r="I27" s="137">
        <v>55</v>
      </c>
      <c r="J27" s="137">
        <v>50</v>
      </c>
      <c r="K27" s="137">
        <v>55</v>
      </c>
      <c r="L27" s="155">
        <v>45</v>
      </c>
      <c r="M27" s="155">
        <v>45</v>
      </c>
      <c r="N27" s="155">
        <v>25</v>
      </c>
      <c r="O27" s="137"/>
      <c r="P27" s="137"/>
      <c r="Q27" s="138">
        <f t="shared" si="0"/>
        <v>495</v>
      </c>
      <c r="R27" s="177">
        <f t="shared" si="1"/>
        <v>350.68893749999995</v>
      </c>
      <c r="T27" s="127"/>
      <c r="U27" s="128"/>
      <c r="V27" s="127"/>
      <c r="AC27" s="127"/>
      <c r="AD27" s="128"/>
      <c r="AE27" s="127"/>
      <c r="AK27" s="127"/>
      <c r="AL27" s="128"/>
      <c r="AS27" s="127"/>
      <c r="AT27" s="128"/>
    </row>
    <row r="28" spans="1:46" ht="15.75" customHeight="1">
      <c r="A28" s="108">
        <v>23</v>
      </c>
      <c r="B28" s="135">
        <v>12</v>
      </c>
      <c r="C28" s="136">
        <v>45</v>
      </c>
      <c r="D28" s="136">
        <v>30</v>
      </c>
      <c r="E28" s="136">
        <v>40</v>
      </c>
      <c r="F28" s="136">
        <v>35</v>
      </c>
      <c r="G28" s="137">
        <v>50</v>
      </c>
      <c r="H28" s="137">
        <v>50</v>
      </c>
      <c r="I28" s="137">
        <v>55</v>
      </c>
      <c r="J28" s="137">
        <v>55</v>
      </c>
      <c r="K28" s="137">
        <v>55</v>
      </c>
      <c r="L28" s="155">
        <v>45</v>
      </c>
      <c r="M28" s="155">
        <v>50</v>
      </c>
      <c r="N28" s="155">
        <v>40</v>
      </c>
      <c r="O28" s="137"/>
      <c r="P28" s="137"/>
      <c r="Q28" s="138">
        <f t="shared" si="0"/>
        <v>550</v>
      </c>
      <c r="R28" s="177">
        <f t="shared" si="1"/>
        <v>389.65437499999996</v>
      </c>
      <c r="T28" s="127" t="s">
        <v>828</v>
      </c>
      <c r="U28" s="127"/>
      <c r="V28" s="128" t="s">
        <v>935</v>
      </c>
      <c r="AC28" s="127" t="s">
        <v>828</v>
      </c>
      <c r="AD28" s="128" t="s">
        <v>936</v>
      </c>
      <c r="AK28" s="127"/>
      <c r="AL28" s="128"/>
      <c r="AM28" s="126"/>
    </row>
    <row r="29" spans="1:46" ht="15.75" customHeight="1">
      <c r="A29" s="108">
        <v>24</v>
      </c>
      <c r="B29" s="135">
        <v>12</v>
      </c>
      <c r="C29" s="136">
        <v>45</v>
      </c>
      <c r="D29" s="136">
        <v>25</v>
      </c>
      <c r="E29" s="136">
        <v>40</v>
      </c>
      <c r="F29" s="136">
        <v>45</v>
      </c>
      <c r="G29" s="137">
        <v>50</v>
      </c>
      <c r="H29" s="137">
        <v>55</v>
      </c>
      <c r="I29" s="137">
        <v>60</v>
      </c>
      <c r="J29" s="137">
        <v>65</v>
      </c>
      <c r="K29" s="137">
        <v>65</v>
      </c>
      <c r="L29" s="155">
        <v>55</v>
      </c>
      <c r="M29" s="155">
        <v>50</v>
      </c>
      <c r="N29" s="155">
        <v>35</v>
      </c>
      <c r="O29" s="137"/>
      <c r="P29" s="137"/>
      <c r="Q29" s="138">
        <f t="shared" si="0"/>
        <v>590</v>
      </c>
      <c r="R29" s="177">
        <f t="shared" si="1"/>
        <v>417.99287500000003</v>
      </c>
    </row>
    <row r="30" spans="1:46" ht="15.75" customHeight="1">
      <c r="A30" s="108">
        <v>25</v>
      </c>
      <c r="B30" s="135">
        <v>12</v>
      </c>
      <c r="C30" s="136">
        <v>45</v>
      </c>
      <c r="D30" s="136">
        <v>40</v>
      </c>
      <c r="E30" s="136">
        <v>40</v>
      </c>
      <c r="F30" s="136">
        <v>40</v>
      </c>
      <c r="G30" s="137">
        <v>65</v>
      </c>
      <c r="H30" s="137">
        <v>75</v>
      </c>
      <c r="I30" s="137">
        <v>70</v>
      </c>
      <c r="J30" s="137">
        <v>90</v>
      </c>
      <c r="K30" s="137">
        <v>100</v>
      </c>
      <c r="L30" s="155">
        <v>80</v>
      </c>
      <c r="M30" s="155">
        <v>85</v>
      </c>
      <c r="N30" s="155">
        <v>75</v>
      </c>
      <c r="O30" s="137"/>
      <c r="P30" s="137"/>
      <c r="Q30" s="138">
        <f t="shared" si="0"/>
        <v>805</v>
      </c>
      <c r="R30" s="177">
        <f t="shared" si="1"/>
        <v>570.31231250000008</v>
      </c>
    </row>
    <row r="31" spans="1:46" ht="15.75" customHeight="1">
      <c r="A31" s="108">
        <v>26</v>
      </c>
      <c r="B31" s="135">
        <v>12</v>
      </c>
      <c r="C31" s="136">
        <v>40</v>
      </c>
      <c r="D31" s="136">
        <v>25</v>
      </c>
      <c r="E31" s="136">
        <v>40</v>
      </c>
      <c r="F31" s="136">
        <v>40</v>
      </c>
      <c r="G31" s="137">
        <v>60</v>
      </c>
      <c r="H31" s="137">
        <v>65</v>
      </c>
      <c r="I31" s="137">
        <v>65</v>
      </c>
      <c r="J31" s="137">
        <v>80</v>
      </c>
      <c r="K31" s="137">
        <v>80</v>
      </c>
      <c r="L31" s="155">
        <v>70</v>
      </c>
      <c r="M31" s="155">
        <v>70</v>
      </c>
      <c r="N31" s="155">
        <v>65</v>
      </c>
      <c r="O31" s="137"/>
      <c r="P31" s="137"/>
      <c r="Q31" s="138">
        <f t="shared" si="0"/>
        <v>700</v>
      </c>
      <c r="R31" s="177">
        <f t="shared" si="1"/>
        <v>495.92374999999998</v>
      </c>
    </row>
    <row r="32" spans="1:46" ht="15.75" customHeight="1">
      <c r="A32" s="108">
        <v>27</v>
      </c>
      <c r="B32" s="135">
        <v>12</v>
      </c>
      <c r="C32" s="136">
        <v>45</v>
      </c>
      <c r="D32" s="136">
        <v>25</v>
      </c>
      <c r="E32" s="136">
        <v>40</v>
      </c>
      <c r="F32" s="136">
        <v>40</v>
      </c>
      <c r="G32" s="137">
        <v>60</v>
      </c>
      <c r="H32" s="137">
        <v>55</v>
      </c>
      <c r="I32" s="137">
        <v>70</v>
      </c>
      <c r="J32" s="137">
        <v>70</v>
      </c>
      <c r="K32" s="137">
        <v>75</v>
      </c>
      <c r="L32" s="155">
        <v>60</v>
      </c>
      <c r="M32" s="155">
        <v>55</v>
      </c>
      <c r="N32" s="155">
        <v>35</v>
      </c>
      <c r="O32" s="137"/>
      <c r="P32" s="137"/>
      <c r="Q32" s="138">
        <f t="shared" si="0"/>
        <v>630</v>
      </c>
      <c r="R32" s="177">
        <f t="shared" si="1"/>
        <v>446.33137499999998</v>
      </c>
    </row>
    <row r="33" spans="1:46" ht="15.75" customHeight="1">
      <c r="A33" s="108">
        <v>28</v>
      </c>
      <c r="B33" s="135">
        <v>12</v>
      </c>
      <c r="C33" s="136">
        <v>40</v>
      </c>
      <c r="D33" s="136">
        <v>30</v>
      </c>
      <c r="E33" s="136">
        <v>40</v>
      </c>
      <c r="F33" s="136">
        <v>45</v>
      </c>
      <c r="G33" s="137">
        <v>65</v>
      </c>
      <c r="H33" s="137">
        <v>55</v>
      </c>
      <c r="I33" s="137">
        <v>70</v>
      </c>
      <c r="J33" s="137">
        <v>70</v>
      </c>
      <c r="K33" s="137">
        <v>80</v>
      </c>
      <c r="L33" s="155">
        <v>60</v>
      </c>
      <c r="M33" s="175">
        <v>65</v>
      </c>
      <c r="N33" s="155">
        <v>40</v>
      </c>
      <c r="O33" s="137"/>
      <c r="P33" s="137"/>
      <c r="Q33" s="138">
        <f t="shared" si="0"/>
        <v>660</v>
      </c>
      <c r="R33" s="177">
        <f t="shared" si="1"/>
        <v>467.58525000000003</v>
      </c>
    </row>
    <row r="34" spans="1:46" ht="15.75" customHeight="1">
      <c r="A34" s="108">
        <v>29</v>
      </c>
      <c r="B34" s="135">
        <v>12</v>
      </c>
      <c r="C34" s="136">
        <v>45</v>
      </c>
      <c r="D34" s="136">
        <v>25</v>
      </c>
      <c r="E34" s="136">
        <v>40</v>
      </c>
      <c r="F34" s="136">
        <v>35</v>
      </c>
      <c r="G34" s="137">
        <v>60</v>
      </c>
      <c r="H34" s="137">
        <v>60</v>
      </c>
      <c r="I34" s="137">
        <v>70</v>
      </c>
      <c r="J34" s="137">
        <v>55</v>
      </c>
      <c r="K34" s="137">
        <v>75</v>
      </c>
      <c r="L34" s="155">
        <v>60</v>
      </c>
      <c r="M34" s="155">
        <v>60</v>
      </c>
      <c r="N34" s="155">
        <v>35</v>
      </c>
      <c r="O34" s="137"/>
      <c r="P34" s="137"/>
      <c r="Q34" s="138">
        <f t="shared" si="0"/>
        <v>620</v>
      </c>
      <c r="R34" s="177">
        <f t="shared" si="1"/>
        <v>439.24675000000002</v>
      </c>
    </row>
    <row r="35" spans="1:46" ht="15.75" customHeight="1">
      <c r="A35" s="108">
        <v>30</v>
      </c>
      <c r="B35" s="135">
        <v>12</v>
      </c>
      <c r="C35" s="136">
        <v>45</v>
      </c>
      <c r="D35" s="136">
        <v>30</v>
      </c>
      <c r="E35" s="136">
        <v>40</v>
      </c>
      <c r="F35" s="136">
        <v>30</v>
      </c>
      <c r="G35" s="137">
        <v>55</v>
      </c>
      <c r="H35" s="137">
        <v>65</v>
      </c>
      <c r="I35" s="137">
        <v>65</v>
      </c>
      <c r="J35" s="137">
        <v>70</v>
      </c>
      <c r="K35" s="137">
        <v>65</v>
      </c>
      <c r="L35" s="155">
        <v>55</v>
      </c>
      <c r="M35" s="155">
        <v>60</v>
      </c>
      <c r="N35" s="155">
        <v>45</v>
      </c>
      <c r="O35" s="137"/>
      <c r="P35" s="137"/>
      <c r="Q35" s="138">
        <f t="shared" si="0"/>
        <v>625</v>
      </c>
      <c r="R35" s="177">
        <f t="shared" si="1"/>
        <v>442.7890625</v>
      </c>
    </row>
    <row r="36" spans="1:46" ht="15.75" customHeight="1">
      <c r="A36" s="108">
        <v>31</v>
      </c>
      <c r="B36" s="135">
        <v>12</v>
      </c>
      <c r="C36" s="136">
        <v>40</v>
      </c>
      <c r="D36" s="136">
        <v>30</v>
      </c>
      <c r="E36" s="136">
        <v>40</v>
      </c>
      <c r="F36" s="136">
        <v>40</v>
      </c>
      <c r="G36" s="137">
        <v>55</v>
      </c>
      <c r="H36" s="137">
        <v>45</v>
      </c>
      <c r="I36" s="137">
        <v>50</v>
      </c>
      <c r="J36" s="137">
        <v>70</v>
      </c>
      <c r="K36" s="137">
        <v>60</v>
      </c>
      <c r="L36" s="155">
        <v>50</v>
      </c>
      <c r="M36" s="155">
        <v>50</v>
      </c>
      <c r="N36" s="155">
        <v>45</v>
      </c>
      <c r="O36" s="137"/>
      <c r="P36" s="137"/>
      <c r="Q36" s="138">
        <f t="shared" si="0"/>
        <v>575</v>
      </c>
      <c r="R36" s="177">
        <f t="shared" si="1"/>
        <v>407.36593749999997</v>
      </c>
    </row>
    <row r="37" spans="1:46" ht="15.75" customHeight="1">
      <c r="A37" s="108">
        <v>32</v>
      </c>
      <c r="B37" s="135">
        <v>12</v>
      </c>
      <c r="C37" s="136">
        <v>40</v>
      </c>
      <c r="D37" s="136">
        <v>35</v>
      </c>
      <c r="E37" s="136">
        <v>40</v>
      </c>
      <c r="F37" s="136">
        <v>50</v>
      </c>
      <c r="G37" s="137">
        <v>75</v>
      </c>
      <c r="H37" s="137">
        <v>75</v>
      </c>
      <c r="I37" s="137">
        <v>70</v>
      </c>
      <c r="J37" s="137">
        <v>95</v>
      </c>
      <c r="K37" s="137">
        <v>85</v>
      </c>
      <c r="L37" s="155">
        <v>70</v>
      </c>
      <c r="M37" s="155">
        <v>70</v>
      </c>
      <c r="N37" s="155">
        <v>60</v>
      </c>
      <c r="O37" s="137"/>
      <c r="P37" s="137"/>
      <c r="Q37" s="138">
        <f t="shared" si="0"/>
        <v>765</v>
      </c>
      <c r="R37" s="177">
        <f t="shared" si="1"/>
        <v>541.97381250000001</v>
      </c>
    </row>
    <row r="38" spans="1:46" ht="15.75" customHeight="1">
      <c r="A38" s="108">
        <v>33</v>
      </c>
      <c r="B38" s="135">
        <v>12</v>
      </c>
      <c r="C38" s="136">
        <v>45</v>
      </c>
      <c r="D38" s="136">
        <v>30</v>
      </c>
      <c r="E38" s="136">
        <v>40</v>
      </c>
      <c r="F38" s="136">
        <v>50</v>
      </c>
      <c r="G38" s="137">
        <v>55</v>
      </c>
      <c r="H38" s="137">
        <v>40</v>
      </c>
      <c r="I38" s="137">
        <v>55</v>
      </c>
      <c r="J38" s="137">
        <v>60</v>
      </c>
      <c r="K38" s="137">
        <v>60</v>
      </c>
      <c r="L38" s="155">
        <v>45</v>
      </c>
      <c r="M38" s="155">
        <v>45</v>
      </c>
      <c r="N38" s="155">
        <v>35</v>
      </c>
      <c r="O38" s="137"/>
      <c r="P38" s="137"/>
      <c r="Q38" s="138">
        <f t="shared" si="0"/>
        <v>560</v>
      </c>
      <c r="R38" s="177">
        <f t="shared" si="1"/>
        <v>396.73900000000003</v>
      </c>
    </row>
    <row r="39" spans="1:46" ht="15.75" customHeight="1">
      <c r="A39" s="108">
        <v>34</v>
      </c>
      <c r="B39" s="135">
        <v>12</v>
      </c>
      <c r="C39" s="136">
        <v>45</v>
      </c>
      <c r="D39" s="136">
        <v>30</v>
      </c>
      <c r="E39" s="136">
        <v>40</v>
      </c>
      <c r="F39" s="136">
        <v>40</v>
      </c>
      <c r="G39" s="137">
        <v>55</v>
      </c>
      <c r="H39" s="137">
        <v>55</v>
      </c>
      <c r="I39" s="137">
        <v>60</v>
      </c>
      <c r="J39" s="137">
        <v>80</v>
      </c>
      <c r="K39" s="137">
        <v>75</v>
      </c>
      <c r="L39" s="155">
        <v>60</v>
      </c>
      <c r="M39" s="155">
        <v>70</v>
      </c>
      <c r="N39" s="155">
        <v>45</v>
      </c>
      <c r="O39" s="137"/>
      <c r="P39" s="137"/>
      <c r="Q39" s="138">
        <f t="shared" si="0"/>
        <v>655</v>
      </c>
      <c r="R39" s="177">
        <f t="shared" si="1"/>
        <v>464.04293750000005</v>
      </c>
    </row>
    <row r="40" spans="1:46" ht="15.75" customHeight="1">
      <c r="A40" s="108">
        <v>35</v>
      </c>
      <c r="B40" s="135">
        <v>12</v>
      </c>
      <c r="C40" s="136">
        <v>40</v>
      </c>
      <c r="D40" s="136">
        <v>35</v>
      </c>
      <c r="E40" s="136">
        <v>40</v>
      </c>
      <c r="F40" s="136">
        <v>45</v>
      </c>
      <c r="G40" s="137">
        <v>60</v>
      </c>
      <c r="H40" s="137">
        <v>60</v>
      </c>
      <c r="I40" s="137">
        <v>60</v>
      </c>
      <c r="J40" s="137">
        <v>90</v>
      </c>
      <c r="K40" s="137">
        <v>85</v>
      </c>
      <c r="L40" s="155">
        <v>65</v>
      </c>
      <c r="M40" s="155">
        <v>70</v>
      </c>
      <c r="N40" s="155">
        <v>65</v>
      </c>
      <c r="O40" s="137"/>
      <c r="P40" s="137"/>
      <c r="Q40" s="138">
        <f t="shared" si="0"/>
        <v>715</v>
      </c>
      <c r="R40" s="177">
        <f t="shared" si="1"/>
        <v>506.55068749999998</v>
      </c>
    </row>
    <row r="41" spans="1:46" ht="15.75" customHeight="1">
      <c r="A41" s="108">
        <v>36</v>
      </c>
      <c r="B41" s="135">
        <v>12</v>
      </c>
      <c r="C41" s="136">
        <v>45</v>
      </c>
      <c r="D41" s="136">
        <v>25</v>
      </c>
      <c r="E41" s="136">
        <v>40</v>
      </c>
      <c r="F41" s="136">
        <v>40</v>
      </c>
      <c r="G41" s="137">
        <v>65</v>
      </c>
      <c r="H41" s="137">
        <v>65</v>
      </c>
      <c r="I41" s="137">
        <v>65</v>
      </c>
      <c r="J41" s="137">
        <v>65</v>
      </c>
      <c r="K41" s="137">
        <v>80</v>
      </c>
      <c r="L41" s="155">
        <v>55</v>
      </c>
      <c r="M41" s="155">
        <v>50</v>
      </c>
      <c r="N41" s="155">
        <v>40</v>
      </c>
      <c r="O41" s="137"/>
      <c r="P41" s="137"/>
      <c r="Q41" s="138">
        <f t="shared" si="0"/>
        <v>635</v>
      </c>
      <c r="R41" s="177">
        <f t="shared" si="1"/>
        <v>449.87368750000002</v>
      </c>
    </row>
    <row r="42" spans="1:46" ht="15.75" customHeight="1">
      <c r="A42" s="108">
        <v>37</v>
      </c>
      <c r="B42" s="135">
        <v>12</v>
      </c>
      <c r="C42" s="136">
        <v>40</v>
      </c>
      <c r="D42" s="136">
        <v>30</v>
      </c>
      <c r="E42" s="136">
        <v>40</v>
      </c>
      <c r="F42" s="136">
        <v>35</v>
      </c>
      <c r="G42" s="137">
        <v>50</v>
      </c>
      <c r="H42" s="137">
        <v>45</v>
      </c>
      <c r="I42" s="137">
        <v>55</v>
      </c>
      <c r="J42" s="137">
        <v>65</v>
      </c>
      <c r="K42" s="137">
        <v>70</v>
      </c>
      <c r="L42" s="155">
        <v>55</v>
      </c>
      <c r="M42" s="155">
        <v>55</v>
      </c>
      <c r="N42" s="155">
        <v>10</v>
      </c>
      <c r="O42" s="137"/>
      <c r="P42" s="137"/>
      <c r="Q42" s="138">
        <f t="shared" ref="Q42:Q59" si="2">SUM(C42:P42)</f>
        <v>550</v>
      </c>
      <c r="R42" s="177">
        <f t="shared" ref="R42:AQ70" si="3">(Q42*3.14)*(0.475*0.475)</f>
        <v>389.65437499999996</v>
      </c>
    </row>
    <row r="43" spans="1:46" ht="15.75" customHeight="1">
      <c r="A43" s="108">
        <v>38</v>
      </c>
      <c r="B43" s="135">
        <v>12</v>
      </c>
      <c r="C43" s="136">
        <v>45</v>
      </c>
      <c r="D43" s="136">
        <v>30</v>
      </c>
      <c r="E43" s="136">
        <v>40</v>
      </c>
      <c r="F43" s="136">
        <v>40</v>
      </c>
      <c r="G43" s="137">
        <v>55</v>
      </c>
      <c r="H43" s="137">
        <v>45</v>
      </c>
      <c r="I43" s="137">
        <v>55</v>
      </c>
      <c r="J43" s="137">
        <v>70</v>
      </c>
      <c r="K43" s="137">
        <v>45</v>
      </c>
      <c r="L43" s="155">
        <v>45</v>
      </c>
      <c r="M43" s="155">
        <v>50</v>
      </c>
      <c r="N43" s="155">
        <v>35</v>
      </c>
      <c r="O43" s="137"/>
      <c r="P43" s="137"/>
      <c r="Q43" s="138">
        <f t="shared" si="2"/>
        <v>555</v>
      </c>
      <c r="R43" s="177">
        <f t="shared" si="3"/>
        <v>393.1966875</v>
      </c>
    </row>
    <row r="44" spans="1:46" ht="15.75" customHeight="1">
      <c r="A44" s="108">
        <v>39</v>
      </c>
      <c r="B44" s="135">
        <v>12</v>
      </c>
      <c r="C44" s="136">
        <v>40</v>
      </c>
      <c r="D44" s="136">
        <v>25</v>
      </c>
      <c r="E44" s="136">
        <v>40</v>
      </c>
      <c r="F44" s="136">
        <v>35</v>
      </c>
      <c r="G44" s="137">
        <v>55</v>
      </c>
      <c r="H44" s="137">
        <v>45</v>
      </c>
      <c r="I44" s="137">
        <v>60</v>
      </c>
      <c r="J44" s="137">
        <v>45</v>
      </c>
      <c r="K44" s="137">
        <v>45</v>
      </c>
      <c r="L44" s="155">
        <v>30</v>
      </c>
      <c r="M44" s="155">
        <v>35</v>
      </c>
      <c r="N44" s="155">
        <v>20</v>
      </c>
      <c r="O44" s="137"/>
      <c r="P44" s="137"/>
      <c r="Q44" s="138">
        <f t="shared" si="2"/>
        <v>475</v>
      </c>
      <c r="R44" s="177">
        <f t="shared" si="3"/>
        <v>336.51968749999997</v>
      </c>
    </row>
    <row r="45" spans="1:46" ht="15.75" customHeight="1">
      <c r="A45" s="108">
        <v>40</v>
      </c>
      <c r="B45" s="135">
        <v>12</v>
      </c>
      <c r="C45" s="136">
        <v>40</v>
      </c>
      <c r="D45" s="136">
        <v>30</v>
      </c>
      <c r="E45" s="136">
        <v>40</v>
      </c>
      <c r="F45" s="136">
        <v>35</v>
      </c>
      <c r="G45" s="137">
        <v>55</v>
      </c>
      <c r="H45" s="137">
        <v>35</v>
      </c>
      <c r="I45" s="137">
        <v>45</v>
      </c>
      <c r="J45" s="137">
        <v>65</v>
      </c>
      <c r="K45" s="137">
        <v>55</v>
      </c>
      <c r="L45" s="155">
        <v>45</v>
      </c>
      <c r="M45" s="155">
        <v>45</v>
      </c>
      <c r="N45" s="155">
        <v>40</v>
      </c>
      <c r="O45" s="137"/>
      <c r="P45" s="137"/>
      <c r="Q45" s="138">
        <f t="shared" si="2"/>
        <v>530</v>
      </c>
      <c r="R45" s="177">
        <f t="shared" si="3"/>
        <v>375.48512499999998</v>
      </c>
    </row>
    <row r="46" spans="1:46" ht="15.75" customHeight="1">
      <c r="A46" s="108">
        <v>41</v>
      </c>
      <c r="B46" s="135">
        <v>12</v>
      </c>
      <c r="C46" s="136">
        <v>45</v>
      </c>
      <c r="D46" s="136">
        <v>35</v>
      </c>
      <c r="E46" s="136">
        <v>40</v>
      </c>
      <c r="F46" s="136">
        <v>45</v>
      </c>
      <c r="G46" s="137">
        <v>60</v>
      </c>
      <c r="H46" s="137">
        <v>50</v>
      </c>
      <c r="I46" s="137">
        <v>45</v>
      </c>
      <c r="J46" s="137">
        <v>90</v>
      </c>
      <c r="K46" s="137">
        <v>70</v>
      </c>
      <c r="L46" s="155">
        <v>55</v>
      </c>
      <c r="M46" s="155">
        <v>50</v>
      </c>
      <c r="N46" s="155">
        <v>35</v>
      </c>
      <c r="O46" s="137"/>
      <c r="P46" s="137"/>
      <c r="Q46" s="138">
        <f t="shared" si="2"/>
        <v>620</v>
      </c>
      <c r="R46" s="177">
        <f t="shared" si="3"/>
        <v>439.24675000000002</v>
      </c>
      <c r="T46" s="127"/>
      <c r="U46" s="131"/>
      <c r="AC46" s="119"/>
      <c r="AD46" s="131"/>
      <c r="AK46" s="127"/>
      <c r="AL46" s="131"/>
      <c r="AS46" s="119"/>
      <c r="AT46" s="131"/>
    </row>
    <row r="47" spans="1:46" ht="15.75" customHeight="1">
      <c r="A47" s="108">
        <v>42</v>
      </c>
      <c r="B47" s="135">
        <v>12</v>
      </c>
      <c r="C47" s="136">
        <v>45</v>
      </c>
      <c r="D47" s="136">
        <v>35</v>
      </c>
      <c r="E47" s="136">
        <v>40</v>
      </c>
      <c r="F47" s="136">
        <v>35</v>
      </c>
      <c r="G47" s="137">
        <v>50</v>
      </c>
      <c r="H47" s="137">
        <v>55</v>
      </c>
      <c r="I47" s="137">
        <v>40</v>
      </c>
      <c r="J47" s="137">
        <v>80</v>
      </c>
      <c r="K47" s="137">
        <v>65</v>
      </c>
      <c r="L47" s="155">
        <v>50</v>
      </c>
      <c r="M47" s="155">
        <v>50</v>
      </c>
      <c r="N47" s="155">
        <v>50</v>
      </c>
      <c r="O47" s="137"/>
      <c r="P47" s="137"/>
      <c r="Q47" s="138">
        <f t="shared" si="2"/>
        <v>595</v>
      </c>
      <c r="R47" s="177">
        <f t="shared" si="3"/>
        <v>421.53518750000001</v>
      </c>
    </row>
    <row r="48" spans="1:46" ht="15.75" customHeight="1">
      <c r="A48" s="108">
        <v>43</v>
      </c>
      <c r="B48" s="135">
        <v>12</v>
      </c>
      <c r="C48" s="136">
        <v>40</v>
      </c>
      <c r="D48" s="136">
        <v>25</v>
      </c>
      <c r="E48" s="136">
        <v>40</v>
      </c>
      <c r="F48" s="136">
        <v>45</v>
      </c>
      <c r="G48" s="137">
        <v>75</v>
      </c>
      <c r="H48" s="137">
        <v>55</v>
      </c>
      <c r="I48" s="137">
        <v>55</v>
      </c>
      <c r="J48" s="137">
        <v>120</v>
      </c>
      <c r="K48" s="137">
        <v>105</v>
      </c>
      <c r="L48" s="155">
        <v>80</v>
      </c>
      <c r="M48" s="155">
        <v>80</v>
      </c>
      <c r="N48" s="155">
        <v>75</v>
      </c>
      <c r="O48" s="137"/>
      <c r="P48" s="137"/>
      <c r="Q48" s="138">
        <f t="shared" si="2"/>
        <v>795</v>
      </c>
      <c r="R48" s="177">
        <f t="shared" si="3"/>
        <v>563.2276875</v>
      </c>
    </row>
    <row r="49" spans="1:43" ht="15.75" customHeight="1">
      <c r="A49" s="108">
        <v>44</v>
      </c>
      <c r="B49" s="135">
        <v>12</v>
      </c>
      <c r="C49" s="136">
        <v>40</v>
      </c>
      <c r="D49" s="136">
        <v>30</v>
      </c>
      <c r="E49" s="136">
        <v>40</v>
      </c>
      <c r="F49" s="136">
        <v>30</v>
      </c>
      <c r="G49" s="137">
        <v>45</v>
      </c>
      <c r="H49" s="137">
        <v>40</v>
      </c>
      <c r="I49" s="137">
        <v>35</v>
      </c>
      <c r="J49" s="137">
        <v>55</v>
      </c>
      <c r="K49" s="137">
        <v>40</v>
      </c>
      <c r="L49" s="155">
        <v>40</v>
      </c>
      <c r="M49" s="155">
        <v>40</v>
      </c>
      <c r="N49" s="155">
        <v>35</v>
      </c>
      <c r="O49" s="137"/>
      <c r="P49" s="137"/>
      <c r="Q49" s="138">
        <f t="shared" si="2"/>
        <v>470</v>
      </c>
      <c r="R49" s="177">
        <f t="shared" si="3"/>
        <v>332.97737499999999</v>
      </c>
    </row>
    <row r="50" spans="1:43" ht="15.75" customHeight="1">
      <c r="A50" s="108">
        <v>45</v>
      </c>
      <c r="B50" s="135">
        <v>12</v>
      </c>
      <c r="C50" s="136">
        <v>45</v>
      </c>
      <c r="D50" s="136">
        <v>35</v>
      </c>
      <c r="E50" s="136">
        <v>40</v>
      </c>
      <c r="F50" s="136">
        <v>50</v>
      </c>
      <c r="G50" s="137">
        <v>55</v>
      </c>
      <c r="H50" s="137">
        <v>55</v>
      </c>
      <c r="I50" s="137">
        <v>50</v>
      </c>
      <c r="J50" s="137">
        <v>80</v>
      </c>
      <c r="K50" s="137">
        <v>70</v>
      </c>
      <c r="L50" s="155">
        <v>60</v>
      </c>
      <c r="M50" s="155">
        <v>60</v>
      </c>
      <c r="N50" s="155">
        <v>50</v>
      </c>
      <c r="O50" s="137"/>
      <c r="P50" s="137"/>
      <c r="Q50" s="138">
        <f t="shared" si="2"/>
        <v>650</v>
      </c>
      <c r="R50" s="177">
        <f t="shared" si="3"/>
        <v>460.50062499999996</v>
      </c>
    </row>
    <row r="51" spans="1:43" ht="15.75" customHeight="1">
      <c r="A51" s="108">
        <v>46</v>
      </c>
      <c r="B51" s="135">
        <v>12</v>
      </c>
      <c r="C51" s="136">
        <v>40</v>
      </c>
      <c r="D51" s="136">
        <v>30</v>
      </c>
      <c r="E51" s="136">
        <v>40</v>
      </c>
      <c r="F51" s="136">
        <v>45</v>
      </c>
      <c r="G51" s="137">
        <v>50</v>
      </c>
      <c r="H51" s="137">
        <v>45</v>
      </c>
      <c r="I51" s="137">
        <v>50</v>
      </c>
      <c r="J51" s="137">
        <v>80</v>
      </c>
      <c r="K51" s="137">
        <v>70</v>
      </c>
      <c r="L51" s="155">
        <v>55</v>
      </c>
      <c r="M51" s="155">
        <v>50</v>
      </c>
      <c r="N51" s="155">
        <v>50</v>
      </c>
      <c r="O51" s="137"/>
      <c r="P51" s="137"/>
      <c r="Q51" s="138">
        <f t="shared" si="2"/>
        <v>605</v>
      </c>
      <c r="R51" s="177">
        <f t="shared" si="3"/>
        <v>428.61981250000002</v>
      </c>
    </row>
    <row r="52" spans="1:43" ht="15.75" customHeight="1">
      <c r="A52" s="108">
        <v>47</v>
      </c>
      <c r="B52" s="135">
        <v>12</v>
      </c>
      <c r="C52" s="136">
        <v>45</v>
      </c>
      <c r="D52" s="136">
        <v>40</v>
      </c>
      <c r="E52" s="136">
        <v>40</v>
      </c>
      <c r="F52" s="136">
        <v>35</v>
      </c>
      <c r="G52" s="137">
        <v>50</v>
      </c>
      <c r="H52" s="137">
        <v>45</v>
      </c>
      <c r="I52" s="137">
        <v>40</v>
      </c>
      <c r="J52" s="137">
        <v>70</v>
      </c>
      <c r="K52" s="137">
        <v>55</v>
      </c>
      <c r="L52" s="155">
        <v>45</v>
      </c>
      <c r="M52" s="155">
        <v>40</v>
      </c>
      <c r="N52" s="155">
        <v>30</v>
      </c>
      <c r="O52" s="137"/>
      <c r="P52" s="137"/>
      <c r="Q52" s="138">
        <f t="shared" si="2"/>
        <v>535</v>
      </c>
      <c r="R52" s="177">
        <f t="shared" si="3"/>
        <v>379.02743750000002</v>
      </c>
    </row>
    <row r="53" spans="1:43" ht="15.75" customHeight="1">
      <c r="A53" s="108">
        <v>48</v>
      </c>
      <c r="B53" s="135">
        <v>12</v>
      </c>
      <c r="C53" s="136">
        <v>40</v>
      </c>
      <c r="D53" s="136">
        <v>35</v>
      </c>
      <c r="E53" s="136">
        <v>40</v>
      </c>
      <c r="F53" s="136">
        <v>30</v>
      </c>
      <c r="G53" s="137">
        <v>80</v>
      </c>
      <c r="H53" s="137">
        <v>60</v>
      </c>
      <c r="I53" s="137">
        <v>60</v>
      </c>
      <c r="J53" s="137">
        <v>100</v>
      </c>
      <c r="K53" s="137">
        <v>95</v>
      </c>
      <c r="L53" s="155">
        <v>65</v>
      </c>
      <c r="M53" s="155">
        <v>55</v>
      </c>
      <c r="N53" s="155">
        <v>60</v>
      </c>
      <c r="O53" s="137"/>
      <c r="P53" s="137"/>
      <c r="Q53" s="138">
        <f t="shared" si="2"/>
        <v>720</v>
      </c>
      <c r="R53" s="177">
        <f t="shared" si="3"/>
        <v>510.09300000000002</v>
      </c>
    </row>
    <row r="54" spans="1:43" ht="15.75" customHeight="1">
      <c r="A54" s="108">
        <v>49</v>
      </c>
      <c r="B54" s="135">
        <v>12</v>
      </c>
      <c r="C54" s="136">
        <v>45</v>
      </c>
      <c r="D54" s="136">
        <v>35</v>
      </c>
      <c r="E54" s="136">
        <v>40</v>
      </c>
      <c r="F54" s="136">
        <v>45</v>
      </c>
      <c r="G54" s="137">
        <v>70</v>
      </c>
      <c r="H54" s="137">
        <v>65</v>
      </c>
      <c r="I54" s="137">
        <v>55</v>
      </c>
      <c r="J54" s="137">
        <v>95</v>
      </c>
      <c r="K54" s="137">
        <v>70</v>
      </c>
      <c r="L54" s="155">
        <v>65</v>
      </c>
      <c r="M54" s="155">
        <v>50</v>
      </c>
      <c r="N54" s="155">
        <v>45</v>
      </c>
      <c r="O54" s="137"/>
      <c r="P54" s="137"/>
      <c r="Q54" s="138">
        <f t="shared" si="2"/>
        <v>680</v>
      </c>
      <c r="R54" s="177">
        <f t="shared" si="3"/>
        <v>481.75450000000006</v>
      </c>
    </row>
    <row r="55" spans="1:43" ht="15.75" customHeight="1">
      <c r="A55" s="108">
        <v>50</v>
      </c>
      <c r="B55" s="135">
        <v>12</v>
      </c>
      <c r="C55" s="136">
        <v>45</v>
      </c>
      <c r="D55" s="136">
        <v>35</v>
      </c>
      <c r="E55" s="136">
        <v>40</v>
      </c>
      <c r="F55" s="136">
        <v>35</v>
      </c>
      <c r="G55" s="137">
        <v>60</v>
      </c>
      <c r="H55" s="137">
        <v>45</v>
      </c>
      <c r="I55" s="137">
        <v>55</v>
      </c>
      <c r="J55" s="137">
        <v>85</v>
      </c>
      <c r="K55" s="137">
        <v>80</v>
      </c>
      <c r="L55" s="155">
        <v>60</v>
      </c>
      <c r="M55" s="155">
        <v>60</v>
      </c>
      <c r="N55" s="155">
        <v>45</v>
      </c>
      <c r="O55" s="137"/>
      <c r="P55" s="137"/>
      <c r="Q55" s="138">
        <f t="shared" si="2"/>
        <v>645</v>
      </c>
      <c r="R55" s="177">
        <f t="shared" si="3"/>
        <v>456.95831250000003</v>
      </c>
    </row>
    <row r="56" spans="1:43" ht="15.75" customHeight="1">
      <c r="A56" s="108">
        <v>52</v>
      </c>
      <c r="B56" s="135">
        <v>12</v>
      </c>
      <c r="C56" s="136">
        <v>40</v>
      </c>
      <c r="D56" s="136">
        <v>30</v>
      </c>
      <c r="E56" s="136">
        <v>40</v>
      </c>
      <c r="F56" s="136">
        <v>45</v>
      </c>
      <c r="G56" s="137">
        <v>60</v>
      </c>
      <c r="H56" s="137">
        <v>60</v>
      </c>
      <c r="I56" s="137">
        <v>55</v>
      </c>
      <c r="J56" s="137">
        <v>100</v>
      </c>
      <c r="K56" s="137">
        <v>80</v>
      </c>
      <c r="L56" s="155">
        <v>60</v>
      </c>
      <c r="M56" s="155">
        <v>50</v>
      </c>
      <c r="N56" s="155">
        <v>40</v>
      </c>
      <c r="O56" s="137"/>
      <c r="P56" s="137"/>
      <c r="Q56" s="138">
        <f t="shared" si="2"/>
        <v>660</v>
      </c>
      <c r="R56" s="177">
        <f t="shared" si="3"/>
        <v>467.58525000000003</v>
      </c>
    </row>
    <row r="57" spans="1:43" ht="15.75" customHeight="1">
      <c r="A57" s="108">
        <v>53</v>
      </c>
      <c r="B57" s="135">
        <v>12</v>
      </c>
      <c r="C57" s="136">
        <v>45</v>
      </c>
      <c r="D57" s="136">
        <v>25</v>
      </c>
      <c r="E57" s="136">
        <v>40</v>
      </c>
      <c r="F57" s="136">
        <v>45</v>
      </c>
      <c r="G57" s="137">
        <v>60</v>
      </c>
      <c r="H57" s="137">
        <v>55</v>
      </c>
      <c r="I57" s="137">
        <v>40</v>
      </c>
      <c r="J57" s="137">
        <v>90</v>
      </c>
      <c r="K57" s="137">
        <v>70</v>
      </c>
      <c r="L57" s="155">
        <v>55</v>
      </c>
      <c r="M57" s="155">
        <v>50</v>
      </c>
      <c r="N57" s="155">
        <v>45</v>
      </c>
      <c r="O57" s="137"/>
      <c r="P57" s="137"/>
      <c r="Q57" s="138">
        <f t="shared" si="2"/>
        <v>620</v>
      </c>
      <c r="R57" s="177">
        <f t="shared" si="3"/>
        <v>439.24675000000002</v>
      </c>
    </row>
    <row r="58" spans="1:43" ht="15.75" customHeight="1">
      <c r="A58" s="108">
        <v>54</v>
      </c>
      <c r="B58" s="135">
        <v>12</v>
      </c>
      <c r="C58" s="136">
        <v>50</v>
      </c>
      <c r="D58" s="136">
        <v>35</v>
      </c>
      <c r="E58" s="136">
        <v>40</v>
      </c>
      <c r="F58" s="136">
        <v>50</v>
      </c>
      <c r="G58" s="137">
        <v>70</v>
      </c>
      <c r="H58" s="137">
        <v>70</v>
      </c>
      <c r="I58" s="137">
        <v>55</v>
      </c>
      <c r="J58" s="137">
        <v>105</v>
      </c>
      <c r="K58" s="137">
        <v>75</v>
      </c>
      <c r="L58" s="155">
        <v>60</v>
      </c>
      <c r="M58" s="155">
        <v>50</v>
      </c>
      <c r="N58" s="155">
        <v>45</v>
      </c>
      <c r="O58" s="137"/>
      <c r="P58" s="137"/>
      <c r="Q58" s="138">
        <f t="shared" si="2"/>
        <v>705</v>
      </c>
      <c r="R58" s="177">
        <f t="shared" si="3"/>
        <v>499.46606250000002</v>
      </c>
    </row>
    <row r="59" spans="1:43" ht="15.75" customHeight="1">
      <c r="A59" s="108">
        <v>55</v>
      </c>
      <c r="B59" s="135">
        <v>12</v>
      </c>
      <c r="C59" s="136">
        <v>50</v>
      </c>
      <c r="D59" s="136">
        <v>40</v>
      </c>
      <c r="E59" s="136">
        <v>40</v>
      </c>
      <c r="F59" s="136">
        <v>45</v>
      </c>
      <c r="G59" s="137">
        <v>70</v>
      </c>
      <c r="H59" s="137">
        <v>70</v>
      </c>
      <c r="I59" s="137">
        <v>55</v>
      </c>
      <c r="J59" s="137">
        <v>120</v>
      </c>
      <c r="K59" s="137">
        <v>85</v>
      </c>
      <c r="L59" s="155">
        <v>80</v>
      </c>
      <c r="M59" s="155">
        <v>70</v>
      </c>
      <c r="N59" s="155">
        <v>60</v>
      </c>
      <c r="O59" s="137"/>
      <c r="P59" s="137"/>
      <c r="Q59" s="138">
        <f t="shared" si="2"/>
        <v>785</v>
      </c>
      <c r="R59" s="177">
        <f t="shared" si="3"/>
        <v>556.14306250000004</v>
      </c>
    </row>
    <row r="60" spans="1:43">
      <c r="G60"/>
      <c r="H60"/>
      <c r="I60"/>
      <c r="J60"/>
      <c r="L60"/>
      <c r="M60"/>
      <c r="N60"/>
      <c r="O60"/>
      <c r="P60"/>
    </row>
    <row r="61" spans="1:43">
      <c r="G61"/>
      <c r="H61"/>
      <c r="I61"/>
      <c r="J61"/>
      <c r="L61"/>
      <c r="M61"/>
      <c r="N61"/>
      <c r="O61"/>
      <c r="P61"/>
    </row>
    <row r="62" spans="1:43" ht="18.5">
      <c r="A62" s="176" t="s">
        <v>990</v>
      </c>
      <c r="B62" s="110"/>
      <c r="C62" s="110"/>
      <c r="D62" s="110"/>
      <c r="E62" s="110"/>
      <c r="F62" s="110"/>
      <c r="G62"/>
    </row>
    <row r="63" spans="1:43" ht="16.149999999999999" customHeight="1">
      <c r="A63" s="240" t="s">
        <v>100</v>
      </c>
      <c r="B63" s="240" t="s">
        <v>825</v>
      </c>
      <c r="C63" s="245" t="s">
        <v>822</v>
      </c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97" t="s">
        <v>829</v>
      </c>
    </row>
    <row r="64" spans="1:43" ht="16.149999999999999" customHeight="1">
      <c r="A64" s="241"/>
      <c r="B64" s="242"/>
      <c r="C64" s="132">
        <v>45357</v>
      </c>
      <c r="D64" s="133">
        <v>45364</v>
      </c>
      <c r="E64" s="133">
        <v>45372</v>
      </c>
      <c r="F64" s="133">
        <v>45375</v>
      </c>
      <c r="G64" s="134">
        <v>45377</v>
      </c>
      <c r="H64" s="133">
        <v>45378</v>
      </c>
      <c r="I64" s="133">
        <v>45380</v>
      </c>
      <c r="J64" s="133">
        <v>45381</v>
      </c>
      <c r="K64" s="133">
        <v>45382</v>
      </c>
      <c r="L64" s="133">
        <v>45384</v>
      </c>
      <c r="M64" s="133">
        <v>45385</v>
      </c>
      <c r="N64" s="133">
        <v>45387</v>
      </c>
      <c r="O64" s="133">
        <v>45389</v>
      </c>
      <c r="P64" s="133">
        <v>45391</v>
      </c>
      <c r="Q64" s="133">
        <v>45393</v>
      </c>
      <c r="R64" s="133">
        <v>45397</v>
      </c>
      <c r="S64" s="133">
        <v>45399</v>
      </c>
      <c r="T64" s="133">
        <v>45401</v>
      </c>
      <c r="U64" s="133">
        <v>45403</v>
      </c>
      <c r="V64" s="133">
        <v>45405</v>
      </c>
      <c r="W64" s="133">
        <v>45407</v>
      </c>
      <c r="X64" s="133">
        <v>45408</v>
      </c>
      <c r="Y64" s="133">
        <v>45409</v>
      </c>
      <c r="Z64" s="133">
        <v>45410</v>
      </c>
      <c r="AA64" s="133">
        <v>45411</v>
      </c>
      <c r="AB64" s="133">
        <v>45412</v>
      </c>
      <c r="AC64" s="133">
        <v>45413</v>
      </c>
      <c r="AD64" s="133">
        <v>45414</v>
      </c>
      <c r="AE64" s="133">
        <v>45415</v>
      </c>
      <c r="AF64" s="133">
        <v>45418</v>
      </c>
      <c r="AG64" s="133">
        <v>45420</v>
      </c>
      <c r="AH64" s="133">
        <v>45422</v>
      </c>
      <c r="AI64" s="133">
        <v>45424</v>
      </c>
      <c r="AJ64" s="133">
        <v>45425</v>
      </c>
      <c r="AK64" s="133">
        <v>45426</v>
      </c>
      <c r="AL64" s="133">
        <v>45428</v>
      </c>
      <c r="AM64" s="133">
        <v>45432</v>
      </c>
      <c r="AN64" s="133">
        <v>45433</v>
      </c>
      <c r="AO64" s="133"/>
      <c r="AP64" s="109" t="s">
        <v>830</v>
      </c>
      <c r="AQ64" s="109" t="s">
        <v>831</v>
      </c>
    </row>
    <row r="65" spans="1:43" ht="18.5">
      <c r="A65" s="108">
        <v>56</v>
      </c>
      <c r="B65" s="135">
        <v>1.1000000000000001</v>
      </c>
      <c r="C65" s="108">
        <v>70</v>
      </c>
      <c r="D65" s="108">
        <v>100</v>
      </c>
      <c r="E65" s="107">
        <v>170</v>
      </c>
      <c r="F65" s="107">
        <v>175</v>
      </c>
      <c r="G65" s="156">
        <v>70</v>
      </c>
      <c r="H65" s="156">
        <v>75</v>
      </c>
      <c r="I65" s="156">
        <v>120</v>
      </c>
      <c r="J65" s="156">
        <v>100</v>
      </c>
      <c r="K65" s="107">
        <v>80</v>
      </c>
      <c r="L65" s="156">
        <v>130</v>
      </c>
      <c r="M65" s="156">
        <v>105</v>
      </c>
      <c r="N65" s="156">
        <v>200</v>
      </c>
      <c r="O65" s="156">
        <v>85</v>
      </c>
      <c r="P65" s="156">
        <v>95</v>
      </c>
      <c r="Q65" s="156">
        <v>240</v>
      </c>
      <c r="R65" s="156">
        <v>85</v>
      </c>
      <c r="S65" s="156">
        <v>175</v>
      </c>
      <c r="T65" s="156">
        <v>170</v>
      </c>
      <c r="U65" s="156">
        <v>130</v>
      </c>
      <c r="V65" s="156">
        <v>140</v>
      </c>
      <c r="W65" s="156">
        <v>135</v>
      </c>
      <c r="X65" s="156">
        <v>110</v>
      </c>
      <c r="Y65" s="156">
        <v>95</v>
      </c>
      <c r="Z65" s="156">
        <v>120</v>
      </c>
      <c r="AA65" s="156">
        <v>110</v>
      </c>
      <c r="AB65" s="156">
        <v>80</v>
      </c>
      <c r="AC65" s="156">
        <v>55</v>
      </c>
      <c r="AD65" s="155">
        <v>60</v>
      </c>
      <c r="AE65" s="155">
        <v>55</v>
      </c>
      <c r="AF65" s="155">
        <v>85</v>
      </c>
      <c r="AG65" s="155">
        <v>70</v>
      </c>
      <c r="AH65" s="155">
        <v>95</v>
      </c>
      <c r="AI65" s="155">
        <v>160</v>
      </c>
      <c r="AJ65" s="155">
        <v>35</v>
      </c>
      <c r="AK65" s="155">
        <v>45</v>
      </c>
      <c r="AL65" s="155">
        <v>75</v>
      </c>
      <c r="AM65" s="155">
        <v>95</v>
      </c>
      <c r="AN65" s="155">
        <v>70</v>
      </c>
      <c r="AO65" s="156"/>
      <c r="AP65" s="138">
        <f>SUM(C65:AO65)</f>
        <v>4065</v>
      </c>
      <c r="AQ65" s="109">
        <f t="shared" si="3"/>
        <v>2879.9000624999999</v>
      </c>
    </row>
    <row r="66" spans="1:43" ht="18.5">
      <c r="A66" s="108">
        <v>57</v>
      </c>
      <c r="B66" s="135">
        <v>1.1000000000000001</v>
      </c>
      <c r="C66" s="108">
        <v>60</v>
      </c>
      <c r="D66" s="108">
        <v>100</v>
      </c>
      <c r="E66" s="107">
        <v>205</v>
      </c>
      <c r="F66" s="107">
        <v>175</v>
      </c>
      <c r="G66" s="156">
        <v>50</v>
      </c>
      <c r="H66" s="156">
        <v>70</v>
      </c>
      <c r="I66" s="156">
        <v>120</v>
      </c>
      <c r="J66" s="156">
        <v>90</v>
      </c>
      <c r="K66" s="107">
        <v>60</v>
      </c>
      <c r="L66" s="156">
        <v>120</v>
      </c>
      <c r="M66" s="156">
        <v>75</v>
      </c>
      <c r="N66" s="156">
        <v>150</v>
      </c>
      <c r="O66" s="156">
        <v>65</v>
      </c>
      <c r="P66" s="156">
        <v>80</v>
      </c>
      <c r="Q66" s="156">
        <v>115</v>
      </c>
      <c r="R66" s="156">
        <v>130</v>
      </c>
      <c r="S66" s="156">
        <v>120</v>
      </c>
      <c r="T66" s="156">
        <v>145</v>
      </c>
      <c r="U66" s="156">
        <v>120</v>
      </c>
      <c r="V66" s="156">
        <v>120</v>
      </c>
      <c r="W66" s="156">
        <v>120</v>
      </c>
      <c r="X66" s="156">
        <v>90</v>
      </c>
      <c r="Y66" s="156">
        <v>25</v>
      </c>
      <c r="Z66" s="156">
        <v>80</v>
      </c>
      <c r="AA66" s="156">
        <v>140</v>
      </c>
      <c r="AB66" s="156">
        <v>85</v>
      </c>
      <c r="AC66" s="156">
        <v>50</v>
      </c>
      <c r="AD66" s="155">
        <v>40</v>
      </c>
      <c r="AE66" s="155">
        <v>60</v>
      </c>
      <c r="AF66" s="155">
        <v>90</v>
      </c>
      <c r="AG66" s="155">
        <v>65</v>
      </c>
      <c r="AH66" s="155">
        <v>100</v>
      </c>
      <c r="AI66" s="155">
        <v>140</v>
      </c>
      <c r="AJ66" s="155">
        <v>65</v>
      </c>
      <c r="AK66" s="155">
        <v>40</v>
      </c>
      <c r="AL66" s="155">
        <v>85</v>
      </c>
      <c r="AM66" s="155">
        <v>130</v>
      </c>
      <c r="AN66" s="155">
        <v>65</v>
      </c>
      <c r="AO66" s="156"/>
      <c r="AP66" s="138">
        <f t="shared" ref="AP66:AP70" si="4">SUM(C66:AO66)</f>
        <v>3640</v>
      </c>
      <c r="AQ66" s="109">
        <f t="shared" si="3"/>
        <v>2578.8035</v>
      </c>
    </row>
    <row r="67" spans="1:43" ht="18.5">
      <c r="A67" s="108">
        <v>58</v>
      </c>
      <c r="B67" s="135">
        <v>1.1000000000000001</v>
      </c>
      <c r="C67" s="108">
        <v>65</v>
      </c>
      <c r="D67" s="108">
        <v>95</v>
      </c>
      <c r="E67" s="107">
        <v>195</v>
      </c>
      <c r="F67" s="107">
        <v>175</v>
      </c>
      <c r="G67" s="156">
        <v>90</v>
      </c>
      <c r="H67" s="156">
        <v>70</v>
      </c>
      <c r="I67" s="156">
        <v>130</v>
      </c>
      <c r="J67" s="156">
        <v>75</v>
      </c>
      <c r="K67" s="107">
        <v>60</v>
      </c>
      <c r="L67" s="156">
        <v>135</v>
      </c>
      <c r="M67" s="156">
        <v>80</v>
      </c>
      <c r="N67" s="156">
        <v>155</v>
      </c>
      <c r="O67" s="156">
        <v>85</v>
      </c>
      <c r="P67" s="156">
        <v>70</v>
      </c>
      <c r="Q67" s="156">
        <v>190</v>
      </c>
      <c r="R67" s="156">
        <v>80</v>
      </c>
      <c r="S67" s="156">
        <v>180</v>
      </c>
      <c r="T67" s="156">
        <v>170</v>
      </c>
      <c r="U67" s="156">
        <v>120</v>
      </c>
      <c r="V67" s="156">
        <v>170</v>
      </c>
      <c r="W67" s="156">
        <v>165</v>
      </c>
      <c r="X67" s="156">
        <v>90</v>
      </c>
      <c r="Y67" s="156">
        <v>65</v>
      </c>
      <c r="Z67" s="156">
        <v>85</v>
      </c>
      <c r="AA67" s="156">
        <v>115</v>
      </c>
      <c r="AB67" s="156">
        <v>65</v>
      </c>
      <c r="AC67" s="156">
        <v>65</v>
      </c>
      <c r="AD67" s="155">
        <v>15</v>
      </c>
      <c r="AE67" s="155">
        <v>40</v>
      </c>
      <c r="AF67" s="155">
        <v>100</v>
      </c>
      <c r="AG67" s="155">
        <v>65</v>
      </c>
      <c r="AH67" s="155">
        <v>105</v>
      </c>
      <c r="AI67" s="155">
        <v>130</v>
      </c>
      <c r="AJ67" s="155">
        <v>60</v>
      </c>
      <c r="AK67" s="155">
        <v>10</v>
      </c>
      <c r="AL67" s="155">
        <v>75</v>
      </c>
      <c r="AM67" s="155">
        <v>130</v>
      </c>
      <c r="AN67" s="155">
        <v>70</v>
      </c>
      <c r="AO67" s="156"/>
      <c r="AP67" s="138">
        <f t="shared" si="4"/>
        <v>3840</v>
      </c>
      <c r="AQ67" s="109">
        <f t="shared" si="3"/>
        <v>2720.4960000000001</v>
      </c>
    </row>
    <row r="68" spans="1:43" ht="18.5">
      <c r="A68" s="108">
        <v>59</v>
      </c>
      <c r="B68" s="135">
        <v>1.1000000000000001</v>
      </c>
      <c r="C68" s="108">
        <v>65</v>
      </c>
      <c r="D68" s="108">
        <v>105</v>
      </c>
      <c r="E68" s="107">
        <v>160</v>
      </c>
      <c r="F68" s="107">
        <v>175</v>
      </c>
      <c r="G68" s="156">
        <v>95</v>
      </c>
      <c r="H68" s="156">
        <v>55</v>
      </c>
      <c r="I68" s="156">
        <v>120</v>
      </c>
      <c r="J68" s="156">
        <v>90</v>
      </c>
      <c r="K68" s="107">
        <v>60</v>
      </c>
      <c r="L68" s="156">
        <v>130</v>
      </c>
      <c r="M68" s="156">
        <v>75</v>
      </c>
      <c r="N68" s="156">
        <v>160</v>
      </c>
      <c r="O68" s="156">
        <v>70</v>
      </c>
      <c r="P68" s="156">
        <v>120</v>
      </c>
      <c r="Q68" s="156">
        <v>175</v>
      </c>
      <c r="R68" s="156">
        <v>180</v>
      </c>
      <c r="S68" s="156">
        <v>165</v>
      </c>
      <c r="T68" s="156">
        <v>160</v>
      </c>
      <c r="U68" s="156">
        <v>140</v>
      </c>
      <c r="V68" s="156">
        <v>155</v>
      </c>
      <c r="W68" s="156">
        <v>160</v>
      </c>
      <c r="X68" s="156">
        <v>90</v>
      </c>
      <c r="Y68" s="156">
        <v>70</v>
      </c>
      <c r="Z68" s="156">
        <v>80</v>
      </c>
      <c r="AA68" s="156">
        <v>80</v>
      </c>
      <c r="AB68" s="156">
        <v>80</v>
      </c>
      <c r="AC68" s="156">
        <v>55</v>
      </c>
      <c r="AD68" s="155">
        <v>60</v>
      </c>
      <c r="AE68" s="155">
        <v>50</v>
      </c>
      <c r="AF68" s="155">
        <v>140</v>
      </c>
      <c r="AG68" s="155">
        <v>100</v>
      </c>
      <c r="AH68" s="155">
        <v>90</v>
      </c>
      <c r="AI68" s="155">
        <v>160</v>
      </c>
      <c r="AJ68" s="155">
        <v>85</v>
      </c>
      <c r="AK68" s="155">
        <v>60</v>
      </c>
      <c r="AL68" s="155">
        <v>75</v>
      </c>
      <c r="AM68" s="155">
        <v>140</v>
      </c>
      <c r="AN68" s="155">
        <v>80</v>
      </c>
      <c r="AO68" s="156"/>
      <c r="AP68" s="138">
        <f t="shared" si="4"/>
        <v>4110</v>
      </c>
      <c r="AQ68" s="109">
        <f t="shared" si="3"/>
        <v>2911.7808749999999</v>
      </c>
    </row>
    <row r="69" spans="1:43" ht="18.5">
      <c r="A69" s="108">
        <v>60</v>
      </c>
      <c r="B69" s="135">
        <v>1.1000000000000001</v>
      </c>
      <c r="C69" s="108">
        <v>65</v>
      </c>
      <c r="D69" s="108">
        <v>100</v>
      </c>
      <c r="E69" s="107">
        <v>215</v>
      </c>
      <c r="F69" s="107">
        <v>175</v>
      </c>
      <c r="G69" s="156">
        <v>105</v>
      </c>
      <c r="H69" s="156">
        <v>65</v>
      </c>
      <c r="I69" s="156">
        <v>130</v>
      </c>
      <c r="J69" s="156">
        <v>85</v>
      </c>
      <c r="K69" s="107">
        <v>60</v>
      </c>
      <c r="L69" s="156">
        <v>115</v>
      </c>
      <c r="M69" s="156">
        <v>95</v>
      </c>
      <c r="N69" s="156">
        <v>165</v>
      </c>
      <c r="O69" s="156">
        <v>85</v>
      </c>
      <c r="P69" s="156">
        <v>85</v>
      </c>
      <c r="Q69" s="156">
        <v>170</v>
      </c>
      <c r="R69" s="156">
        <v>110</v>
      </c>
      <c r="S69" s="156">
        <v>160</v>
      </c>
      <c r="T69" s="156">
        <v>160</v>
      </c>
      <c r="U69" s="156">
        <v>135</v>
      </c>
      <c r="V69" s="156">
        <v>150</v>
      </c>
      <c r="W69" s="156">
        <v>160</v>
      </c>
      <c r="X69" s="156">
        <v>95</v>
      </c>
      <c r="Y69" s="156">
        <v>65</v>
      </c>
      <c r="Z69" s="156">
        <v>90</v>
      </c>
      <c r="AA69" s="156">
        <v>105</v>
      </c>
      <c r="AB69" s="156">
        <v>80</v>
      </c>
      <c r="AC69" s="156">
        <v>55</v>
      </c>
      <c r="AD69" s="155">
        <v>65</v>
      </c>
      <c r="AE69" s="155">
        <v>65</v>
      </c>
      <c r="AF69" s="155">
        <v>155</v>
      </c>
      <c r="AG69" s="155">
        <v>95</v>
      </c>
      <c r="AH69" s="155">
        <v>105</v>
      </c>
      <c r="AI69" s="155">
        <v>175</v>
      </c>
      <c r="AJ69" s="155">
        <v>50</v>
      </c>
      <c r="AK69" s="155">
        <v>50</v>
      </c>
      <c r="AL69" s="155">
        <v>80</v>
      </c>
      <c r="AM69" s="155">
        <v>150</v>
      </c>
      <c r="AN69" s="155">
        <v>60</v>
      </c>
      <c r="AO69" s="156"/>
      <c r="AP69" s="138">
        <f t="shared" si="4"/>
        <v>4130</v>
      </c>
      <c r="AQ69" s="109">
        <f t="shared" si="3"/>
        <v>2925.9501249999998</v>
      </c>
    </row>
    <row r="70" spans="1:43" ht="18.5">
      <c r="A70" s="108">
        <v>61</v>
      </c>
      <c r="B70" s="135">
        <v>1.1000000000000001</v>
      </c>
      <c r="C70" s="108">
        <v>55</v>
      </c>
      <c r="D70" s="108">
        <v>110</v>
      </c>
      <c r="E70" s="107">
        <v>145</v>
      </c>
      <c r="F70" s="107">
        <v>175</v>
      </c>
      <c r="G70" s="156">
        <v>95</v>
      </c>
      <c r="H70" s="156">
        <v>60</v>
      </c>
      <c r="I70" s="156">
        <v>120</v>
      </c>
      <c r="J70" s="156">
        <v>65</v>
      </c>
      <c r="K70" s="107">
        <v>60</v>
      </c>
      <c r="L70" s="156">
        <v>110</v>
      </c>
      <c r="M70" s="156">
        <v>60</v>
      </c>
      <c r="N70" s="156">
        <v>140</v>
      </c>
      <c r="O70" s="156">
        <v>80</v>
      </c>
      <c r="P70" s="156">
        <v>105</v>
      </c>
      <c r="Q70" s="156">
        <v>140</v>
      </c>
      <c r="R70" s="156">
        <v>160</v>
      </c>
      <c r="S70" s="156">
        <v>130</v>
      </c>
      <c r="T70" s="156">
        <v>140</v>
      </c>
      <c r="U70" s="156">
        <v>120</v>
      </c>
      <c r="V70" s="156">
        <v>130</v>
      </c>
      <c r="W70" s="156">
        <v>160</v>
      </c>
      <c r="X70" s="156">
        <v>85</v>
      </c>
      <c r="Y70" s="156">
        <v>65</v>
      </c>
      <c r="Z70" s="156">
        <v>70</v>
      </c>
      <c r="AA70" s="156">
        <v>90</v>
      </c>
      <c r="AB70" s="156">
        <v>75</v>
      </c>
      <c r="AC70" s="156">
        <v>55</v>
      </c>
      <c r="AD70" s="155">
        <v>55</v>
      </c>
      <c r="AE70" s="155">
        <v>45</v>
      </c>
      <c r="AF70" s="155">
        <v>140</v>
      </c>
      <c r="AG70" s="155">
        <v>75</v>
      </c>
      <c r="AH70" s="155">
        <v>100</v>
      </c>
      <c r="AI70" s="155">
        <v>150</v>
      </c>
      <c r="AJ70" s="155">
        <v>80</v>
      </c>
      <c r="AK70" s="155">
        <v>50</v>
      </c>
      <c r="AL70" s="155">
        <v>85</v>
      </c>
      <c r="AM70" s="155">
        <v>145</v>
      </c>
      <c r="AN70" s="155">
        <v>65</v>
      </c>
      <c r="AO70" s="156"/>
      <c r="AP70" s="138">
        <f t="shared" si="4"/>
        <v>3790</v>
      </c>
      <c r="AQ70" s="109">
        <f t="shared" si="3"/>
        <v>2685.0728749999998</v>
      </c>
    </row>
    <row r="71" spans="1:43" ht="18.5">
      <c r="B71" s="119"/>
    </row>
    <row r="72" spans="1:43" ht="21">
      <c r="B72" s="116"/>
    </row>
    <row r="73" spans="1:43" ht="18.5">
      <c r="B73" s="119"/>
    </row>
    <row r="74" spans="1:43" ht="18.5">
      <c r="B74" s="119"/>
    </row>
    <row r="75" spans="1:43" ht="18.5">
      <c r="B75" s="119"/>
    </row>
    <row r="76" spans="1:43" ht="18.5">
      <c r="B76" s="119"/>
    </row>
    <row r="77" spans="1:43" ht="18.5">
      <c r="B77" s="119"/>
    </row>
    <row r="78" spans="1:43" ht="18.5">
      <c r="B78" s="119"/>
    </row>
    <row r="79" spans="1:43" ht="18.5">
      <c r="B79" s="119"/>
    </row>
    <row r="80" spans="1:43" ht="18.5">
      <c r="B80" s="119"/>
    </row>
    <row r="81" spans="2:2" ht="18.5">
      <c r="B81" s="119"/>
    </row>
    <row r="82" spans="2:2" ht="18.5">
      <c r="B82" s="119"/>
    </row>
    <row r="83" spans="2:2" ht="18.5">
      <c r="B83" s="119"/>
    </row>
    <row r="84" spans="2:2" ht="18.5">
      <c r="B84" s="119"/>
    </row>
    <row r="85" spans="2:2" ht="18.5">
      <c r="B85" s="119"/>
    </row>
    <row r="86" spans="2:2" ht="18.5">
      <c r="B86" s="119"/>
    </row>
    <row r="87" spans="2:2" ht="18.5">
      <c r="B87" s="119"/>
    </row>
    <row r="88" spans="2:2" ht="18.5">
      <c r="B88" s="119"/>
    </row>
    <row r="89" spans="2:2" ht="18.5">
      <c r="B89" s="119"/>
    </row>
    <row r="90" spans="2:2" ht="18.5">
      <c r="B90" s="119"/>
    </row>
    <row r="91" spans="2:2" ht="18.5">
      <c r="B91" s="119"/>
    </row>
    <row r="92" spans="2:2" ht="18.5">
      <c r="B92" s="119"/>
    </row>
    <row r="93" spans="2:2" ht="18.5">
      <c r="B93" s="119"/>
    </row>
    <row r="94" spans="2:2" ht="18.5">
      <c r="B94" s="119"/>
    </row>
    <row r="95" spans="2:2" ht="18.5">
      <c r="B95" s="119"/>
    </row>
    <row r="96" spans="2:2" ht="18.5">
      <c r="B96" s="119"/>
    </row>
    <row r="97" spans="2:2" ht="18.5">
      <c r="B97" s="119"/>
    </row>
    <row r="98" spans="2:2" ht="18.5">
      <c r="B98" s="119"/>
    </row>
    <row r="99" spans="2:2" ht="18.5">
      <c r="B99" s="119"/>
    </row>
    <row r="100" spans="2:2" ht="18.5">
      <c r="B100" s="119"/>
    </row>
    <row r="101" spans="2:2" ht="18.5">
      <c r="B101" s="119"/>
    </row>
    <row r="102" spans="2:2" ht="18.5">
      <c r="B102" s="119"/>
    </row>
    <row r="103" spans="2:2" ht="18.5">
      <c r="B103" s="119"/>
    </row>
    <row r="104" spans="2:2" ht="18.5">
      <c r="B104" s="119"/>
    </row>
    <row r="105" spans="2:2" ht="18.5">
      <c r="B105" s="119"/>
    </row>
    <row r="106" spans="2:2" ht="18.5">
      <c r="B106" s="119"/>
    </row>
    <row r="107" spans="2:2" ht="18.5">
      <c r="B107" s="119"/>
    </row>
    <row r="108" spans="2:2" ht="18.5">
      <c r="B108" s="119"/>
    </row>
  </sheetData>
  <mergeCells count="6">
    <mergeCell ref="A63:A64"/>
    <mergeCell ref="B63:B64"/>
    <mergeCell ref="C63:S63"/>
    <mergeCell ref="A4:A5"/>
    <mergeCell ref="B4:B5"/>
    <mergeCell ref="C4:P4"/>
  </mergeCells>
  <pageMargins left="0.25" right="0.25" top="0.75" bottom="0.75" header="0.3" footer="0.3"/>
  <pageSetup paperSize="17" orientation="landscape" r:id="rId1"/>
  <headerFooter>
    <oddHeader>&amp;R&amp;"Calibri"&amp;10&amp;K000000 Unclassified / Non classifié&amp;1#_x000D_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557F-5B7E-48FD-A842-BE121A93EDF9}">
  <dimension ref="A1:N327"/>
  <sheetViews>
    <sheetView zoomScaleNormal="100" zoomScaleSheetLayoutView="110" workbookViewId="0">
      <pane ySplit="3" topLeftCell="A4" activePane="bottomLeft" state="frozen"/>
      <selection pane="bottomLeft" activeCell="H11" sqref="H11"/>
    </sheetView>
  </sheetViews>
  <sheetFormatPr defaultRowHeight="14.5"/>
  <cols>
    <col min="1" max="3" width="6.26953125" customWidth="1"/>
    <col min="4" max="4" width="10" bestFit="1" customWidth="1"/>
    <col min="5" max="5" width="26" bestFit="1" customWidth="1"/>
    <col min="6" max="7" width="10.26953125" bestFit="1" customWidth="1"/>
    <col min="8" max="8" width="12" bestFit="1" customWidth="1"/>
    <col min="9" max="9" width="18.7265625" bestFit="1" customWidth="1"/>
    <col min="10" max="10" width="26" bestFit="1" customWidth="1"/>
    <col min="13" max="13" width="18.54296875" bestFit="1" customWidth="1"/>
  </cols>
  <sheetData>
    <row r="1" spans="1:14" ht="18.5">
      <c r="A1" s="42" t="s">
        <v>1100</v>
      </c>
    </row>
    <row r="2" spans="1:14">
      <c r="M2" t="s">
        <v>1133</v>
      </c>
      <c r="N2">
        <f>COUNT(G4:G327)</f>
        <v>67</v>
      </c>
    </row>
    <row r="3" spans="1:14">
      <c r="A3" s="140" t="s">
        <v>100</v>
      </c>
      <c r="B3" s="140" t="s">
        <v>101</v>
      </c>
      <c r="C3" s="140" t="s">
        <v>834</v>
      </c>
      <c r="D3" s="140" t="s">
        <v>758</v>
      </c>
      <c r="E3" s="140" t="s">
        <v>756</v>
      </c>
      <c r="F3" s="140" t="s">
        <v>1139</v>
      </c>
      <c r="G3" s="140" t="s">
        <v>1137</v>
      </c>
      <c r="H3" s="140" t="s">
        <v>1135</v>
      </c>
      <c r="I3" s="140" t="s">
        <v>1129</v>
      </c>
      <c r="J3" s="140" t="s">
        <v>1136</v>
      </c>
      <c r="M3" t="s">
        <v>1134</v>
      </c>
      <c r="N3">
        <f>COUNT(A4:A327)-N2</f>
        <v>257</v>
      </c>
    </row>
    <row r="4" spans="1:14">
      <c r="A4" s="107">
        <v>1</v>
      </c>
      <c r="B4" s="107">
        <v>1</v>
      </c>
      <c r="C4" s="107">
        <v>1</v>
      </c>
      <c r="D4" s="107" t="s">
        <v>130</v>
      </c>
      <c r="E4" s="107" t="s">
        <v>132</v>
      </c>
      <c r="F4" s="107"/>
      <c r="G4" s="107"/>
      <c r="H4" s="106"/>
      <c r="I4" s="107"/>
      <c r="J4" s="203" t="str">
        <f>IF(G4="","",H4/G4)</f>
        <v/>
      </c>
    </row>
    <row r="5" spans="1:14">
      <c r="A5" s="107">
        <v>1</v>
      </c>
      <c r="B5" s="107">
        <v>2</v>
      </c>
      <c r="C5" s="107">
        <v>1</v>
      </c>
      <c r="D5" s="107" t="s">
        <v>134</v>
      </c>
      <c r="E5" s="107" t="s">
        <v>135</v>
      </c>
      <c r="F5" s="107"/>
      <c r="G5" s="107"/>
      <c r="H5" s="106"/>
      <c r="I5" s="107"/>
      <c r="J5" s="203" t="str">
        <f t="shared" ref="J5:J68" si="0">IF(G5="","",H5/G5)</f>
        <v/>
      </c>
    </row>
    <row r="6" spans="1:14">
      <c r="A6" s="107">
        <v>1</v>
      </c>
      <c r="B6" s="107">
        <v>3</v>
      </c>
      <c r="C6" s="107">
        <v>1</v>
      </c>
      <c r="D6" s="107" t="s">
        <v>136</v>
      </c>
      <c r="E6" s="107" t="s">
        <v>137</v>
      </c>
      <c r="F6" s="107"/>
      <c r="G6" s="107"/>
      <c r="H6" s="106"/>
      <c r="I6" s="107"/>
      <c r="J6" s="203" t="str">
        <f t="shared" si="0"/>
        <v/>
      </c>
    </row>
    <row r="7" spans="1:14">
      <c r="A7" s="107">
        <v>1</v>
      </c>
      <c r="B7" s="107">
        <v>4</v>
      </c>
      <c r="C7" s="107">
        <v>1</v>
      </c>
      <c r="D7" s="107" t="s">
        <v>138</v>
      </c>
      <c r="E7" s="107" t="s">
        <v>139</v>
      </c>
      <c r="F7" s="107"/>
      <c r="G7" s="107"/>
      <c r="H7" s="106"/>
      <c r="I7" s="107">
        <v>1</v>
      </c>
      <c r="J7" s="203" t="str">
        <f t="shared" si="0"/>
        <v/>
      </c>
    </row>
    <row r="8" spans="1:14">
      <c r="A8" s="107">
        <v>1</v>
      </c>
      <c r="B8" s="107">
        <v>5</v>
      </c>
      <c r="C8" s="107">
        <v>1</v>
      </c>
      <c r="D8" s="107" t="s">
        <v>140</v>
      </c>
      <c r="E8" s="107" t="s">
        <v>141</v>
      </c>
      <c r="F8" s="107"/>
      <c r="G8" s="107"/>
      <c r="H8" s="106"/>
      <c r="I8" s="107"/>
      <c r="J8" s="203" t="str">
        <f t="shared" si="0"/>
        <v/>
      </c>
    </row>
    <row r="9" spans="1:14">
      <c r="A9" s="107">
        <v>1</v>
      </c>
      <c r="B9" s="107">
        <v>6</v>
      </c>
      <c r="C9" s="107">
        <v>1</v>
      </c>
      <c r="D9" s="107" t="s">
        <v>142</v>
      </c>
      <c r="E9" s="107" t="s">
        <v>143</v>
      </c>
      <c r="F9" s="107"/>
      <c r="G9" s="107"/>
      <c r="H9" s="106"/>
      <c r="I9" s="107"/>
      <c r="J9" s="203" t="str">
        <f t="shared" si="0"/>
        <v/>
      </c>
    </row>
    <row r="10" spans="1:14">
      <c r="A10" s="201">
        <v>2</v>
      </c>
      <c r="B10" s="201">
        <v>1</v>
      </c>
      <c r="C10" s="201">
        <v>1</v>
      </c>
      <c r="D10" s="201" t="s">
        <v>144</v>
      </c>
      <c r="E10" s="201" t="s">
        <v>145</v>
      </c>
      <c r="F10" s="201"/>
      <c r="G10" s="201"/>
      <c r="H10" s="202"/>
      <c r="I10" s="201"/>
      <c r="J10" s="204" t="str">
        <f t="shared" si="0"/>
        <v/>
      </c>
    </row>
    <row r="11" spans="1:14">
      <c r="A11" s="201">
        <v>2</v>
      </c>
      <c r="B11" s="201">
        <v>2</v>
      </c>
      <c r="C11" s="201">
        <v>1</v>
      </c>
      <c r="D11" s="201" t="s">
        <v>146</v>
      </c>
      <c r="E11" s="201" t="s">
        <v>147</v>
      </c>
      <c r="F11" s="201"/>
      <c r="G11" s="201"/>
      <c r="H11" s="202"/>
      <c r="I11" s="201">
        <v>1</v>
      </c>
      <c r="J11" s="204" t="str">
        <f t="shared" si="0"/>
        <v/>
      </c>
    </row>
    <row r="12" spans="1:14">
      <c r="A12" s="201">
        <v>2</v>
      </c>
      <c r="B12" s="201">
        <v>3</v>
      </c>
      <c r="C12" s="201">
        <v>1</v>
      </c>
      <c r="D12" s="201" t="s">
        <v>148</v>
      </c>
      <c r="E12" s="201" t="s">
        <v>149</v>
      </c>
      <c r="F12" s="201"/>
      <c r="G12" s="201"/>
      <c r="H12" s="202"/>
      <c r="I12" s="201"/>
      <c r="J12" s="204" t="str">
        <f t="shared" si="0"/>
        <v/>
      </c>
    </row>
    <row r="13" spans="1:14">
      <c r="A13" s="201">
        <v>2</v>
      </c>
      <c r="B13" s="201">
        <v>4</v>
      </c>
      <c r="C13" s="201">
        <v>1</v>
      </c>
      <c r="D13" s="201" t="s">
        <v>150</v>
      </c>
      <c r="E13" s="201" t="s">
        <v>151</v>
      </c>
      <c r="F13" s="201"/>
      <c r="G13" s="201"/>
      <c r="H13" s="202"/>
      <c r="I13" s="201">
        <v>2</v>
      </c>
      <c r="J13" s="204" t="str">
        <f t="shared" si="0"/>
        <v/>
      </c>
    </row>
    <row r="14" spans="1:14">
      <c r="A14" s="201">
        <v>2</v>
      </c>
      <c r="B14" s="201">
        <v>5</v>
      </c>
      <c r="C14" s="201">
        <v>1</v>
      </c>
      <c r="D14" s="201" t="s">
        <v>152</v>
      </c>
      <c r="E14" s="201" t="s">
        <v>153</v>
      </c>
      <c r="F14" s="201"/>
      <c r="G14" s="201"/>
      <c r="H14" s="202"/>
      <c r="I14" s="201"/>
      <c r="J14" s="204" t="str">
        <f t="shared" si="0"/>
        <v/>
      </c>
    </row>
    <row r="15" spans="1:14">
      <c r="A15" s="201">
        <v>2</v>
      </c>
      <c r="B15" s="201">
        <v>6</v>
      </c>
      <c r="C15" s="201">
        <v>1</v>
      </c>
      <c r="D15" s="201" t="s">
        <v>154</v>
      </c>
      <c r="E15" s="201" t="s">
        <v>155</v>
      </c>
      <c r="F15" s="201"/>
      <c r="G15" s="201"/>
      <c r="H15" s="202"/>
      <c r="I15" s="201"/>
      <c r="J15" s="204" t="str">
        <f t="shared" si="0"/>
        <v/>
      </c>
    </row>
    <row r="16" spans="1:14">
      <c r="A16" s="107">
        <v>3</v>
      </c>
      <c r="B16" s="107">
        <v>1</v>
      </c>
      <c r="C16" s="107">
        <v>1</v>
      </c>
      <c r="D16" s="107" t="s">
        <v>156</v>
      </c>
      <c r="E16" s="107" t="s">
        <v>157</v>
      </c>
      <c r="F16" s="107"/>
      <c r="G16" s="107"/>
      <c r="H16" s="106"/>
      <c r="I16" s="107">
        <v>1</v>
      </c>
      <c r="J16" s="203" t="str">
        <f t="shared" si="0"/>
        <v/>
      </c>
    </row>
    <row r="17" spans="1:10">
      <c r="A17" s="107">
        <v>3</v>
      </c>
      <c r="B17" s="107">
        <v>2</v>
      </c>
      <c r="C17" s="107">
        <v>1</v>
      </c>
      <c r="D17" s="107" t="s">
        <v>158</v>
      </c>
      <c r="E17" s="107" t="s">
        <v>159</v>
      </c>
      <c r="F17" s="107"/>
      <c r="G17" s="107"/>
      <c r="H17" s="106"/>
      <c r="I17" s="107"/>
      <c r="J17" s="203" t="str">
        <f t="shared" si="0"/>
        <v/>
      </c>
    </row>
    <row r="18" spans="1:10">
      <c r="A18" s="107">
        <v>3</v>
      </c>
      <c r="B18" s="107">
        <v>3</v>
      </c>
      <c r="C18" s="107">
        <v>1</v>
      </c>
      <c r="D18" s="107" t="s">
        <v>160</v>
      </c>
      <c r="E18" s="107" t="s">
        <v>161</v>
      </c>
      <c r="F18" s="107"/>
      <c r="G18" s="107"/>
      <c r="H18" s="106"/>
      <c r="I18" s="107"/>
      <c r="J18" s="203" t="str">
        <f t="shared" si="0"/>
        <v/>
      </c>
    </row>
    <row r="19" spans="1:10">
      <c r="A19" s="107">
        <v>3</v>
      </c>
      <c r="B19" s="107">
        <v>4</v>
      </c>
      <c r="C19" s="107">
        <v>1</v>
      </c>
      <c r="D19" s="107" t="s">
        <v>162</v>
      </c>
      <c r="E19" s="107" t="s">
        <v>163</v>
      </c>
      <c r="F19" s="107"/>
      <c r="G19" s="107"/>
      <c r="H19" s="106"/>
      <c r="I19" s="107"/>
      <c r="J19" s="203" t="str">
        <f t="shared" si="0"/>
        <v/>
      </c>
    </row>
    <row r="20" spans="1:10">
      <c r="A20" s="107">
        <v>3</v>
      </c>
      <c r="B20" s="107">
        <v>5</v>
      </c>
      <c r="C20" s="107">
        <v>1</v>
      </c>
      <c r="D20" s="107" t="s">
        <v>164</v>
      </c>
      <c r="E20" s="107" t="s">
        <v>165</v>
      </c>
      <c r="F20" s="107"/>
      <c r="G20" s="107"/>
      <c r="H20" s="106"/>
      <c r="I20" s="107"/>
      <c r="J20" s="203" t="str">
        <f t="shared" si="0"/>
        <v/>
      </c>
    </row>
    <row r="21" spans="1:10">
      <c r="A21" s="107">
        <v>3</v>
      </c>
      <c r="B21" s="107">
        <v>6</v>
      </c>
      <c r="C21" s="107">
        <v>1</v>
      </c>
      <c r="D21" s="107" t="s">
        <v>166</v>
      </c>
      <c r="E21" s="107" t="s">
        <v>167</v>
      </c>
      <c r="F21" s="107"/>
      <c r="G21" s="107"/>
      <c r="H21" s="106"/>
      <c r="I21" s="107"/>
      <c r="J21" s="203" t="str">
        <f t="shared" si="0"/>
        <v/>
      </c>
    </row>
    <row r="22" spans="1:10">
      <c r="A22" s="201">
        <v>4</v>
      </c>
      <c r="B22" s="201">
        <v>1</v>
      </c>
      <c r="C22" s="201">
        <v>1</v>
      </c>
      <c r="D22" s="201" t="s">
        <v>168</v>
      </c>
      <c r="E22" s="201" t="s">
        <v>169</v>
      </c>
      <c r="F22" s="201"/>
      <c r="G22" s="201"/>
      <c r="H22" s="202"/>
      <c r="I22" s="201">
        <v>2</v>
      </c>
      <c r="J22" s="204" t="str">
        <f t="shared" si="0"/>
        <v/>
      </c>
    </row>
    <row r="23" spans="1:10">
      <c r="A23" s="201">
        <v>4</v>
      </c>
      <c r="B23" s="201">
        <v>2</v>
      </c>
      <c r="C23" s="201">
        <v>1</v>
      </c>
      <c r="D23" s="201" t="s">
        <v>170</v>
      </c>
      <c r="E23" s="201" t="s">
        <v>171</v>
      </c>
      <c r="F23" s="201"/>
      <c r="G23" s="201"/>
      <c r="H23" s="202"/>
      <c r="I23" s="201"/>
      <c r="J23" s="204" t="str">
        <f t="shared" si="0"/>
        <v/>
      </c>
    </row>
    <row r="24" spans="1:10">
      <c r="A24" s="201">
        <v>4</v>
      </c>
      <c r="B24" s="201">
        <v>3</v>
      </c>
      <c r="C24" s="201">
        <v>1</v>
      </c>
      <c r="D24" s="201" t="s">
        <v>172</v>
      </c>
      <c r="E24" s="201" t="s">
        <v>173</v>
      </c>
      <c r="F24" s="201"/>
      <c r="G24" s="201"/>
      <c r="H24" s="202"/>
      <c r="I24" s="201"/>
      <c r="J24" s="204" t="str">
        <f t="shared" si="0"/>
        <v/>
      </c>
    </row>
    <row r="25" spans="1:10">
      <c r="A25" s="201">
        <v>4</v>
      </c>
      <c r="B25" s="201">
        <v>4</v>
      </c>
      <c r="C25" s="201">
        <v>1</v>
      </c>
      <c r="D25" s="201" t="s">
        <v>174</v>
      </c>
      <c r="E25" s="201" t="s">
        <v>175</v>
      </c>
      <c r="F25" s="201"/>
      <c r="G25" s="201"/>
      <c r="H25" s="202"/>
      <c r="I25" s="201"/>
      <c r="J25" s="204" t="str">
        <f t="shared" si="0"/>
        <v/>
      </c>
    </row>
    <row r="26" spans="1:10">
      <c r="A26" s="201">
        <v>4</v>
      </c>
      <c r="B26" s="201">
        <v>5</v>
      </c>
      <c r="C26" s="201">
        <v>1</v>
      </c>
      <c r="D26" s="201" t="s">
        <v>176</v>
      </c>
      <c r="E26" s="201" t="s">
        <v>177</v>
      </c>
      <c r="F26" s="201"/>
      <c r="G26" s="201"/>
      <c r="H26" s="202"/>
      <c r="I26" s="201"/>
      <c r="J26" s="204" t="str">
        <f t="shared" si="0"/>
        <v/>
      </c>
    </row>
    <row r="27" spans="1:10">
      <c r="A27" s="201">
        <v>4</v>
      </c>
      <c r="B27" s="201">
        <v>6</v>
      </c>
      <c r="C27" s="201">
        <v>1</v>
      </c>
      <c r="D27" s="201" t="s">
        <v>178</v>
      </c>
      <c r="E27" s="201" t="s">
        <v>179</v>
      </c>
      <c r="F27" s="201"/>
      <c r="G27" s="201"/>
      <c r="H27" s="202"/>
      <c r="I27" s="201"/>
      <c r="J27" s="204" t="str">
        <f t="shared" si="0"/>
        <v/>
      </c>
    </row>
    <row r="28" spans="1:10">
      <c r="A28" s="107">
        <v>5</v>
      </c>
      <c r="B28" s="107">
        <v>1</v>
      </c>
      <c r="C28" s="107">
        <v>1</v>
      </c>
      <c r="D28" s="107" t="s">
        <v>180</v>
      </c>
      <c r="E28" s="107" t="s">
        <v>181</v>
      </c>
      <c r="F28" s="107"/>
      <c r="G28" s="107"/>
      <c r="H28" s="106"/>
      <c r="I28" s="107"/>
      <c r="J28" s="203" t="str">
        <f t="shared" si="0"/>
        <v/>
      </c>
    </row>
    <row r="29" spans="1:10">
      <c r="A29" s="107">
        <v>5</v>
      </c>
      <c r="B29" s="107">
        <v>2</v>
      </c>
      <c r="C29" s="107">
        <v>1</v>
      </c>
      <c r="D29" s="107" t="s">
        <v>182</v>
      </c>
      <c r="E29" s="107" t="s">
        <v>183</v>
      </c>
      <c r="F29" s="107"/>
      <c r="G29" s="107"/>
      <c r="H29" s="106"/>
      <c r="I29" s="107">
        <v>1</v>
      </c>
      <c r="J29" s="203" t="str">
        <f t="shared" si="0"/>
        <v/>
      </c>
    </row>
    <row r="30" spans="1:10">
      <c r="A30" s="107">
        <v>5</v>
      </c>
      <c r="B30" s="107">
        <v>3</v>
      </c>
      <c r="C30" s="107">
        <v>1</v>
      </c>
      <c r="D30" s="107" t="s">
        <v>184</v>
      </c>
      <c r="E30" s="107" t="s">
        <v>185</v>
      </c>
      <c r="F30" s="107"/>
      <c r="G30" s="107"/>
      <c r="H30" s="106"/>
      <c r="I30" s="107"/>
      <c r="J30" s="203" t="str">
        <f t="shared" si="0"/>
        <v/>
      </c>
    </row>
    <row r="31" spans="1:10">
      <c r="A31" s="107">
        <v>5</v>
      </c>
      <c r="B31" s="107">
        <v>4</v>
      </c>
      <c r="C31" s="107">
        <v>1</v>
      </c>
      <c r="D31" s="107" t="s">
        <v>186</v>
      </c>
      <c r="E31" s="107" t="s">
        <v>187</v>
      </c>
      <c r="F31" s="107"/>
      <c r="G31" s="107"/>
      <c r="H31" s="106"/>
      <c r="I31" s="107"/>
      <c r="J31" s="203" t="str">
        <f t="shared" si="0"/>
        <v/>
      </c>
    </row>
    <row r="32" spans="1:10">
      <c r="A32" s="107">
        <v>5</v>
      </c>
      <c r="B32" s="107">
        <v>5</v>
      </c>
      <c r="C32" s="107">
        <v>1</v>
      </c>
      <c r="D32" s="107" t="s">
        <v>188</v>
      </c>
      <c r="E32" s="107" t="s">
        <v>189</v>
      </c>
      <c r="F32" s="107"/>
      <c r="G32" s="107"/>
      <c r="H32" s="106"/>
      <c r="I32" s="107"/>
      <c r="J32" s="203" t="str">
        <f t="shared" si="0"/>
        <v/>
      </c>
    </row>
    <row r="33" spans="1:10">
      <c r="A33" s="107">
        <v>5</v>
      </c>
      <c r="B33" s="107">
        <v>6</v>
      </c>
      <c r="C33" s="107">
        <v>1</v>
      </c>
      <c r="D33" s="107" t="s">
        <v>190</v>
      </c>
      <c r="E33" s="107" t="s">
        <v>191</v>
      </c>
      <c r="F33" s="107"/>
      <c r="G33" s="107"/>
      <c r="H33" s="106"/>
      <c r="I33" s="107"/>
      <c r="J33" s="203" t="str">
        <f t="shared" si="0"/>
        <v/>
      </c>
    </row>
    <row r="34" spans="1:10">
      <c r="A34" s="201">
        <v>6</v>
      </c>
      <c r="B34" s="201">
        <v>1</v>
      </c>
      <c r="C34" s="201">
        <v>1</v>
      </c>
      <c r="D34" s="201" t="s">
        <v>192</v>
      </c>
      <c r="E34" s="201" t="s">
        <v>193</v>
      </c>
      <c r="F34" s="201">
        <v>3</v>
      </c>
      <c r="G34" s="201">
        <v>1155</v>
      </c>
      <c r="H34" s="202">
        <v>36.74</v>
      </c>
      <c r="I34" s="201"/>
      <c r="J34" s="204">
        <f t="shared" si="0"/>
        <v>3.1809523809523808E-2</v>
      </c>
    </row>
    <row r="35" spans="1:10">
      <c r="A35" s="201">
        <v>6</v>
      </c>
      <c r="B35" s="201">
        <v>2</v>
      </c>
      <c r="C35" s="201">
        <v>1</v>
      </c>
      <c r="D35" s="201" t="s">
        <v>194</v>
      </c>
      <c r="E35" s="201" t="s">
        <v>195</v>
      </c>
      <c r="F35" s="201">
        <v>3</v>
      </c>
      <c r="G35" s="201">
        <v>589</v>
      </c>
      <c r="H35" s="202">
        <v>10.8</v>
      </c>
      <c r="I35" s="201"/>
      <c r="J35" s="204">
        <f t="shared" si="0"/>
        <v>1.833616298811545E-2</v>
      </c>
    </row>
    <row r="36" spans="1:10">
      <c r="A36" s="201">
        <v>6</v>
      </c>
      <c r="B36" s="201">
        <v>3</v>
      </c>
      <c r="C36" s="201">
        <v>1</v>
      </c>
      <c r="D36" s="201" t="s">
        <v>196</v>
      </c>
      <c r="E36" s="201" t="s">
        <v>197</v>
      </c>
      <c r="F36" s="201">
        <v>3</v>
      </c>
      <c r="G36" s="201">
        <v>1314</v>
      </c>
      <c r="H36" s="202">
        <v>53.55</v>
      </c>
      <c r="I36" s="201"/>
      <c r="J36" s="204">
        <f t="shared" si="0"/>
        <v>4.0753424657534246E-2</v>
      </c>
    </row>
    <row r="37" spans="1:10">
      <c r="A37" s="201">
        <v>6</v>
      </c>
      <c r="B37" s="201">
        <v>4</v>
      </c>
      <c r="C37" s="201">
        <v>1</v>
      </c>
      <c r="D37" s="201" t="s">
        <v>198</v>
      </c>
      <c r="E37" s="201" t="s">
        <v>199</v>
      </c>
      <c r="F37" s="201">
        <v>3</v>
      </c>
      <c r="G37" s="201">
        <v>922</v>
      </c>
      <c r="H37" s="202">
        <v>46.1</v>
      </c>
      <c r="I37" s="201"/>
      <c r="J37" s="204">
        <f t="shared" si="0"/>
        <v>0.05</v>
      </c>
    </row>
    <row r="38" spans="1:10">
      <c r="A38" s="201">
        <v>6</v>
      </c>
      <c r="B38" s="201">
        <v>5</v>
      </c>
      <c r="C38" s="201">
        <v>1</v>
      </c>
      <c r="D38" s="201" t="s">
        <v>200</v>
      </c>
      <c r="E38" s="201" t="s">
        <v>201</v>
      </c>
      <c r="F38" s="201">
        <v>3</v>
      </c>
      <c r="G38" s="201">
        <v>343</v>
      </c>
      <c r="H38" s="202">
        <v>12.93</v>
      </c>
      <c r="I38" s="201"/>
      <c r="J38" s="204">
        <f t="shared" si="0"/>
        <v>3.7696793002915452E-2</v>
      </c>
    </row>
    <row r="39" spans="1:10">
      <c r="A39" s="201">
        <v>6</v>
      </c>
      <c r="B39" s="201">
        <v>6</v>
      </c>
      <c r="C39" s="201">
        <v>1</v>
      </c>
      <c r="D39" s="201" t="s">
        <v>202</v>
      </c>
      <c r="E39" s="201" t="s">
        <v>203</v>
      </c>
      <c r="F39" s="201"/>
      <c r="G39" s="201"/>
      <c r="H39" s="202"/>
      <c r="I39" s="201"/>
      <c r="J39" s="204" t="str">
        <f t="shared" si="0"/>
        <v/>
      </c>
    </row>
    <row r="40" spans="1:10">
      <c r="A40" s="107">
        <v>7</v>
      </c>
      <c r="B40" s="107">
        <v>1</v>
      </c>
      <c r="C40" s="107">
        <v>1</v>
      </c>
      <c r="D40" s="107" t="s">
        <v>204</v>
      </c>
      <c r="E40" s="107" t="s">
        <v>205</v>
      </c>
      <c r="F40" s="107"/>
      <c r="G40" s="107"/>
      <c r="H40" s="106"/>
      <c r="I40" s="107"/>
      <c r="J40" s="203" t="str">
        <f t="shared" si="0"/>
        <v/>
      </c>
    </row>
    <row r="41" spans="1:10">
      <c r="A41" s="107">
        <v>7</v>
      </c>
      <c r="B41" s="107">
        <v>2</v>
      </c>
      <c r="C41" s="107">
        <v>1</v>
      </c>
      <c r="D41" s="107" t="s">
        <v>206</v>
      </c>
      <c r="E41" s="107" t="s">
        <v>207</v>
      </c>
      <c r="F41" s="107"/>
      <c r="G41" s="107"/>
      <c r="H41" s="106"/>
      <c r="I41" s="107"/>
      <c r="J41" s="203" t="str">
        <f t="shared" si="0"/>
        <v/>
      </c>
    </row>
    <row r="42" spans="1:10">
      <c r="A42" s="107">
        <v>7</v>
      </c>
      <c r="B42" s="107">
        <v>3</v>
      </c>
      <c r="C42" s="107">
        <v>1</v>
      </c>
      <c r="D42" s="107" t="s">
        <v>208</v>
      </c>
      <c r="E42" s="107" t="s">
        <v>209</v>
      </c>
      <c r="F42" s="107"/>
      <c r="G42" s="107"/>
      <c r="H42" s="106"/>
      <c r="I42" s="107"/>
      <c r="J42" s="203" t="str">
        <f t="shared" si="0"/>
        <v/>
      </c>
    </row>
    <row r="43" spans="1:10">
      <c r="A43" s="107">
        <v>7</v>
      </c>
      <c r="B43" s="107">
        <v>4</v>
      </c>
      <c r="C43" s="107">
        <v>1</v>
      </c>
      <c r="D43" s="107" t="s">
        <v>210</v>
      </c>
      <c r="E43" s="107" t="s">
        <v>211</v>
      </c>
      <c r="F43" s="107"/>
      <c r="G43" s="107"/>
      <c r="H43" s="106"/>
      <c r="I43" s="107">
        <v>1</v>
      </c>
      <c r="J43" s="203" t="str">
        <f t="shared" si="0"/>
        <v/>
      </c>
    </row>
    <row r="44" spans="1:10">
      <c r="A44" s="107">
        <v>7</v>
      </c>
      <c r="B44" s="107">
        <v>5</v>
      </c>
      <c r="C44" s="107">
        <v>1</v>
      </c>
      <c r="D44" s="107" t="s">
        <v>212</v>
      </c>
      <c r="E44" s="107" t="s">
        <v>213</v>
      </c>
      <c r="F44" s="107"/>
      <c r="G44" s="107"/>
      <c r="H44" s="106"/>
      <c r="I44" s="107">
        <v>1</v>
      </c>
      <c r="J44" s="203" t="str">
        <f t="shared" si="0"/>
        <v/>
      </c>
    </row>
    <row r="45" spans="1:10">
      <c r="A45" s="107">
        <v>7</v>
      </c>
      <c r="B45" s="107">
        <v>6</v>
      </c>
      <c r="C45" s="107">
        <v>1</v>
      </c>
      <c r="D45" s="107" t="s">
        <v>214</v>
      </c>
      <c r="E45" s="107" t="s">
        <v>215</v>
      </c>
      <c r="F45" s="107"/>
      <c r="G45" s="107"/>
      <c r="H45" s="106"/>
      <c r="I45" s="107"/>
      <c r="J45" s="203" t="str">
        <f t="shared" si="0"/>
        <v/>
      </c>
    </row>
    <row r="46" spans="1:10">
      <c r="A46" s="201">
        <v>8</v>
      </c>
      <c r="B46" s="201">
        <v>1</v>
      </c>
      <c r="C46" s="201">
        <v>1</v>
      </c>
      <c r="D46" s="201" t="s">
        <v>216</v>
      </c>
      <c r="E46" s="201" t="s">
        <v>217</v>
      </c>
      <c r="F46" s="201"/>
      <c r="G46" s="201"/>
      <c r="H46" s="202"/>
      <c r="I46" s="201">
        <v>1</v>
      </c>
      <c r="J46" s="204" t="str">
        <f t="shared" si="0"/>
        <v/>
      </c>
    </row>
    <row r="47" spans="1:10">
      <c r="A47" s="201">
        <v>8</v>
      </c>
      <c r="B47" s="201">
        <v>2</v>
      </c>
      <c r="C47" s="201">
        <v>1</v>
      </c>
      <c r="D47" s="201" t="s">
        <v>218</v>
      </c>
      <c r="E47" s="201" t="s">
        <v>219</v>
      </c>
      <c r="F47" s="201"/>
      <c r="G47" s="201"/>
      <c r="H47" s="202"/>
      <c r="I47" s="201">
        <v>1</v>
      </c>
      <c r="J47" s="204" t="str">
        <f t="shared" si="0"/>
        <v/>
      </c>
    </row>
    <row r="48" spans="1:10">
      <c r="A48" s="201">
        <v>8</v>
      </c>
      <c r="B48" s="201">
        <v>3</v>
      </c>
      <c r="C48" s="201">
        <v>1</v>
      </c>
      <c r="D48" s="201" t="s">
        <v>220</v>
      </c>
      <c r="E48" s="201" t="s">
        <v>221</v>
      </c>
      <c r="F48" s="201"/>
      <c r="G48" s="201"/>
      <c r="H48" s="202"/>
      <c r="I48" s="201">
        <v>1</v>
      </c>
      <c r="J48" s="204" t="str">
        <f t="shared" si="0"/>
        <v/>
      </c>
    </row>
    <row r="49" spans="1:10">
      <c r="A49" s="201">
        <v>8</v>
      </c>
      <c r="B49" s="201">
        <v>4</v>
      </c>
      <c r="C49" s="201">
        <v>1</v>
      </c>
      <c r="D49" s="201" t="s">
        <v>222</v>
      </c>
      <c r="E49" s="201" t="s">
        <v>223</v>
      </c>
      <c r="F49" s="201"/>
      <c r="G49" s="201"/>
      <c r="H49" s="202"/>
      <c r="I49" s="201"/>
      <c r="J49" s="204" t="str">
        <f t="shared" si="0"/>
        <v/>
      </c>
    </row>
    <row r="50" spans="1:10">
      <c r="A50" s="201">
        <v>8</v>
      </c>
      <c r="B50" s="201">
        <v>5</v>
      </c>
      <c r="C50" s="201">
        <v>1</v>
      </c>
      <c r="D50" s="201" t="s">
        <v>224</v>
      </c>
      <c r="E50" s="201" t="s">
        <v>225</v>
      </c>
      <c r="F50" s="201"/>
      <c r="G50" s="201"/>
      <c r="H50" s="202"/>
      <c r="I50" s="201"/>
      <c r="J50" s="204" t="str">
        <f t="shared" si="0"/>
        <v/>
      </c>
    </row>
    <row r="51" spans="1:10">
      <c r="A51" s="201">
        <v>8</v>
      </c>
      <c r="B51" s="201">
        <v>6</v>
      </c>
      <c r="C51" s="201">
        <v>1</v>
      </c>
      <c r="D51" s="201" t="s">
        <v>226</v>
      </c>
      <c r="E51" s="201" t="s">
        <v>227</v>
      </c>
      <c r="F51" s="201"/>
      <c r="G51" s="201"/>
      <c r="H51" s="202"/>
      <c r="I51" s="201"/>
      <c r="J51" s="204" t="str">
        <f t="shared" si="0"/>
        <v/>
      </c>
    </row>
    <row r="52" spans="1:10">
      <c r="A52" s="107">
        <v>9</v>
      </c>
      <c r="B52" s="107">
        <v>1</v>
      </c>
      <c r="C52" s="107">
        <v>1</v>
      </c>
      <c r="D52" s="107" t="s">
        <v>228</v>
      </c>
      <c r="E52" s="107" t="s">
        <v>229</v>
      </c>
      <c r="F52" s="107"/>
      <c r="G52" s="107"/>
      <c r="H52" s="106"/>
      <c r="I52" s="107">
        <v>1</v>
      </c>
      <c r="J52" s="203" t="str">
        <f t="shared" si="0"/>
        <v/>
      </c>
    </row>
    <row r="53" spans="1:10">
      <c r="A53" s="107">
        <v>9</v>
      </c>
      <c r="B53" s="107">
        <v>2</v>
      </c>
      <c r="C53" s="107">
        <v>1</v>
      </c>
      <c r="D53" s="107" t="s">
        <v>230</v>
      </c>
      <c r="E53" s="107" t="s">
        <v>231</v>
      </c>
      <c r="F53" s="107"/>
      <c r="G53" s="107"/>
      <c r="H53" s="106"/>
      <c r="I53" s="107"/>
      <c r="J53" s="203" t="str">
        <f t="shared" si="0"/>
        <v/>
      </c>
    </row>
    <row r="54" spans="1:10">
      <c r="A54" s="107">
        <v>9</v>
      </c>
      <c r="B54" s="107">
        <v>3</v>
      </c>
      <c r="C54" s="107">
        <v>1</v>
      </c>
      <c r="D54" s="107" t="s">
        <v>232</v>
      </c>
      <c r="E54" s="107" t="s">
        <v>233</v>
      </c>
      <c r="F54" s="107"/>
      <c r="G54" s="107"/>
      <c r="H54" s="106"/>
      <c r="I54" s="107">
        <v>2</v>
      </c>
      <c r="J54" s="203" t="str">
        <f t="shared" si="0"/>
        <v/>
      </c>
    </row>
    <row r="55" spans="1:10">
      <c r="A55" s="107">
        <v>9</v>
      </c>
      <c r="B55" s="107">
        <v>4</v>
      </c>
      <c r="C55" s="107">
        <v>1</v>
      </c>
      <c r="D55" s="107" t="s">
        <v>234</v>
      </c>
      <c r="E55" s="107" t="s">
        <v>235</v>
      </c>
      <c r="F55" s="107"/>
      <c r="G55" s="107"/>
      <c r="H55" s="106"/>
      <c r="I55" s="107"/>
      <c r="J55" s="203" t="str">
        <f t="shared" si="0"/>
        <v/>
      </c>
    </row>
    <row r="56" spans="1:10">
      <c r="A56" s="107">
        <v>9</v>
      </c>
      <c r="B56" s="107">
        <v>5</v>
      </c>
      <c r="C56" s="107">
        <v>1</v>
      </c>
      <c r="D56" s="107" t="s">
        <v>236</v>
      </c>
      <c r="E56" s="107" t="s">
        <v>237</v>
      </c>
      <c r="F56" s="107"/>
      <c r="G56" s="107"/>
      <c r="H56" s="106"/>
      <c r="I56" s="107">
        <v>1</v>
      </c>
      <c r="J56" s="203" t="str">
        <f t="shared" si="0"/>
        <v/>
      </c>
    </row>
    <row r="57" spans="1:10">
      <c r="A57" s="107">
        <v>9</v>
      </c>
      <c r="B57" s="107">
        <v>6</v>
      </c>
      <c r="C57" s="107">
        <v>1</v>
      </c>
      <c r="D57" s="107" t="s">
        <v>238</v>
      </c>
      <c r="E57" s="107" t="s">
        <v>239</v>
      </c>
      <c r="F57" s="107"/>
      <c r="G57" s="107"/>
      <c r="H57" s="106"/>
      <c r="I57" s="107"/>
      <c r="J57" s="203" t="str">
        <f t="shared" si="0"/>
        <v/>
      </c>
    </row>
    <row r="58" spans="1:10">
      <c r="A58" s="201">
        <v>10</v>
      </c>
      <c r="B58" s="201">
        <v>1</v>
      </c>
      <c r="C58" s="201">
        <v>1</v>
      </c>
      <c r="D58" s="201" t="s">
        <v>240</v>
      </c>
      <c r="E58" s="201" t="s">
        <v>241</v>
      </c>
      <c r="F58" s="201">
        <v>3</v>
      </c>
      <c r="G58" s="201">
        <v>683</v>
      </c>
      <c r="H58" s="202">
        <v>25.66</v>
      </c>
      <c r="I58" s="201">
        <v>1</v>
      </c>
      <c r="J58" s="204">
        <f t="shared" si="0"/>
        <v>3.7569546120058563E-2</v>
      </c>
    </row>
    <row r="59" spans="1:10">
      <c r="A59" s="201">
        <v>10</v>
      </c>
      <c r="B59" s="201">
        <v>2</v>
      </c>
      <c r="C59" s="201">
        <v>1</v>
      </c>
      <c r="D59" s="201" t="s">
        <v>242</v>
      </c>
      <c r="E59" s="201" t="s">
        <v>243</v>
      </c>
      <c r="F59" s="201">
        <v>3</v>
      </c>
      <c r="G59" s="201">
        <v>1177</v>
      </c>
      <c r="H59" s="202">
        <v>26.59</v>
      </c>
      <c r="I59" s="201"/>
      <c r="J59" s="204">
        <f t="shared" si="0"/>
        <v>2.2591333899745113E-2</v>
      </c>
    </row>
    <row r="60" spans="1:10">
      <c r="A60" s="201">
        <v>10</v>
      </c>
      <c r="B60" s="201">
        <v>3</v>
      </c>
      <c r="C60" s="201">
        <v>1</v>
      </c>
      <c r="D60" s="201" t="s">
        <v>244</v>
      </c>
      <c r="E60" s="201" t="s">
        <v>245</v>
      </c>
      <c r="F60" s="201">
        <v>3</v>
      </c>
      <c r="G60" s="201">
        <v>613</v>
      </c>
      <c r="H60" s="202">
        <v>19.57</v>
      </c>
      <c r="I60" s="201">
        <v>1</v>
      </c>
      <c r="J60" s="204">
        <f t="shared" si="0"/>
        <v>3.192495921696574E-2</v>
      </c>
    </row>
    <row r="61" spans="1:10">
      <c r="A61" s="201">
        <v>10</v>
      </c>
      <c r="B61" s="201">
        <v>4</v>
      </c>
      <c r="C61" s="201">
        <v>1</v>
      </c>
      <c r="D61" s="201" t="s">
        <v>246</v>
      </c>
      <c r="E61" s="201" t="s">
        <v>247</v>
      </c>
      <c r="F61" s="201">
        <v>3</v>
      </c>
      <c r="G61" s="201">
        <v>374</v>
      </c>
      <c r="H61" s="202">
        <v>17.77</v>
      </c>
      <c r="I61" s="201">
        <v>1</v>
      </c>
      <c r="J61" s="204">
        <f t="shared" si="0"/>
        <v>4.7513368983957222E-2</v>
      </c>
    </row>
    <row r="62" spans="1:10">
      <c r="A62" s="201">
        <v>10</v>
      </c>
      <c r="B62" s="201">
        <v>5</v>
      </c>
      <c r="C62" s="201">
        <v>1</v>
      </c>
      <c r="D62" s="201" t="s">
        <v>248</v>
      </c>
      <c r="E62" s="201" t="s">
        <v>249</v>
      </c>
      <c r="F62" s="201">
        <v>3</v>
      </c>
      <c r="G62" s="201">
        <v>691</v>
      </c>
      <c r="H62" s="202">
        <v>26.36</v>
      </c>
      <c r="I62" s="201">
        <v>1</v>
      </c>
      <c r="J62" s="204">
        <f t="shared" si="0"/>
        <v>3.8147612156295224E-2</v>
      </c>
    </row>
    <row r="63" spans="1:10">
      <c r="A63" s="201">
        <v>10</v>
      </c>
      <c r="B63" s="201">
        <v>6</v>
      </c>
      <c r="C63" s="201">
        <v>1</v>
      </c>
      <c r="D63" s="201" t="s">
        <v>250</v>
      </c>
      <c r="E63" s="201" t="s">
        <v>251</v>
      </c>
      <c r="F63" s="201">
        <v>3</v>
      </c>
      <c r="G63" s="201">
        <v>1239</v>
      </c>
      <c r="H63" s="202">
        <v>37.299999999999997</v>
      </c>
      <c r="I63" s="201"/>
      <c r="J63" s="204">
        <f t="shared" si="0"/>
        <v>3.0104923325262305E-2</v>
      </c>
    </row>
    <row r="64" spans="1:10">
      <c r="A64" s="107">
        <v>11</v>
      </c>
      <c r="B64" s="107">
        <v>1</v>
      </c>
      <c r="C64" s="107">
        <v>1</v>
      </c>
      <c r="D64" s="107" t="s">
        <v>252</v>
      </c>
      <c r="E64" s="107" t="s">
        <v>253</v>
      </c>
      <c r="F64" s="107"/>
      <c r="G64" s="107"/>
      <c r="H64" s="106"/>
      <c r="I64" s="107"/>
      <c r="J64" s="203" t="str">
        <f t="shared" si="0"/>
        <v/>
      </c>
    </row>
    <row r="65" spans="1:10">
      <c r="A65" s="107">
        <v>11</v>
      </c>
      <c r="B65" s="107">
        <v>2</v>
      </c>
      <c r="C65" s="107">
        <v>1</v>
      </c>
      <c r="D65" s="107" t="s">
        <v>254</v>
      </c>
      <c r="E65" s="107" t="s">
        <v>255</v>
      </c>
      <c r="F65" s="107"/>
      <c r="G65" s="107"/>
      <c r="H65" s="106"/>
      <c r="I65" s="107"/>
      <c r="J65" s="203" t="str">
        <f t="shared" si="0"/>
        <v/>
      </c>
    </row>
    <row r="66" spans="1:10">
      <c r="A66" s="107">
        <v>11</v>
      </c>
      <c r="B66" s="107">
        <v>3</v>
      </c>
      <c r="C66" s="107">
        <v>1</v>
      </c>
      <c r="D66" s="107" t="s">
        <v>256</v>
      </c>
      <c r="E66" s="107" t="s">
        <v>257</v>
      </c>
      <c r="F66" s="107"/>
      <c r="G66" s="107"/>
      <c r="H66" s="106"/>
      <c r="I66" s="107">
        <v>1</v>
      </c>
      <c r="J66" s="203" t="str">
        <f t="shared" si="0"/>
        <v/>
      </c>
    </row>
    <row r="67" spans="1:10">
      <c r="A67" s="107">
        <v>11</v>
      </c>
      <c r="B67" s="107">
        <v>4</v>
      </c>
      <c r="C67" s="107">
        <v>1</v>
      </c>
      <c r="D67" s="107" t="s">
        <v>258</v>
      </c>
      <c r="E67" s="107" t="s">
        <v>259</v>
      </c>
      <c r="F67" s="107"/>
      <c r="G67" s="107"/>
      <c r="H67" s="106"/>
      <c r="I67" s="107"/>
      <c r="J67" s="203" t="str">
        <f t="shared" si="0"/>
        <v/>
      </c>
    </row>
    <row r="68" spans="1:10">
      <c r="A68" s="107">
        <v>11</v>
      </c>
      <c r="B68" s="107">
        <v>5</v>
      </c>
      <c r="C68" s="107">
        <v>1</v>
      </c>
      <c r="D68" s="107" t="s">
        <v>260</v>
      </c>
      <c r="E68" s="107" t="s">
        <v>261</v>
      </c>
      <c r="F68" s="107"/>
      <c r="G68" s="107"/>
      <c r="H68" s="106"/>
      <c r="I68" s="107"/>
      <c r="J68" s="203" t="str">
        <f t="shared" si="0"/>
        <v/>
      </c>
    </row>
    <row r="69" spans="1:10">
      <c r="A69" s="107">
        <v>11</v>
      </c>
      <c r="B69" s="107">
        <v>6</v>
      </c>
      <c r="C69" s="107">
        <v>1</v>
      </c>
      <c r="D69" s="107" t="s">
        <v>262</v>
      </c>
      <c r="E69" s="107" t="s">
        <v>263</v>
      </c>
      <c r="F69" s="107"/>
      <c r="G69" s="107"/>
      <c r="H69" s="106"/>
      <c r="I69" s="107"/>
      <c r="J69" s="203" t="str">
        <f t="shared" ref="J69:J132" si="1">IF(G69="","",H69/G69)</f>
        <v/>
      </c>
    </row>
    <row r="70" spans="1:10">
      <c r="A70" s="201">
        <v>12</v>
      </c>
      <c r="B70" s="201">
        <v>1</v>
      </c>
      <c r="C70" s="201">
        <v>1</v>
      </c>
      <c r="D70" s="201" t="s">
        <v>264</v>
      </c>
      <c r="E70" s="201" t="s">
        <v>265</v>
      </c>
      <c r="F70" s="201"/>
      <c r="G70" s="201"/>
      <c r="H70" s="202"/>
      <c r="I70" s="201"/>
      <c r="J70" s="204" t="str">
        <f t="shared" si="1"/>
        <v/>
      </c>
    </row>
    <row r="71" spans="1:10">
      <c r="A71" s="201">
        <v>12</v>
      </c>
      <c r="B71" s="201">
        <v>2</v>
      </c>
      <c r="C71" s="201">
        <v>1</v>
      </c>
      <c r="D71" s="201" t="s">
        <v>266</v>
      </c>
      <c r="E71" s="201" t="s">
        <v>267</v>
      </c>
      <c r="F71" s="201"/>
      <c r="G71" s="201"/>
      <c r="H71" s="202"/>
      <c r="I71" s="201">
        <v>1</v>
      </c>
      <c r="J71" s="204" t="str">
        <f t="shared" si="1"/>
        <v/>
      </c>
    </row>
    <row r="72" spans="1:10">
      <c r="A72" s="201">
        <v>12</v>
      </c>
      <c r="B72" s="201">
        <v>3</v>
      </c>
      <c r="C72" s="201">
        <v>1</v>
      </c>
      <c r="D72" s="201" t="s">
        <v>268</v>
      </c>
      <c r="E72" s="201" t="s">
        <v>161</v>
      </c>
      <c r="F72" s="201"/>
      <c r="G72" s="201"/>
      <c r="H72" s="202"/>
      <c r="I72" s="201"/>
      <c r="J72" s="204" t="str">
        <f t="shared" si="1"/>
        <v/>
      </c>
    </row>
    <row r="73" spans="1:10">
      <c r="A73" s="201">
        <v>12</v>
      </c>
      <c r="B73" s="201">
        <v>4</v>
      </c>
      <c r="C73" s="201">
        <v>1</v>
      </c>
      <c r="D73" s="201" t="s">
        <v>269</v>
      </c>
      <c r="E73" s="201" t="s">
        <v>187</v>
      </c>
      <c r="F73" s="201"/>
      <c r="G73" s="201"/>
      <c r="H73" s="202"/>
      <c r="I73" s="201">
        <v>3</v>
      </c>
      <c r="J73" s="204" t="str">
        <f t="shared" si="1"/>
        <v/>
      </c>
    </row>
    <row r="74" spans="1:10">
      <c r="A74" s="201">
        <v>12</v>
      </c>
      <c r="B74" s="201">
        <v>5</v>
      </c>
      <c r="C74" s="201">
        <v>1</v>
      </c>
      <c r="D74" s="201" t="s">
        <v>270</v>
      </c>
      <c r="E74" s="201" t="s">
        <v>163</v>
      </c>
      <c r="F74" s="201"/>
      <c r="G74" s="201"/>
      <c r="H74" s="202"/>
      <c r="I74" s="201"/>
      <c r="J74" s="204" t="str">
        <f t="shared" si="1"/>
        <v/>
      </c>
    </row>
    <row r="75" spans="1:10">
      <c r="A75" s="201">
        <v>12</v>
      </c>
      <c r="B75" s="201">
        <v>6</v>
      </c>
      <c r="C75" s="201">
        <v>1</v>
      </c>
      <c r="D75" s="201" t="s">
        <v>271</v>
      </c>
      <c r="E75" s="201" t="s">
        <v>272</v>
      </c>
      <c r="F75" s="201"/>
      <c r="G75" s="201"/>
      <c r="H75" s="202"/>
      <c r="I75" s="201">
        <v>3</v>
      </c>
      <c r="J75" s="204" t="str">
        <f t="shared" si="1"/>
        <v/>
      </c>
    </row>
    <row r="76" spans="1:10">
      <c r="A76" s="107">
        <v>13</v>
      </c>
      <c r="B76" s="107">
        <v>1</v>
      </c>
      <c r="C76" s="107">
        <v>1</v>
      </c>
      <c r="D76" s="107" t="s">
        <v>273</v>
      </c>
      <c r="E76" s="107" t="s">
        <v>274</v>
      </c>
      <c r="F76" s="107"/>
      <c r="G76" s="107"/>
      <c r="H76" s="106"/>
      <c r="I76" s="107">
        <v>1</v>
      </c>
      <c r="J76" s="203" t="str">
        <f t="shared" si="1"/>
        <v/>
      </c>
    </row>
    <row r="77" spans="1:10">
      <c r="A77" s="107">
        <v>13</v>
      </c>
      <c r="B77" s="107">
        <v>2</v>
      </c>
      <c r="C77" s="107">
        <v>1</v>
      </c>
      <c r="D77" s="107" t="s">
        <v>275</v>
      </c>
      <c r="E77" s="107" t="s">
        <v>276</v>
      </c>
      <c r="F77" s="107"/>
      <c r="G77" s="107"/>
      <c r="H77" s="106"/>
      <c r="I77" s="107">
        <v>2</v>
      </c>
      <c r="J77" s="203" t="str">
        <f t="shared" si="1"/>
        <v/>
      </c>
    </row>
    <row r="78" spans="1:10">
      <c r="A78" s="107">
        <v>13</v>
      </c>
      <c r="B78" s="107">
        <v>3</v>
      </c>
      <c r="C78" s="107">
        <v>1</v>
      </c>
      <c r="D78" s="107" t="s">
        <v>277</v>
      </c>
      <c r="E78" s="107" t="s">
        <v>278</v>
      </c>
      <c r="F78" s="107"/>
      <c r="G78" s="107"/>
      <c r="H78" s="106"/>
      <c r="I78" s="107"/>
      <c r="J78" s="203" t="str">
        <f t="shared" si="1"/>
        <v/>
      </c>
    </row>
    <row r="79" spans="1:10">
      <c r="A79" s="107">
        <v>13</v>
      </c>
      <c r="B79" s="107">
        <v>4</v>
      </c>
      <c r="C79" s="107">
        <v>1</v>
      </c>
      <c r="D79" s="107" t="s">
        <v>279</v>
      </c>
      <c r="E79" s="107" t="s">
        <v>280</v>
      </c>
      <c r="F79" s="107"/>
      <c r="G79" s="107"/>
      <c r="H79" s="106"/>
      <c r="I79" s="107">
        <v>3</v>
      </c>
      <c r="J79" s="203" t="str">
        <f t="shared" si="1"/>
        <v/>
      </c>
    </row>
    <row r="80" spans="1:10">
      <c r="A80" s="107">
        <v>13</v>
      </c>
      <c r="B80" s="107">
        <v>5</v>
      </c>
      <c r="C80" s="107">
        <v>1</v>
      </c>
      <c r="D80" s="107" t="s">
        <v>281</v>
      </c>
      <c r="E80" s="107" t="s">
        <v>282</v>
      </c>
      <c r="F80" s="107"/>
      <c r="G80" s="107"/>
      <c r="H80" s="106"/>
      <c r="I80" s="107"/>
      <c r="J80" s="203" t="str">
        <f t="shared" si="1"/>
        <v/>
      </c>
    </row>
    <row r="81" spans="1:10">
      <c r="A81" s="107">
        <v>13</v>
      </c>
      <c r="B81" s="107">
        <v>6</v>
      </c>
      <c r="C81" s="107">
        <v>1</v>
      </c>
      <c r="D81" s="107" t="s">
        <v>283</v>
      </c>
      <c r="E81" s="107" t="s">
        <v>284</v>
      </c>
      <c r="F81" s="107"/>
      <c r="G81" s="107"/>
      <c r="H81" s="106"/>
      <c r="I81" s="107">
        <v>2</v>
      </c>
      <c r="J81" s="203" t="str">
        <f t="shared" si="1"/>
        <v/>
      </c>
    </row>
    <row r="82" spans="1:10">
      <c r="A82" s="201">
        <v>14</v>
      </c>
      <c r="B82" s="201">
        <v>1</v>
      </c>
      <c r="C82" s="201">
        <v>1</v>
      </c>
      <c r="D82" s="201" t="s">
        <v>285</v>
      </c>
      <c r="E82" s="201" t="s">
        <v>286</v>
      </c>
      <c r="F82" s="201">
        <v>3</v>
      </c>
      <c r="G82" s="201">
        <v>981</v>
      </c>
      <c r="H82" s="202">
        <v>27.13</v>
      </c>
      <c r="I82" s="201"/>
      <c r="J82" s="204">
        <f t="shared" si="1"/>
        <v>2.7655453618756369E-2</v>
      </c>
    </row>
    <row r="83" spans="1:10">
      <c r="A83" s="201">
        <v>14</v>
      </c>
      <c r="B83" s="201">
        <v>2</v>
      </c>
      <c r="C83" s="201">
        <v>1</v>
      </c>
      <c r="D83" s="201" t="s">
        <v>287</v>
      </c>
      <c r="E83" s="201" t="s">
        <v>288</v>
      </c>
      <c r="F83" s="201">
        <v>3</v>
      </c>
      <c r="G83" s="201">
        <v>486</v>
      </c>
      <c r="H83" s="202">
        <v>14.66</v>
      </c>
      <c r="I83" s="201">
        <v>1</v>
      </c>
      <c r="J83" s="204">
        <f t="shared" si="1"/>
        <v>3.0164609053497944E-2</v>
      </c>
    </row>
    <row r="84" spans="1:10">
      <c r="A84" s="201">
        <v>14</v>
      </c>
      <c r="B84" s="201">
        <v>3</v>
      </c>
      <c r="C84" s="201">
        <v>1</v>
      </c>
      <c r="D84" s="201" t="s">
        <v>289</v>
      </c>
      <c r="E84" s="201" t="s">
        <v>290</v>
      </c>
      <c r="F84" s="201">
        <v>3</v>
      </c>
      <c r="G84" s="201">
        <v>939</v>
      </c>
      <c r="H84" s="202">
        <v>28.7</v>
      </c>
      <c r="I84" s="201">
        <v>2</v>
      </c>
      <c r="J84" s="204">
        <f t="shared" si="1"/>
        <v>3.0564430244941425E-2</v>
      </c>
    </row>
    <row r="85" spans="1:10">
      <c r="A85" s="201">
        <v>14</v>
      </c>
      <c r="B85" s="201">
        <v>4</v>
      </c>
      <c r="C85" s="201">
        <v>1</v>
      </c>
      <c r="D85" s="201" t="s">
        <v>291</v>
      </c>
      <c r="E85" s="201" t="s">
        <v>292</v>
      </c>
      <c r="F85" s="201">
        <v>3</v>
      </c>
      <c r="G85" s="201">
        <v>509</v>
      </c>
      <c r="H85" s="202">
        <v>22.77</v>
      </c>
      <c r="I85" s="201"/>
      <c r="J85" s="204">
        <f t="shared" si="1"/>
        <v>4.4734774066797642E-2</v>
      </c>
    </row>
    <row r="86" spans="1:10">
      <c r="A86" s="201">
        <v>14</v>
      </c>
      <c r="B86" s="201">
        <v>5</v>
      </c>
      <c r="C86" s="201">
        <v>1</v>
      </c>
      <c r="D86" s="201" t="s">
        <v>293</v>
      </c>
      <c r="E86" s="201" t="s">
        <v>294</v>
      </c>
      <c r="F86" s="201"/>
      <c r="G86" s="201"/>
      <c r="H86" s="202"/>
      <c r="I86" s="201"/>
      <c r="J86" s="204" t="str">
        <f t="shared" si="1"/>
        <v/>
      </c>
    </row>
    <row r="87" spans="1:10">
      <c r="A87" s="201">
        <v>14</v>
      </c>
      <c r="B87" s="201">
        <v>6</v>
      </c>
      <c r="C87" s="201">
        <v>1</v>
      </c>
      <c r="D87" s="201" t="s">
        <v>295</v>
      </c>
      <c r="E87" s="201" t="s">
        <v>296</v>
      </c>
      <c r="F87" s="201">
        <v>3</v>
      </c>
      <c r="G87" s="201">
        <v>1326</v>
      </c>
      <c r="H87" s="202">
        <v>53.4</v>
      </c>
      <c r="I87" s="201">
        <v>2</v>
      </c>
      <c r="J87" s="204">
        <f t="shared" si="1"/>
        <v>4.0271493212669679E-2</v>
      </c>
    </row>
    <row r="88" spans="1:10">
      <c r="A88" s="107">
        <v>15</v>
      </c>
      <c r="B88" s="107">
        <v>1</v>
      </c>
      <c r="C88" s="107">
        <v>1</v>
      </c>
      <c r="D88" s="107" t="s">
        <v>297</v>
      </c>
      <c r="E88" s="107" t="s">
        <v>298</v>
      </c>
      <c r="F88" s="107"/>
      <c r="G88" s="107"/>
      <c r="H88" s="106"/>
      <c r="I88" s="107"/>
      <c r="J88" s="203" t="str">
        <f t="shared" si="1"/>
        <v/>
      </c>
    </row>
    <row r="89" spans="1:10">
      <c r="A89" s="107">
        <v>15</v>
      </c>
      <c r="B89" s="107">
        <v>2</v>
      </c>
      <c r="C89" s="107">
        <v>1</v>
      </c>
      <c r="D89" s="107" t="s">
        <v>299</v>
      </c>
      <c r="E89" s="107" t="s">
        <v>300</v>
      </c>
      <c r="F89" s="107"/>
      <c r="G89" s="107"/>
      <c r="H89" s="106"/>
      <c r="I89" s="107">
        <v>2</v>
      </c>
      <c r="J89" s="203" t="str">
        <f t="shared" si="1"/>
        <v/>
      </c>
    </row>
    <row r="90" spans="1:10">
      <c r="A90" s="107">
        <v>15</v>
      </c>
      <c r="B90" s="107">
        <v>3</v>
      </c>
      <c r="C90" s="107">
        <v>1</v>
      </c>
      <c r="D90" s="107" t="s">
        <v>301</v>
      </c>
      <c r="E90" s="107" t="s">
        <v>302</v>
      </c>
      <c r="F90" s="107"/>
      <c r="G90" s="107"/>
      <c r="H90" s="106"/>
      <c r="I90" s="107"/>
      <c r="J90" s="203" t="str">
        <f t="shared" si="1"/>
        <v/>
      </c>
    </row>
    <row r="91" spans="1:10">
      <c r="A91" s="107">
        <v>15</v>
      </c>
      <c r="B91" s="107">
        <v>4</v>
      </c>
      <c r="C91" s="107">
        <v>1</v>
      </c>
      <c r="D91" s="107" t="s">
        <v>303</v>
      </c>
      <c r="E91" s="107" t="s">
        <v>304</v>
      </c>
      <c r="F91" s="107"/>
      <c r="G91" s="107"/>
      <c r="H91" s="106"/>
      <c r="I91" s="107"/>
      <c r="J91" s="203" t="str">
        <f t="shared" si="1"/>
        <v/>
      </c>
    </row>
    <row r="92" spans="1:10">
      <c r="A92" s="107">
        <v>15</v>
      </c>
      <c r="B92" s="107">
        <v>5</v>
      </c>
      <c r="C92" s="107">
        <v>1</v>
      </c>
      <c r="D92" s="107" t="s">
        <v>305</v>
      </c>
      <c r="E92" s="107" t="s">
        <v>306</v>
      </c>
      <c r="F92" s="107"/>
      <c r="G92" s="107"/>
      <c r="H92" s="106"/>
      <c r="I92" s="107"/>
      <c r="J92" s="203" t="str">
        <f t="shared" si="1"/>
        <v/>
      </c>
    </row>
    <row r="93" spans="1:10">
      <c r="A93" s="107">
        <v>15</v>
      </c>
      <c r="B93" s="107">
        <v>6</v>
      </c>
      <c r="C93" s="107">
        <v>1</v>
      </c>
      <c r="D93" s="107" t="s">
        <v>307</v>
      </c>
      <c r="E93" s="107" t="s">
        <v>308</v>
      </c>
      <c r="F93" s="107"/>
      <c r="G93" s="107"/>
      <c r="H93" s="106"/>
      <c r="I93" s="107"/>
      <c r="J93" s="203" t="str">
        <f t="shared" si="1"/>
        <v/>
      </c>
    </row>
    <row r="94" spans="1:10">
      <c r="A94" s="201">
        <v>16</v>
      </c>
      <c r="B94" s="201">
        <v>1</v>
      </c>
      <c r="C94" s="201">
        <v>1</v>
      </c>
      <c r="D94" s="201" t="s">
        <v>309</v>
      </c>
      <c r="E94" s="201" t="s">
        <v>310</v>
      </c>
      <c r="F94" s="201"/>
      <c r="G94" s="201"/>
      <c r="H94" s="202"/>
      <c r="I94" s="201"/>
      <c r="J94" s="204" t="str">
        <f t="shared" si="1"/>
        <v/>
      </c>
    </row>
    <row r="95" spans="1:10">
      <c r="A95" s="201">
        <v>16</v>
      </c>
      <c r="B95" s="201">
        <v>2</v>
      </c>
      <c r="C95" s="201">
        <v>1</v>
      </c>
      <c r="D95" s="201" t="s">
        <v>311</v>
      </c>
      <c r="E95" s="201" t="s">
        <v>312</v>
      </c>
      <c r="F95" s="201"/>
      <c r="G95" s="201"/>
      <c r="H95" s="202"/>
      <c r="I95" s="201"/>
      <c r="J95" s="204" t="str">
        <f t="shared" si="1"/>
        <v/>
      </c>
    </row>
    <row r="96" spans="1:10">
      <c r="A96" s="201">
        <v>16</v>
      </c>
      <c r="B96" s="201">
        <v>3</v>
      </c>
      <c r="C96" s="201">
        <v>1</v>
      </c>
      <c r="D96" s="201" t="s">
        <v>313</v>
      </c>
      <c r="E96" s="201" t="s">
        <v>314</v>
      </c>
      <c r="F96" s="201"/>
      <c r="G96" s="201"/>
      <c r="H96" s="202"/>
      <c r="I96" s="201">
        <v>2</v>
      </c>
      <c r="J96" s="204" t="str">
        <f t="shared" si="1"/>
        <v/>
      </c>
    </row>
    <row r="97" spans="1:10">
      <c r="A97" s="201">
        <v>16</v>
      </c>
      <c r="B97" s="201">
        <v>4</v>
      </c>
      <c r="C97" s="201">
        <v>1</v>
      </c>
      <c r="D97" s="201" t="s">
        <v>315</v>
      </c>
      <c r="E97" s="201" t="s">
        <v>316</v>
      </c>
      <c r="F97" s="201"/>
      <c r="G97" s="201"/>
      <c r="H97" s="202"/>
      <c r="I97" s="201">
        <v>2</v>
      </c>
      <c r="J97" s="204" t="str">
        <f t="shared" si="1"/>
        <v/>
      </c>
    </row>
    <row r="98" spans="1:10">
      <c r="A98" s="201">
        <v>16</v>
      </c>
      <c r="B98" s="201">
        <v>5</v>
      </c>
      <c r="C98" s="201">
        <v>1</v>
      </c>
      <c r="D98" s="201" t="s">
        <v>317</v>
      </c>
      <c r="E98" s="201" t="s">
        <v>318</v>
      </c>
      <c r="F98" s="201"/>
      <c r="G98" s="201"/>
      <c r="H98" s="202"/>
      <c r="I98" s="201">
        <v>2</v>
      </c>
      <c r="J98" s="204" t="str">
        <f t="shared" si="1"/>
        <v/>
      </c>
    </row>
    <row r="99" spans="1:10">
      <c r="A99" s="201">
        <v>16</v>
      </c>
      <c r="B99" s="201">
        <v>6</v>
      </c>
      <c r="C99" s="201">
        <v>1</v>
      </c>
      <c r="D99" s="201" t="s">
        <v>319</v>
      </c>
      <c r="E99" s="201" t="s">
        <v>320</v>
      </c>
      <c r="F99" s="201"/>
      <c r="G99" s="201"/>
      <c r="H99" s="202"/>
      <c r="I99" s="201"/>
      <c r="J99" s="204" t="str">
        <f t="shared" si="1"/>
        <v/>
      </c>
    </row>
    <row r="100" spans="1:10">
      <c r="A100" s="107">
        <v>17</v>
      </c>
      <c r="B100" s="107">
        <v>1</v>
      </c>
      <c r="C100" s="107">
        <v>1</v>
      </c>
      <c r="D100" s="107" t="s">
        <v>321</v>
      </c>
      <c r="E100" s="107" t="s">
        <v>322</v>
      </c>
      <c r="F100" s="107">
        <v>3</v>
      </c>
      <c r="G100" s="107">
        <v>1240</v>
      </c>
      <c r="H100" s="106">
        <v>35.659999999999997</v>
      </c>
      <c r="I100" s="107"/>
      <c r="J100" s="203">
        <f t="shared" si="1"/>
        <v>2.8758064516129028E-2</v>
      </c>
    </row>
    <row r="101" spans="1:10">
      <c r="A101" s="107">
        <v>17</v>
      </c>
      <c r="B101" s="107">
        <v>2</v>
      </c>
      <c r="C101" s="107">
        <v>1</v>
      </c>
      <c r="D101" s="107" t="s">
        <v>323</v>
      </c>
      <c r="E101" s="107" t="s">
        <v>324</v>
      </c>
      <c r="F101" s="107">
        <v>3</v>
      </c>
      <c r="G101" s="107">
        <v>510</v>
      </c>
      <c r="H101" s="106">
        <v>13.41</v>
      </c>
      <c r="I101" s="107">
        <v>3</v>
      </c>
      <c r="J101" s="203">
        <f t="shared" si="1"/>
        <v>2.6294117647058825E-2</v>
      </c>
    </row>
    <row r="102" spans="1:10">
      <c r="A102" s="107">
        <v>17</v>
      </c>
      <c r="B102" s="107">
        <v>3</v>
      </c>
      <c r="C102" s="107">
        <v>1</v>
      </c>
      <c r="D102" s="107" t="s">
        <v>325</v>
      </c>
      <c r="E102" s="107" t="s">
        <v>326</v>
      </c>
      <c r="F102" s="107">
        <v>3</v>
      </c>
      <c r="G102" s="107">
        <v>1095</v>
      </c>
      <c r="H102" s="106">
        <v>27.74</v>
      </c>
      <c r="I102" s="107">
        <v>2</v>
      </c>
      <c r="J102" s="203">
        <f t="shared" si="1"/>
        <v>2.5333333333333333E-2</v>
      </c>
    </row>
    <row r="103" spans="1:10">
      <c r="A103" s="107">
        <v>17</v>
      </c>
      <c r="B103" s="107">
        <v>4</v>
      </c>
      <c r="C103" s="107">
        <v>1</v>
      </c>
      <c r="D103" s="107" t="s">
        <v>327</v>
      </c>
      <c r="E103" s="107" t="s">
        <v>328</v>
      </c>
      <c r="F103" s="107">
        <v>3</v>
      </c>
      <c r="G103" s="107">
        <v>860</v>
      </c>
      <c r="H103" s="106">
        <v>13.26</v>
      </c>
      <c r="I103" s="107"/>
      <c r="J103" s="203">
        <f t="shared" si="1"/>
        <v>1.5418604651162791E-2</v>
      </c>
    </row>
    <row r="104" spans="1:10">
      <c r="A104" s="107">
        <v>17</v>
      </c>
      <c r="B104" s="107">
        <v>5</v>
      </c>
      <c r="C104" s="107">
        <v>1</v>
      </c>
      <c r="D104" s="107" t="s">
        <v>329</v>
      </c>
      <c r="E104" s="107" t="s">
        <v>330</v>
      </c>
      <c r="F104" s="107">
        <v>3</v>
      </c>
      <c r="G104" s="107">
        <v>540</v>
      </c>
      <c r="H104" s="106">
        <v>8.77</v>
      </c>
      <c r="I104" s="107">
        <v>1</v>
      </c>
      <c r="J104" s="203">
        <f t="shared" si="1"/>
        <v>1.624074074074074E-2</v>
      </c>
    </row>
    <row r="105" spans="1:10">
      <c r="A105" s="107">
        <v>17</v>
      </c>
      <c r="B105" s="107">
        <v>6</v>
      </c>
      <c r="C105" s="107">
        <v>1</v>
      </c>
      <c r="D105" s="107" t="s">
        <v>331</v>
      </c>
      <c r="E105" s="107" t="s">
        <v>332</v>
      </c>
      <c r="F105" s="107">
        <v>3</v>
      </c>
      <c r="G105" s="107">
        <v>1231</v>
      </c>
      <c r="H105" s="106">
        <v>40.67</v>
      </c>
      <c r="I105" s="107"/>
      <c r="J105" s="203">
        <f t="shared" si="1"/>
        <v>3.3038180341186031E-2</v>
      </c>
    </row>
    <row r="106" spans="1:10">
      <c r="A106" s="201">
        <v>18</v>
      </c>
      <c r="B106" s="201">
        <v>1</v>
      </c>
      <c r="C106" s="201">
        <v>1</v>
      </c>
      <c r="D106" s="201" t="s">
        <v>333</v>
      </c>
      <c r="E106" s="201" t="s">
        <v>334</v>
      </c>
      <c r="F106" s="201">
        <v>3</v>
      </c>
      <c r="G106" s="201">
        <v>2041</v>
      </c>
      <c r="H106" s="202">
        <v>78.95</v>
      </c>
      <c r="I106" s="201">
        <v>1</v>
      </c>
      <c r="J106" s="204">
        <f t="shared" si="1"/>
        <v>3.8682018618324356E-2</v>
      </c>
    </row>
    <row r="107" spans="1:10">
      <c r="A107" s="201">
        <v>18</v>
      </c>
      <c r="B107" s="201">
        <v>2</v>
      </c>
      <c r="C107" s="201">
        <v>1</v>
      </c>
      <c r="D107" s="201" t="s">
        <v>335</v>
      </c>
      <c r="E107" s="201" t="s">
        <v>336</v>
      </c>
      <c r="F107" s="201">
        <v>3</v>
      </c>
      <c r="G107" s="201">
        <v>1034</v>
      </c>
      <c r="H107" s="202">
        <v>28.3</v>
      </c>
      <c r="I107" s="201"/>
      <c r="J107" s="204">
        <f t="shared" si="1"/>
        <v>2.7369439071566731E-2</v>
      </c>
    </row>
    <row r="108" spans="1:10">
      <c r="A108" s="201">
        <v>18</v>
      </c>
      <c r="B108" s="201">
        <v>3</v>
      </c>
      <c r="C108" s="201">
        <v>1</v>
      </c>
      <c r="D108" s="201" t="s">
        <v>337</v>
      </c>
      <c r="E108" s="201" t="s">
        <v>338</v>
      </c>
      <c r="F108" s="201">
        <v>3</v>
      </c>
      <c r="G108" s="201">
        <v>1362</v>
      </c>
      <c r="H108" s="202">
        <v>41.46</v>
      </c>
      <c r="I108" s="201">
        <v>2</v>
      </c>
      <c r="J108" s="204">
        <f t="shared" si="1"/>
        <v>3.0440528634361235E-2</v>
      </c>
    </row>
    <row r="109" spans="1:10">
      <c r="A109" s="205">
        <v>18</v>
      </c>
      <c r="B109" s="205">
        <v>4</v>
      </c>
      <c r="C109" s="205">
        <v>1</v>
      </c>
      <c r="D109" s="205" t="s">
        <v>339</v>
      </c>
      <c r="E109" s="205" t="s">
        <v>340</v>
      </c>
      <c r="F109" s="205">
        <v>1</v>
      </c>
      <c r="G109" s="205"/>
      <c r="H109" s="206"/>
      <c r="I109" s="205">
        <v>1</v>
      </c>
      <c r="J109" s="207" t="str">
        <f t="shared" si="1"/>
        <v/>
      </c>
    </row>
    <row r="110" spans="1:10">
      <c r="A110" s="201">
        <v>18</v>
      </c>
      <c r="B110" s="201">
        <v>5</v>
      </c>
      <c r="C110" s="201">
        <v>1</v>
      </c>
      <c r="D110" s="201" t="s">
        <v>341</v>
      </c>
      <c r="E110" s="201" t="s">
        <v>342</v>
      </c>
      <c r="F110" s="201">
        <v>3</v>
      </c>
      <c r="G110" s="201">
        <v>1705</v>
      </c>
      <c r="H110" s="202">
        <v>39.65</v>
      </c>
      <c r="I110" s="201"/>
      <c r="J110" s="204">
        <f t="shared" si="1"/>
        <v>2.3255131964809383E-2</v>
      </c>
    </row>
    <row r="111" spans="1:10">
      <c r="A111" s="201">
        <v>18</v>
      </c>
      <c r="B111" s="201">
        <v>6</v>
      </c>
      <c r="C111" s="201">
        <v>1</v>
      </c>
      <c r="D111" s="201" t="s">
        <v>343</v>
      </c>
      <c r="E111" s="201" t="s">
        <v>344</v>
      </c>
      <c r="F111" s="201">
        <v>2</v>
      </c>
      <c r="G111" s="201">
        <v>609</v>
      </c>
      <c r="H111" s="202">
        <v>17.71</v>
      </c>
      <c r="I111" s="201">
        <v>1</v>
      </c>
      <c r="J111" s="204">
        <f t="shared" si="1"/>
        <v>2.9080459770114944E-2</v>
      </c>
    </row>
    <row r="112" spans="1:10">
      <c r="A112" s="107">
        <v>19</v>
      </c>
      <c r="B112" s="107">
        <v>1</v>
      </c>
      <c r="C112" s="107">
        <v>1</v>
      </c>
      <c r="D112" s="107" t="s">
        <v>345</v>
      </c>
      <c r="E112" s="107" t="s">
        <v>346</v>
      </c>
      <c r="F112" s="107">
        <v>3</v>
      </c>
      <c r="G112" s="107">
        <v>1382</v>
      </c>
      <c r="H112" s="106">
        <v>45.55</v>
      </c>
      <c r="I112" s="107">
        <v>3</v>
      </c>
      <c r="J112" s="203">
        <f t="shared" si="1"/>
        <v>3.2959479015918954E-2</v>
      </c>
    </row>
    <row r="113" spans="1:10">
      <c r="A113" s="107">
        <v>19</v>
      </c>
      <c r="B113" s="107">
        <v>2</v>
      </c>
      <c r="C113" s="107">
        <v>1</v>
      </c>
      <c r="D113" s="107" t="s">
        <v>347</v>
      </c>
      <c r="E113" s="107" t="s">
        <v>348</v>
      </c>
      <c r="F113" s="107">
        <v>3</v>
      </c>
      <c r="G113" s="107">
        <v>1274</v>
      </c>
      <c r="H113" s="106">
        <v>30.53</v>
      </c>
      <c r="I113" s="107">
        <v>2</v>
      </c>
      <c r="J113" s="203">
        <f t="shared" si="1"/>
        <v>2.3963893249607536E-2</v>
      </c>
    </row>
    <row r="114" spans="1:10">
      <c r="A114" s="107">
        <v>19</v>
      </c>
      <c r="B114" s="107">
        <v>3</v>
      </c>
      <c r="C114" s="107">
        <v>1</v>
      </c>
      <c r="D114" s="107" t="s">
        <v>349</v>
      </c>
      <c r="E114" s="107" t="s">
        <v>350</v>
      </c>
      <c r="F114" s="107">
        <v>3</v>
      </c>
      <c r="G114" s="107">
        <v>1408</v>
      </c>
      <c r="H114" s="106">
        <v>31.78</v>
      </c>
      <c r="I114" s="107"/>
      <c r="J114" s="203">
        <f t="shared" si="1"/>
        <v>2.2571022727272728E-2</v>
      </c>
    </row>
    <row r="115" spans="1:10">
      <c r="A115" s="107">
        <v>19</v>
      </c>
      <c r="B115" s="107">
        <v>4</v>
      </c>
      <c r="C115" s="107">
        <v>1</v>
      </c>
      <c r="D115" s="107" t="s">
        <v>351</v>
      </c>
      <c r="E115" s="107" t="s">
        <v>352</v>
      </c>
      <c r="F115" s="107">
        <v>3</v>
      </c>
      <c r="G115" s="107">
        <v>980</v>
      </c>
      <c r="H115" s="106">
        <v>28.6</v>
      </c>
      <c r="I115" s="107">
        <v>2</v>
      </c>
      <c r="J115" s="203">
        <f t="shared" si="1"/>
        <v>2.9183673469387758E-2</v>
      </c>
    </row>
    <row r="116" spans="1:10">
      <c r="A116" s="107">
        <v>19</v>
      </c>
      <c r="B116" s="107">
        <v>5</v>
      </c>
      <c r="C116" s="107">
        <v>1</v>
      </c>
      <c r="D116" s="107" t="s">
        <v>353</v>
      </c>
      <c r="E116" s="107" t="s">
        <v>354</v>
      </c>
      <c r="F116" s="107">
        <v>2</v>
      </c>
      <c r="G116" s="107">
        <v>1195</v>
      </c>
      <c r="H116" s="106">
        <v>35.4</v>
      </c>
      <c r="I116" s="107"/>
      <c r="J116" s="203">
        <f t="shared" si="1"/>
        <v>2.9623430962343097E-2</v>
      </c>
    </row>
    <row r="117" spans="1:10">
      <c r="A117" s="107">
        <v>19</v>
      </c>
      <c r="B117" s="107">
        <v>6</v>
      </c>
      <c r="C117" s="107">
        <v>1</v>
      </c>
      <c r="D117" s="107" t="s">
        <v>355</v>
      </c>
      <c r="E117" s="107" t="s">
        <v>356</v>
      </c>
      <c r="F117" s="107">
        <v>3</v>
      </c>
      <c r="G117" s="107">
        <v>1133</v>
      </c>
      <c r="H117" s="106">
        <v>39.979999999999997</v>
      </c>
      <c r="I117" s="107">
        <v>1</v>
      </c>
      <c r="J117" s="203">
        <f t="shared" si="1"/>
        <v>3.528684907325684E-2</v>
      </c>
    </row>
    <row r="118" spans="1:10">
      <c r="A118" s="201">
        <v>20</v>
      </c>
      <c r="B118" s="201">
        <v>1</v>
      </c>
      <c r="C118" s="201">
        <v>1</v>
      </c>
      <c r="D118" s="201" t="s">
        <v>357</v>
      </c>
      <c r="E118" s="201" t="s">
        <v>358</v>
      </c>
      <c r="F118" s="201"/>
      <c r="G118" s="201"/>
      <c r="H118" s="202"/>
      <c r="I118" s="201">
        <v>3</v>
      </c>
      <c r="J118" s="204" t="str">
        <f t="shared" si="1"/>
        <v/>
      </c>
    </row>
    <row r="119" spans="1:10">
      <c r="A119" s="201">
        <v>20</v>
      </c>
      <c r="B119" s="201">
        <v>2</v>
      </c>
      <c r="C119" s="201">
        <v>1</v>
      </c>
      <c r="D119" s="201" t="s">
        <v>359</v>
      </c>
      <c r="E119" s="201" t="s">
        <v>360</v>
      </c>
      <c r="F119" s="201"/>
      <c r="G119" s="201"/>
      <c r="H119" s="202"/>
      <c r="I119" s="201">
        <v>1</v>
      </c>
      <c r="J119" s="204" t="str">
        <f t="shared" si="1"/>
        <v/>
      </c>
    </row>
    <row r="120" spans="1:10">
      <c r="A120" s="201">
        <v>20</v>
      </c>
      <c r="B120" s="201">
        <v>3</v>
      </c>
      <c r="C120" s="201">
        <v>1</v>
      </c>
      <c r="D120" s="201" t="s">
        <v>361</v>
      </c>
      <c r="E120" s="201" t="s">
        <v>362</v>
      </c>
      <c r="F120" s="201"/>
      <c r="G120" s="201"/>
      <c r="H120" s="202"/>
      <c r="I120" s="201">
        <v>1</v>
      </c>
      <c r="J120" s="204" t="str">
        <f t="shared" si="1"/>
        <v/>
      </c>
    </row>
    <row r="121" spans="1:10">
      <c r="A121" s="201">
        <v>20</v>
      </c>
      <c r="B121" s="201">
        <v>4</v>
      </c>
      <c r="C121" s="201">
        <v>1</v>
      </c>
      <c r="D121" s="201" t="s">
        <v>363</v>
      </c>
      <c r="E121" s="201" t="s">
        <v>364</v>
      </c>
      <c r="F121" s="201"/>
      <c r="G121" s="201"/>
      <c r="H121" s="202"/>
      <c r="I121" s="201">
        <v>1</v>
      </c>
      <c r="J121" s="204" t="str">
        <f t="shared" si="1"/>
        <v/>
      </c>
    </row>
    <row r="122" spans="1:10">
      <c r="A122" s="201">
        <v>20</v>
      </c>
      <c r="B122" s="201">
        <v>5</v>
      </c>
      <c r="C122" s="201">
        <v>1</v>
      </c>
      <c r="D122" s="201" t="s">
        <v>365</v>
      </c>
      <c r="E122" s="201" t="s">
        <v>366</v>
      </c>
      <c r="F122" s="201"/>
      <c r="G122" s="201"/>
      <c r="H122" s="202"/>
      <c r="I122" s="201">
        <v>1</v>
      </c>
      <c r="J122" s="204" t="str">
        <f t="shared" si="1"/>
        <v/>
      </c>
    </row>
    <row r="123" spans="1:10">
      <c r="A123" s="201">
        <v>20</v>
      </c>
      <c r="B123" s="201">
        <v>6</v>
      </c>
      <c r="C123" s="201">
        <v>1</v>
      </c>
      <c r="D123" s="201" t="s">
        <v>367</v>
      </c>
      <c r="E123" s="201" t="s">
        <v>368</v>
      </c>
      <c r="F123" s="201"/>
      <c r="G123" s="201"/>
      <c r="H123" s="202"/>
      <c r="I123" s="201">
        <v>2</v>
      </c>
      <c r="J123" s="204" t="str">
        <f t="shared" si="1"/>
        <v/>
      </c>
    </row>
    <row r="124" spans="1:10">
      <c r="A124" s="107">
        <v>21</v>
      </c>
      <c r="B124" s="107">
        <v>1</v>
      </c>
      <c r="C124" s="107">
        <v>1</v>
      </c>
      <c r="D124" s="107" t="s">
        <v>369</v>
      </c>
      <c r="E124" s="107" t="s">
        <v>370</v>
      </c>
      <c r="F124" s="107"/>
      <c r="G124" s="107"/>
      <c r="H124" s="106"/>
      <c r="I124" s="107">
        <v>1</v>
      </c>
      <c r="J124" s="203" t="str">
        <f t="shared" si="1"/>
        <v/>
      </c>
    </row>
    <row r="125" spans="1:10">
      <c r="A125" s="107">
        <v>21</v>
      </c>
      <c r="B125" s="107">
        <v>2</v>
      </c>
      <c r="C125" s="107">
        <v>1</v>
      </c>
      <c r="D125" s="107" t="s">
        <v>371</v>
      </c>
      <c r="E125" s="107" t="s">
        <v>372</v>
      </c>
      <c r="F125" s="107"/>
      <c r="G125" s="107"/>
      <c r="H125" s="106"/>
      <c r="I125" s="107">
        <v>1</v>
      </c>
      <c r="J125" s="203" t="str">
        <f t="shared" si="1"/>
        <v/>
      </c>
    </row>
    <row r="126" spans="1:10">
      <c r="A126" s="107">
        <v>21</v>
      </c>
      <c r="B126" s="107">
        <v>3</v>
      </c>
      <c r="C126" s="107">
        <v>1</v>
      </c>
      <c r="D126" s="107" t="s">
        <v>373</v>
      </c>
      <c r="E126" s="107" t="s">
        <v>374</v>
      </c>
      <c r="F126" s="107"/>
      <c r="G126" s="107"/>
      <c r="H126" s="106"/>
      <c r="I126" s="107">
        <v>2</v>
      </c>
      <c r="J126" s="203" t="str">
        <f t="shared" si="1"/>
        <v/>
      </c>
    </row>
    <row r="127" spans="1:10">
      <c r="A127" s="107">
        <v>21</v>
      </c>
      <c r="B127" s="107">
        <v>4</v>
      </c>
      <c r="C127" s="107">
        <v>1</v>
      </c>
      <c r="D127" s="107" t="s">
        <v>375</v>
      </c>
      <c r="E127" s="107" t="s">
        <v>376</v>
      </c>
      <c r="F127" s="107"/>
      <c r="G127" s="107"/>
      <c r="H127" s="106"/>
      <c r="I127" s="107">
        <v>2</v>
      </c>
      <c r="J127" s="203" t="str">
        <f t="shared" si="1"/>
        <v/>
      </c>
    </row>
    <row r="128" spans="1:10">
      <c r="A128" s="107">
        <v>21</v>
      </c>
      <c r="B128" s="107">
        <v>5</v>
      </c>
      <c r="C128" s="107">
        <v>1</v>
      </c>
      <c r="D128" s="107" t="s">
        <v>377</v>
      </c>
      <c r="E128" s="107" t="s">
        <v>378</v>
      </c>
      <c r="F128" s="107"/>
      <c r="G128" s="107"/>
      <c r="H128" s="106"/>
      <c r="I128" s="107">
        <v>2</v>
      </c>
      <c r="J128" s="203" t="str">
        <f t="shared" si="1"/>
        <v/>
      </c>
    </row>
    <row r="129" spans="1:10">
      <c r="A129" s="107">
        <v>21</v>
      </c>
      <c r="B129" s="107">
        <v>6</v>
      </c>
      <c r="C129" s="107">
        <v>1</v>
      </c>
      <c r="D129" s="107" t="s">
        <v>379</v>
      </c>
      <c r="E129" s="107" t="s">
        <v>380</v>
      </c>
      <c r="F129" s="107"/>
      <c r="G129" s="107"/>
      <c r="H129" s="106"/>
      <c r="I129" s="107"/>
      <c r="J129" s="203" t="str">
        <f t="shared" si="1"/>
        <v/>
      </c>
    </row>
    <row r="130" spans="1:10">
      <c r="A130" s="201">
        <v>22</v>
      </c>
      <c r="B130" s="201">
        <v>1</v>
      </c>
      <c r="C130" s="201">
        <v>1</v>
      </c>
      <c r="D130" s="201" t="s">
        <v>381</v>
      </c>
      <c r="E130" s="201" t="s">
        <v>382</v>
      </c>
      <c r="F130" s="201"/>
      <c r="G130" s="201"/>
      <c r="H130" s="202"/>
      <c r="I130" s="201">
        <v>1</v>
      </c>
      <c r="J130" s="204" t="str">
        <f t="shared" si="1"/>
        <v/>
      </c>
    </row>
    <row r="131" spans="1:10">
      <c r="A131" s="201">
        <v>22</v>
      </c>
      <c r="B131" s="201">
        <v>2</v>
      </c>
      <c r="C131" s="201">
        <v>1</v>
      </c>
      <c r="D131" s="201" t="s">
        <v>383</v>
      </c>
      <c r="E131" s="201" t="s">
        <v>384</v>
      </c>
      <c r="F131" s="201"/>
      <c r="G131" s="201"/>
      <c r="H131" s="202"/>
      <c r="I131" s="201">
        <v>2</v>
      </c>
      <c r="J131" s="204" t="str">
        <f t="shared" si="1"/>
        <v/>
      </c>
    </row>
    <row r="132" spans="1:10">
      <c r="A132" s="201">
        <v>22</v>
      </c>
      <c r="B132" s="201">
        <v>3</v>
      </c>
      <c r="C132" s="201">
        <v>1</v>
      </c>
      <c r="D132" s="201" t="s">
        <v>385</v>
      </c>
      <c r="E132" s="201" t="s">
        <v>386</v>
      </c>
      <c r="F132" s="201"/>
      <c r="G132" s="201"/>
      <c r="H132" s="202"/>
      <c r="I132" s="201"/>
      <c r="J132" s="204" t="str">
        <f t="shared" si="1"/>
        <v/>
      </c>
    </row>
    <row r="133" spans="1:10">
      <c r="A133" s="201">
        <v>22</v>
      </c>
      <c r="B133" s="201">
        <v>4</v>
      </c>
      <c r="C133" s="201">
        <v>1</v>
      </c>
      <c r="D133" s="201" t="s">
        <v>387</v>
      </c>
      <c r="E133" s="201" t="s">
        <v>388</v>
      </c>
      <c r="F133" s="201"/>
      <c r="G133" s="201"/>
      <c r="H133" s="202"/>
      <c r="I133" s="201">
        <v>3</v>
      </c>
      <c r="J133" s="204" t="str">
        <f t="shared" ref="J133:J196" si="2">IF(G133="","",H133/G133)</f>
        <v/>
      </c>
    </row>
    <row r="134" spans="1:10">
      <c r="A134" s="201">
        <v>22</v>
      </c>
      <c r="B134" s="201">
        <v>5</v>
      </c>
      <c r="C134" s="201">
        <v>1</v>
      </c>
      <c r="D134" s="201" t="s">
        <v>389</v>
      </c>
      <c r="E134" s="201" t="s">
        <v>390</v>
      </c>
      <c r="F134" s="201"/>
      <c r="G134" s="201"/>
      <c r="H134" s="202"/>
      <c r="I134" s="201">
        <v>1</v>
      </c>
      <c r="J134" s="204" t="str">
        <f t="shared" si="2"/>
        <v/>
      </c>
    </row>
    <row r="135" spans="1:10">
      <c r="A135" s="201">
        <v>22</v>
      </c>
      <c r="B135" s="201">
        <v>6</v>
      </c>
      <c r="C135" s="201">
        <v>1</v>
      </c>
      <c r="D135" s="201" t="s">
        <v>391</v>
      </c>
      <c r="E135" s="201" t="s">
        <v>392</v>
      </c>
      <c r="F135" s="201"/>
      <c r="G135" s="201"/>
      <c r="H135" s="202"/>
      <c r="I135" s="201">
        <v>2</v>
      </c>
      <c r="J135" s="204" t="str">
        <f t="shared" si="2"/>
        <v/>
      </c>
    </row>
    <row r="136" spans="1:10">
      <c r="A136" s="107">
        <v>23</v>
      </c>
      <c r="B136" s="107">
        <v>1</v>
      </c>
      <c r="C136" s="107">
        <v>1</v>
      </c>
      <c r="D136" s="107" t="s">
        <v>393</v>
      </c>
      <c r="E136" s="107" t="s">
        <v>394</v>
      </c>
      <c r="F136" s="107"/>
      <c r="G136" s="107"/>
      <c r="H136" s="106"/>
      <c r="I136" s="107"/>
      <c r="J136" s="203" t="str">
        <f t="shared" si="2"/>
        <v/>
      </c>
    </row>
    <row r="137" spans="1:10">
      <c r="A137" s="107">
        <v>23</v>
      </c>
      <c r="B137" s="107">
        <v>2</v>
      </c>
      <c r="C137" s="107">
        <v>1</v>
      </c>
      <c r="D137" s="107" t="s">
        <v>395</v>
      </c>
      <c r="E137" s="107" t="s">
        <v>396</v>
      </c>
      <c r="F137" s="107"/>
      <c r="G137" s="107"/>
      <c r="H137" s="106"/>
      <c r="I137" s="107">
        <v>1</v>
      </c>
      <c r="J137" s="203" t="str">
        <f t="shared" si="2"/>
        <v/>
      </c>
    </row>
    <row r="138" spans="1:10">
      <c r="A138" s="107">
        <v>23</v>
      </c>
      <c r="B138" s="107">
        <v>3</v>
      </c>
      <c r="C138" s="107">
        <v>1</v>
      </c>
      <c r="D138" s="107" t="s">
        <v>397</v>
      </c>
      <c r="E138" s="107" t="s">
        <v>398</v>
      </c>
      <c r="F138" s="107"/>
      <c r="G138" s="107"/>
      <c r="H138" s="106"/>
      <c r="I138" s="107"/>
      <c r="J138" s="203" t="str">
        <f t="shared" si="2"/>
        <v/>
      </c>
    </row>
    <row r="139" spans="1:10">
      <c r="A139" s="107">
        <v>23</v>
      </c>
      <c r="B139" s="107">
        <v>4</v>
      </c>
      <c r="C139" s="107">
        <v>1</v>
      </c>
      <c r="D139" s="107" t="s">
        <v>399</v>
      </c>
      <c r="E139" s="107" t="s">
        <v>400</v>
      </c>
      <c r="F139" s="107"/>
      <c r="G139" s="107"/>
      <c r="H139" s="106"/>
      <c r="I139" s="107"/>
      <c r="J139" s="203" t="str">
        <f t="shared" si="2"/>
        <v/>
      </c>
    </row>
    <row r="140" spans="1:10">
      <c r="A140" s="107">
        <v>23</v>
      </c>
      <c r="B140" s="107">
        <v>5</v>
      </c>
      <c r="C140" s="107">
        <v>1</v>
      </c>
      <c r="D140" s="107" t="s">
        <v>401</v>
      </c>
      <c r="E140" s="107" t="s">
        <v>402</v>
      </c>
      <c r="F140" s="107"/>
      <c r="G140" s="107"/>
      <c r="H140" s="106"/>
      <c r="I140" s="107"/>
      <c r="J140" s="203" t="str">
        <f t="shared" si="2"/>
        <v/>
      </c>
    </row>
    <row r="141" spans="1:10">
      <c r="A141" s="107">
        <v>23</v>
      </c>
      <c r="B141" s="107">
        <v>6</v>
      </c>
      <c r="C141" s="107">
        <v>1</v>
      </c>
      <c r="D141" s="107" t="s">
        <v>403</v>
      </c>
      <c r="E141" s="107" t="s">
        <v>404</v>
      </c>
      <c r="F141" s="107"/>
      <c r="G141" s="107"/>
      <c r="H141" s="106"/>
      <c r="I141" s="107">
        <v>3</v>
      </c>
      <c r="J141" s="203" t="str">
        <f t="shared" si="2"/>
        <v/>
      </c>
    </row>
    <row r="142" spans="1:10">
      <c r="A142" s="201">
        <v>24</v>
      </c>
      <c r="B142" s="201">
        <v>1</v>
      </c>
      <c r="C142" s="201">
        <v>1</v>
      </c>
      <c r="D142" s="201" t="s">
        <v>405</v>
      </c>
      <c r="E142" s="201" t="s">
        <v>406</v>
      </c>
      <c r="F142" s="201"/>
      <c r="G142" s="201"/>
      <c r="H142" s="202"/>
      <c r="I142" s="201">
        <v>3</v>
      </c>
      <c r="J142" s="204" t="str">
        <f t="shared" si="2"/>
        <v/>
      </c>
    </row>
    <row r="143" spans="1:10">
      <c r="A143" s="201">
        <v>24</v>
      </c>
      <c r="B143" s="201">
        <v>2</v>
      </c>
      <c r="C143" s="201">
        <v>1</v>
      </c>
      <c r="D143" s="201" t="s">
        <v>407</v>
      </c>
      <c r="E143" s="201" t="s">
        <v>408</v>
      </c>
      <c r="F143" s="201"/>
      <c r="G143" s="201"/>
      <c r="H143" s="202"/>
      <c r="I143" s="201">
        <v>3</v>
      </c>
      <c r="J143" s="204" t="str">
        <f t="shared" si="2"/>
        <v/>
      </c>
    </row>
    <row r="144" spans="1:10">
      <c r="A144" s="201">
        <v>24</v>
      </c>
      <c r="B144" s="201">
        <v>3</v>
      </c>
      <c r="C144" s="201">
        <v>1</v>
      </c>
      <c r="D144" s="201" t="s">
        <v>409</v>
      </c>
      <c r="E144" s="201" t="s">
        <v>410</v>
      </c>
      <c r="F144" s="201"/>
      <c r="G144" s="201"/>
      <c r="H144" s="202"/>
      <c r="I144" s="201">
        <v>3</v>
      </c>
      <c r="J144" s="204" t="str">
        <f t="shared" si="2"/>
        <v/>
      </c>
    </row>
    <row r="145" spans="1:10">
      <c r="A145" s="201">
        <v>24</v>
      </c>
      <c r="B145" s="201">
        <v>4</v>
      </c>
      <c r="C145" s="201">
        <v>1</v>
      </c>
      <c r="D145" s="201" t="s">
        <v>411</v>
      </c>
      <c r="E145" s="201" t="s">
        <v>412</v>
      </c>
      <c r="F145" s="201"/>
      <c r="G145" s="201"/>
      <c r="H145" s="202"/>
      <c r="I145" s="201">
        <v>1</v>
      </c>
      <c r="J145" s="204" t="str">
        <f t="shared" si="2"/>
        <v/>
      </c>
    </row>
    <row r="146" spans="1:10">
      <c r="A146" s="201">
        <v>24</v>
      </c>
      <c r="B146" s="201">
        <v>5</v>
      </c>
      <c r="C146" s="201">
        <v>1</v>
      </c>
      <c r="D146" s="201" t="s">
        <v>413</v>
      </c>
      <c r="E146" s="201" t="s">
        <v>414</v>
      </c>
      <c r="F146" s="201"/>
      <c r="G146" s="201"/>
      <c r="H146" s="202"/>
      <c r="I146" s="201">
        <v>1</v>
      </c>
      <c r="J146" s="204" t="str">
        <f t="shared" si="2"/>
        <v/>
      </c>
    </row>
    <row r="147" spans="1:10">
      <c r="A147" s="201">
        <v>24</v>
      </c>
      <c r="B147" s="201">
        <v>6</v>
      </c>
      <c r="C147" s="201">
        <v>1</v>
      </c>
      <c r="D147" s="201" t="s">
        <v>415</v>
      </c>
      <c r="E147" s="201" t="s">
        <v>416</v>
      </c>
      <c r="F147" s="201"/>
      <c r="G147" s="201"/>
      <c r="H147" s="202"/>
      <c r="I147" s="201"/>
      <c r="J147" s="204" t="str">
        <f t="shared" si="2"/>
        <v/>
      </c>
    </row>
    <row r="148" spans="1:10">
      <c r="A148" s="107">
        <v>25</v>
      </c>
      <c r="B148" s="107">
        <v>1</v>
      </c>
      <c r="C148" s="107">
        <v>1</v>
      </c>
      <c r="D148" s="107" t="s">
        <v>417</v>
      </c>
      <c r="E148" s="107" t="s">
        <v>418</v>
      </c>
      <c r="F148" s="107"/>
      <c r="G148" s="107"/>
      <c r="H148" s="106"/>
      <c r="I148" s="107">
        <v>3</v>
      </c>
      <c r="J148" s="203" t="str">
        <f t="shared" si="2"/>
        <v/>
      </c>
    </row>
    <row r="149" spans="1:10">
      <c r="A149" s="107">
        <v>25</v>
      </c>
      <c r="B149" s="107">
        <v>2</v>
      </c>
      <c r="C149" s="107">
        <v>1</v>
      </c>
      <c r="D149" s="107" t="s">
        <v>419</v>
      </c>
      <c r="E149" s="107" t="s">
        <v>420</v>
      </c>
      <c r="F149" s="107"/>
      <c r="G149" s="107"/>
      <c r="H149" s="106"/>
      <c r="I149" s="107">
        <v>2</v>
      </c>
      <c r="J149" s="203" t="str">
        <f t="shared" si="2"/>
        <v/>
      </c>
    </row>
    <row r="150" spans="1:10">
      <c r="A150" s="107">
        <v>25</v>
      </c>
      <c r="B150" s="107">
        <v>3</v>
      </c>
      <c r="C150" s="107">
        <v>1</v>
      </c>
      <c r="D150" s="107" t="s">
        <v>421</v>
      </c>
      <c r="E150" s="107" t="s">
        <v>422</v>
      </c>
      <c r="F150" s="107"/>
      <c r="G150" s="107"/>
      <c r="H150" s="106"/>
      <c r="I150" s="107">
        <v>1</v>
      </c>
      <c r="J150" s="203" t="str">
        <f t="shared" si="2"/>
        <v/>
      </c>
    </row>
    <row r="151" spans="1:10">
      <c r="A151" s="107">
        <v>25</v>
      </c>
      <c r="B151" s="107">
        <v>4</v>
      </c>
      <c r="C151" s="107">
        <v>1</v>
      </c>
      <c r="D151" s="107" t="s">
        <v>423</v>
      </c>
      <c r="E151" s="107" t="s">
        <v>424</v>
      </c>
      <c r="F151" s="107"/>
      <c r="G151" s="107"/>
      <c r="H151" s="106"/>
      <c r="I151" s="107"/>
      <c r="J151" s="203" t="str">
        <f t="shared" si="2"/>
        <v/>
      </c>
    </row>
    <row r="152" spans="1:10">
      <c r="A152" s="107">
        <v>25</v>
      </c>
      <c r="B152" s="107">
        <v>5</v>
      </c>
      <c r="C152" s="107">
        <v>1</v>
      </c>
      <c r="D152" s="107" t="s">
        <v>425</v>
      </c>
      <c r="E152" s="107" t="s">
        <v>426</v>
      </c>
      <c r="F152" s="107"/>
      <c r="G152" s="107"/>
      <c r="H152" s="106"/>
      <c r="I152" s="107"/>
      <c r="J152" s="203" t="str">
        <f t="shared" si="2"/>
        <v/>
      </c>
    </row>
    <row r="153" spans="1:10">
      <c r="A153" s="107">
        <v>25</v>
      </c>
      <c r="B153" s="107">
        <v>6</v>
      </c>
      <c r="C153" s="107">
        <v>1</v>
      </c>
      <c r="D153" s="107" t="s">
        <v>427</v>
      </c>
      <c r="E153" s="107" t="s">
        <v>428</v>
      </c>
      <c r="F153" s="107"/>
      <c r="G153" s="107"/>
      <c r="H153" s="106"/>
      <c r="I153" s="107"/>
      <c r="J153" s="203" t="str">
        <f t="shared" si="2"/>
        <v/>
      </c>
    </row>
    <row r="154" spans="1:10">
      <c r="A154" s="201">
        <v>26</v>
      </c>
      <c r="B154" s="201">
        <v>1</v>
      </c>
      <c r="C154" s="201">
        <v>1</v>
      </c>
      <c r="D154" s="201" t="s">
        <v>429</v>
      </c>
      <c r="E154" s="201" t="s">
        <v>430</v>
      </c>
      <c r="F154" s="201"/>
      <c r="G154" s="201"/>
      <c r="H154" s="202"/>
      <c r="I154" s="201"/>
      <c r="J154" s="204" t="str">
        <f t="shared" si="2"/>
        <v/>
      </c>
    </row>
    <row r="155" spans="1:10">
      <c r="A155" s="201">
        <v>26</v>
      </c>
      <c r="B155" s="201">
        <v>2</v>
      </c>
      <c r="C155" s="201">
        <v>1</v>
      </c>
      <c r="D155" s="201" t="s">
        <v>431</v>
      </c>
      <c r="E155" s="201" t="s">
        <v>432</v>
      </c>
      <c r="F155" s="201"/>
      <c r="G155" s="201"/>
      <c r="H155" s="202"/>
      <c r="I155" s="201"/>
      <c r="J155" s="204" t="str">
        <f t="shared" si="2"/>
        <v/>
      </c>
    </row>
    <row r="156" spans="1:10">
      <c r="A156" s="201">
        <v>26</v>
      </c>
      <c r="B156" s="201">
        <v>3</v>
      </c>
      <c r="C156" s="201">
        <v>1</v>
      </c>
      <c r="D156" s="201" t="s">
        <v>433</v>
      </c>
      <c r="E156" s="201" t="s">
        <v>434</v>
      </c>
      <c r="F156" s="201"/>
      <c r="G156" s="201"/>
      <c r="H156" s="202"/>
      <c r="I156" s="201"/>
      <c r="J156" s="204" t="str">
        <f t="shared" si="2"/>
        <v/>
      </c>
    </row>
    <row r="157" spans="1:10">
      <c r="A157" s="201">
        <v>26</v>
      </c>
      <c r="B157" s="201">
        <v>4</v>
      </c>
      <c r="C157" s="201">
        <v>1</v>
      </c>
      <c r="D157" s="201" t="s">
        <v>435</v>
      </c>
      <c r="E157" s="201" t="s">
        <v>436</v>
      </c>
      <c r="F157" s="201"/>
      <c r="G157" s="201"/>
      <c r="H157" s="202"/>
      <c r="I157" s="201">
        <v>1</v>
      </c>
      <c r="J157" s="204" t="str">
        <f t="shared" si="2"/>
        <v/>
      </c>
    </row>
    <row r="158" spans="1:10">
      <c r="A158" s="201">
        <v>26</v>
      </c>
      <c r="B158" s="201">
        <v>5</v>
      </c>
      <c r="C158" s="201">
        <v>1</v>
      </c>
      <c r="D158" s="201" t="s">
        <v>437</v>
      </c>
      <c r="E158" s="201" t="s">
        <v>438</v>
      </c>
      <c r="F158" s="201"/>
      <c r="G158" s="201"/>
      <c r="H158" s="202"/>
      <c r="I158" s="201">
        <v>2</v>
      </c>
      <c r="J158" s="204" t="str">
        <f t="shared" si="2"/>
        <v/>
      </c>
    </row>
    <row r="159" spans="1:10">
      <c r="A159" s="201">
        <v>26</v>
      </c>
      <c r="B159" s="201">
        <v>6</v>
      </c>
      <c r="C159" s="201">
        <v>1</v>
      </c>
      <c r="D159" s="201" t="s">
        <v>439</v>
      </c>
      <c r="E159" s="201" t="s">
        <v>440</v>
      </c>
      <c r="F159" s="201"/>
      <c r="G159" s="201"/>
      <c r="H159" s="202"/>
      <c r="I159" s="201">
        <v>3</v>
      </c>
      <c r="J159" s="204" t="str">
        <f t="shared" si="2"/>
        <v/>
      </c>
    </row>
    <row r="160" spans="1:10">
      <c r="A160" s="107">
        <v>27</v>
      </c>
      <c r="B160" s="107">
        <v>1</v>
      </c>
      <c r="C160" s="107">
        <v>1</v>
      </c>
      <c r="D160" s="107" t="s">
        <v>441</v>
      </c>
      <c r="E160" s="107" t="s">
        <v>442</v>
      </c>
      <c r="F160" s="107"/>
      <c r="G160" s="107"/>
      <c r="H160" s="106"/>
      <c r="I160" s="107">
        <v>3</v>
      </c>
      <c r="J160" s="203" t="str">
        <f t="shared" si="2"/>
        <v/>
      </c>
    </row>
    <row r="161" spans="1:10">
      <c r="A161" s="107">
        <v>27</v>
      </c>
      <c r="B161" s="107">
        <v>2</v>
      </c>
      <c r="C161" s="107">
        <v>1</v>
      </c>
      <c r="D161" s="107" t="s">
        <v>443</v>
      </c>
      <c r="E161" s="107" t="s">
        <v>444</v>
      </c>
      <c r="F161" s="107"/>
      <c r="G161" s="107"/>
      <c r="H161" s="106"/>
      <c r="I161" s="107">
        <v>1</v>
      </c>
      <c r="J161" s="203" t="str">
        <f t="shared" si="2"/>
        <v/>
      </c>
    </row>
    <row r="162" spans="1:10">
      <c r="A162" s="107">
        <v>27</v>
      </c>
      <c r="B162" s="107">
        <v>3</v>
      </c>
      <c r="C162" s="107">
        <v>1</v>
      </c>
      <c r="D162" s="107" t="s">
        <v>445</v>
      </c>
      <c r="E162" s="107" t="s">
        <v>446</v>
      </c>
      <c r="F162" s="107"/>
      <c r="G162" s="107"/>
      <c r="H162" s="106"/>
      <c r="I162" s="107"/>
      <c r="J162" s="203" t="str">
        <f t="shared" si="2"/>
        <v/>
      </c>
    </row>
    <row r="163" spans="1:10">
      <c r="A163" s="107">
        <v>27</v>
      </c>
      <c r="B163" s="107">
        <v>4</v>
      </c>
      <c r="C163" s="107">
        <v>1</v>
      </c>
      <c r="D163" s="107" t="s">
        <v>447</v>
      </c>
      <c r="E163" s="107" t="s">
        <v>448</v>
      </c>
      <c r="F163" s="107"/>
      <c r="G163" s="107"/>
      <c r="H163" s="106"/>
      <c r="I163" s="107">
        <v>3</v>
      </c>
      <c r="J163" s="203" t="str">
        <f t="shared" si="2"/>
        <v/>
      </c>
    </row>
    <row r="164" spans="1:10">
      <c r="A164" s="107">
        <v>27</v>
      </c>
      <c r="B164" s="107">
        <v>5</v>
      </c>
      <c r="C164" s="107">
        <v>1</v>
      </c>
      <c r="D164" s="107" t="s">
        <v>449</v>
      </c>
      <c r="E164" s="107" t="s">
        <v>450</v>
      </c>
      <c r="F164" s="107"/>
      <c r="G164" s="107"/>
      <c r="H164" s="106"/>
      <c r="I164" s="107">
        <v>3</v>
      </c>
      <c r="J164" s="203" t="str">
        <f t="shared" si="2"/>
        <v/>
      </c>
    </row>
    <row r="165" spans="1:10">
      <c r="A165" s="107">
        <v>27</v>
      </c>
      <c r="B165" s="107">
        <v>6</v>
      </c>
      <c r="C165" s="107">
        <v>1</v>
      </c>
      <c r="D165" s="107" t="s">
        <v>451</v>
      </c>
      <c r="E165" s="107" t="s">
        <v>452</v>
      </c>
      <c r="F165" s="107"/>
      <c r="G165" s="107"/>
      <c r="H165" s="106"/>
      <c r="I165" s="107">
        <v>1</v>
      </c>
      <c r="J165" s="203" t="str">
        <f t="shared" si="2"/>
        <v/>
      </c>
    </row>
    <row r="166" spans="1:10">
      <c r="A166" s="201">
        <v>28</v>
      </c>
      <c r="B166" s="201">
        <v>1</v>
      </c>
      <c r="C166" s="201">
        <v>1</v>
      </c>
      <c r="D166" s="201" t="s">
        <v>453</v>
      </c>
      <c r="E166" s="201" t="s">
        <v>454</v>
      </c>
      <c r="F166" s="201"/>
      <c r="G166" s="201"/>
      <c r="H166" s="202"/>
      <c r="I166" s="201">
        <v>2</v>
      </c>
      <c r="J166" s="204" t="str">
        <f t="shared" si="2"/>
        <v/>
      </c>
    </row>
    <row r="167" spans="1:10">
      <c r="A167" s="201">
        <v>28</v>
      </c>
      <c r="B167" s="201">
        <v>2</v>
      </c>
      <c r="C167" s="201">
        <v>1</v>
      </c>
      <c r="D167" s="201" t="s">
        <v>455</v>
      </c>
      <c r="E167" s="201" t="s">
        <v>456</v>
      </c>
      <c r="F167" s="201"/>
      <c r="G167" s="201"/>
      <c r="H167" s="202"/>
      <c r="I167" s="201">
        <v>1</v>
      </c>
      <c r="J167" s="204" t="str">
        <f t="shared" si="2"/>
        <v/>
      </c>
    </row>
    <row r="168" spans="1:10">
      <c r="A168" s="201">
        <v>28</v>
      </c>
      <c r="B168" s="201">
        <v>3</v>
      </c>
      <c r="C168" s="201">
        <v>1</v>
      </c>
      <c r="D168" s="201" t="s">
        <v>457</v>
      </c>
      <c r="E168" s="201" t="s">
        <v>458</v>
      </c>
      <c r="F168" s="201"/>
      <c r="G168" s="201"/>
      <c r="H168" s="202"/>
      <c r="I168" s="201">
        <v>3</v>
      </c>
      <c r="J168" s="204" t="str">
        <f t="shared" si="2"/>
        <v/>
      </c>
    </row>
    <row r="169" spans="1:10">
      <c r="A169" s="201">
        <v>28</v>
      </c>
      <c r="B169" s="201">
        <v>4</v>
      </c>
      <c r="C169" s="201">
        <v>1</v>
      </c>
      <c r="D169" s="201" t="s">
        <v>459</v>
      </c>
      <c r="E169" s="201" t="s">
        <v>460</v>
      </c>
      <c r="F169" s="201"/>
      <c r="G169" s="201"/>
      <c r="H169" s="202"/>
      <c r="I169" s="201"/>
      <c r="J169" s="204" t="str">
        <f t="shared" si="2"/>
        <v/>
      </c>
    </row>
    <row r="170" spans="1:10">
      <c r="A170" s="201">
        <v>28</v>
      </c>
      <c r="B170" s="201">
        <v>5</v>
      </c>
      <c r="C170" s="201">
        <v>1</v>
      </c>
      <c r="D170" s="201" t="s">
        <v>461</v>
      </c>
      <c r="E170" s="201" t="s">
        <v>462</v>
      </c>
      <c r="F170" s="201"/>
      <c r="G170" s="201"/>
      <c r="H170" s="202"/>
      <c r="I170" s="201">
        <v>1</v>
      </c>
      <c r="J170" s="204" t="str">
        <f t="shared" si="2"/>
        <v/>
      </c>
    </row>
    <row r="171" spans="1:10">
      <c r="A171" s="201">
        <v>28</v>
      </c>
      <c r="B171" s="201">
        <v>6</v>
      </c>
      <c r="C171" s="201">
        <v>1</v>
      </c>
      <c r="D171" s="201" t="s">
        <v>463</v>
      </c>
      <c r="E171" s="201" t="s">
        <v>464</v>
      </c>
      <c r="F171" s="201"/>
      <c r="G171" s="201"/>
      <c r="H171" s="202"/>
      <c r="I171" s="201"/>
      <c r="J171" s="204" t="str">
        <f t="shared" si="2"/>
        <v/>
      </c>
    </row>
    <row r="172" spans="1:10">
      <c r="A172" s="107">
        <v>29</v>
      </c>
      <c r="B172" s="107">
        <v>1</v>
      </c>
      <c r="C172" s="107">
        <v>1</v>
      </c>
      <c r="D172" s="107" t="s">
        <v>465</v>
      </c>
      <c r="E172" s="107" t="s">
        <v>466</v>
      </c>
      <c r="F172" s="107"/>
      <c r="G172" s="107"/>
      <c r="H172" s="106"/>
      <c r="I172" s="107"/>
      <c r="J172" s="203" t="str">
        <f t="shared" si="2"/>
        <v/>
      </c>
    </row>
    <row r="173" spans="1:10">
      <c r="A173" s="107">
        <v>29</v>
      </c>
      <c r="B173" s="107">
        <v>2</v>
      </c>
      <c r="C173" s="107">
        <v>1</v>
      </c>
      <c r="D173" s="107" t="s">
        <v>467</v>
      </c>
      <c r="E173" s="107" t="s">
        <v>468</v>
      </c>
      <c r="F173" s="107"/>
      <c r="G173" s="107"/>
      <c r="H173" s="106"/>
      <c r="I173" s="107">
        <v>1</v>
      </c>
      <c r="J173" s="203" t="str">
        <f t="shared" si="2"/>
        <v/>
      </c>
    </row>
    <row r="174" spans="1:10">
      <c r="A174" s="107">
        <v>29</v>
      </c>
      <c r="B174" s="107">
        <v>3</v>
      </c>
      <c r="C174" s="107">
        <v>1</v>
      </c>
      <c r="D174" s="107" t="s">
        <v>469</v>
      </c>
      <c r="E174" s="107" t="s">
        <v>470</v>
      </c>
      <c r="F174" s="107"/>
      <c r="G174" s="107"/>
      <c r="H174" s="106"/>
      <c r="I174" s="107"/>
      <c r="J174" s="203" t="str">
        <f t="shared" si="2"/>
        <v/>
      </c>
    </row>
    <row r="175" spans="1:10">
      <c r="A175" s="107">
        <v>29</v>
      </c>
      <c r="B175" s="107">
        <v>4</v>
      </c>
      <c r="C175" s="107">
        <v>1</v>
      </c>
      <c r="D175" s="107" t="s">
        <v>471</v>
      </c>
      <c r="E175" s="107" t="s">
        <v>472</v>
      </c>
      <c r="F175" s="107"/>
      <c r="G175" s="107"/>
      <c r="H175" s="106"/>
      <c r="I175" s="107">
        <v>2</v>
      </c>
      <c r="J175" s="203" t="str">
        <f t="shared" si="2"/>
        <v/>
      </c>
    </row>
    <row r="176" spans="1:10">
      <c r="A176" s="107">
        <v>29</v>
      </c>
      <c r="B176" s="107">
        <v>5</v>
      </c>
      <c r="C176" s="107">
        <v>1</v>
      </c>
      <c r="D176" s="107" t="s">
        <v>473</v>
      </c>
      <c r="E176" s="107" t="s">
        <v>474</v>
      </c>
      <c r="F176" s="107"/>
      <c r="G176" s="107"/>
      <c r="H176" s="106"/>
      <c r="I176" s="107">
        <v>1</v>
      </c>
      <c r="J176" s="203" t="str">
        <f t="shared" si="2"/>
        <v/>
      </c>
    </row>
    <row r="177" spans="1:10">
      <c r="A177" s="107">
        <v>29</v>
      </c>
      <c r="B177" s="107">
        <v>6</v>
      </c>
      <c r="C177" s="107">
        <v>1</v>
      </c>
      <c r="D177" s="107" t="s">
        <v>475</v>
      </c>
      <c r="E177" s="107" t="s">
        <v>476</v>
      </c>
      <c r="F177" s="107"/>
      <c r="G177" s="107"/>
      <c r="H177" s="106"/>
      <c r="I177" s="107">
        <v>3</v>
      </c>
      <c r="J177" s="203" t="str">
        <f t="shared" si="2"/>
        <v/>
      </c>
    </row>
    <row r="178" spans="1:10">
      <c r="A178" s="201">
        <v>30</v>
      </c>
      <c r="B178" s="201">
        <v>1</v>
      </c>
      <c r="C178" s="201">
        <v>1</v>
      </c>
      <c r="D178" s="201" t="s">
        <v>477</v>
      </c>
      <c r="E178" s="201" t="s">
        <v>478</v>
      </c>
      <c r="F178" s="201"/>
      <c r="G178" s="201"/>
      <c r="H178" s="202"/>
      <c r="I178" s="201">
        <v>1</v>
      </c>
      <c r="J178" s="204" t="str">
        <f t="shared" si="2"/>
        <v/>
      </c>
    </row>
    <row r="179" spans="1:10">
      <c r="A179" s="201">
        <v>30</v>
      </c>
      <c r="B179" s="201">
        <v>2</v>
      </c>
      <c r="C179" s="201">
        <v>1</v>
      </c>
      <c r="D179" s="201" t="s">
        <v>479</v>
      </c>
      <c r="E179" s="201" t="s">
        <v>480</v>
      </c>
      <c r="F179" s="201"/>
      <c r="G179" s="201"/>
      <c r="H179" s="202"/>
      <c r="I179" s="201"/>
      <c r="J179" s="204" t="str">
        <f t="shared" si="2"/>
        <v/>
      </c>
    </row>
    <row r="180" spans="1:10">
      <c r="A180" s="201">
        <v>30</v>
      </c>
      <c r="B180" s="201">
        <v>3</v>
      </c>
      <c r="C180" s="201">
        <v>1</v>
      </c>
      <c r="D180" s="201" t="s">
        <v>481</v>
      </c>
      <c r="E180" s="201" t="s">
        <v>482</v>
      </c>
      <c r="F180" s="201"/>
      <c r="G180" s="201"/>
      <c r="H180" s="202"/>
      <c r="I180" s="201"/>
      <c r="J180" s="204" t="str">
        <f t="shared" si="2"/>
        <v/>
      </c>
    </row>
    <row r="181" spans="1:10">
      <c r="A181" s="201">
        <v>30</v>
      </c>
      <c r="B181" s="201">
        <v>4</v>
      </c>
      <c r="C181" s="201">
        <v>1</v>
      </c>
      <c r="D181" s="201" t="s">
        <v>483</v>
      </c>
      <c r="E181" s="201" t="s">
        <v>484</v>
      </c>
      <c r="F181" s="201"/>
      <c r="G181" s="201"/>
      <c r="H181" s="202"/>
      <c r="I181" s="201">
        <v>1</v>
      </c>
      <c r="J181" s="204" t="str">
        <f t="shared" si="2"/>
        <v/>
      </c>
    </row>
    <row r="182" spans="1:10">
      <c r="A182" s="201">
        <v>30</v>
      </c>
      <c r="B182" s="201">
        <v>5</v>
      </c>
      <c r="C182" s="201">
        <v>1</v>
      </c>
      <c r="D182" s="201" t="s">
        <v>485</v>
      </c>
      <c r="E182" s="201" t="s">
        <v>486</v>
      </c>
      <c r="F182" s="201"/>
      <c r="G182" s="201"/>
      <c r="H182" s="202"/>
      <c r="I182" s="201">
        <v>3</v>
      </c>
      <c r="J182" s="204" t="str">
        <f t="shared" si="2"/>
        <v/>
      </c>
    </row>
    <row r="183" spans="1:10">
      <c r="A183" s="201">
        <v>30</v>
      </c>
      <c r="B183" s="201">
        <v>6</v>
      </c>
      <c r="C183" s="201">
        <v>1</v>
      </c>
      <c r="D183" s="201" t="s">
        <v>487</v>
      </c>
      <c r="E183" s="201" t="s">
        <v>488</v>
      </c>
      <c r="F183" s="201"/>
      <c r="G183" s="201"/>
      <c r="H183" s="202"/>
      <c r="I183" s="201"/>
      <c r="J183" s="204" t="str">
        <f t="shared" si="2"/>
        <v/>
      </c>
    </row>
    <row r="184" spans="1:10">
      <c r="A184" s="107">
        <v>31</v>
      </c>
      <c r="B184" s="107">
        <v>1</v>
      </c>
      <c r="C184" s="107">
        <v>1</v>
      </c>
      <c r="D184" s="107" t="s">
        <v>489</v>
      </c>
      <c r="E184" s="107" t="s">
        <v>490</v>
      </c>
      <c r="F184" s="107"/>
      <c r="G184" s="107"/>
      <c r="H184" s="106"/>
      <c r="I184" s="107">
        <v>1</v>
      </c>
      <c r="J184" s="203" t="str">
        <f t="shared" si="2"/>
        <v/>
      </c>
    </row>
    <row r="185" spans="1:10">
      <c r="A185" s="107">
        <v>31</v>
      </c>
      <c r="B185" s="107">
        <v>2</v>
      </c>
      <c r="C185" s="107">
        <v>1</v>
      </c>
      <c r="D185" s="107" t="s">
        <v>491</v>
      </c>
      <c r="E185" s="107" t="s">
        <v>492</v>
      </c>
      <c r="F185" s="107"/>
      <c r="G185" s="107"/>
      <c r="H185" s="106"/>
      <c r="I185" s="107"/>
      <c r="J185" s="203" t="str">
        <f t="shared" si="2"/>
        <v/>
      </c>
    </row>
    <row r="186" spans="1:10">
      <c r="A186" s="107">
        <v>31</v>
      </c>
      <c r="B186" s="107">
        <v>3</v>
      </c>
      <c r="C186" s="107">
        <v>1</v>
      </c>
      <c r="D186" s="107" t="s">
        <v>493</v>
      </c>
      <c r="E186" s="107" t="s">
        <v>494</v>
      </c>
      <c r="F186" s="107"/>
      <c r="G186" s="107"/>
      <c r="H186" s="106"/>
      <c r="I186" s="107"/>
      <c r="J186" s="203" t="str">
        <f t="shared" si="2"/>
        <v/>
      </c>
    </row>
    <row r="187" spans="1:10">
      <c r="A187" s="107">
        <v>31</v>
      </c>
      <c r="B187" s="107">
        <v>4</v>
      </c>
      <c r="C187" s="107">
        <v>1</v>
      </c>
      <c r="D187" s="107" t="s">
        <v>495</v>
      </c>
      <c r="E187" s="107" t="s">
        <v>496</v>
      </c>
      <c r="F187" s="107"/>
      <c r="G187" s="107"/>
      <c r="H187" s="106"/>
      <c r="I187" s="107">
        <v>3</v>
      </c>
      <c r="J187" s="203" t="str">
        <f t="shared" si="2"/>
        <v/>
      </c>
    </row>
    <row r="188" spans="1:10">
      <c r="A188" s="107">
        <v>31</v>
      </c>
      <c r="B188" s="107">
        <v>5</v>
      </c>
      <c r="C188" s="107">
        <v>1</v>
      </c>
      <c r="D188" s="107" t="s">
        <v>497</v>
      </c>
      <c r="E188" s="107" t="s">
        <v>496</v>
      </c>
      <c r="F188" s="107"/>
      <c r="G188" s="107"/>
      <c r="H188" s="106"/>
      <c r="I188" s="107">
        <v>3</v>
      </c>
      <c r="J188" s="203" t="str">
        <f t="shared" si="2"/>
        <v/>
      </c>
    </row>
    <row r="189" spans="1:10">
      <c r="A189" s="107">
        <v>31</v>
      </c>
      <c r="B189" s="107">
        <v>6</v>
      </c>
      <c r="C189" s="107">
        <v>1</v>
      </c>
      <c r="D189" s="107" t="s">
        <v>498</v>
      </c>
      <c r="E189" s="107" t="s">
        <v>499</v>
      </c>
      <c r="F189" s="107"/>
      <c r="G189" s="107"/>
      <c r="H189" s="106"/>
      <c r="I189" s="107"/>
      <c r="J189" s="203" t="str">
        <f t="shared" si="2"/>
        <v/>
      </c>
    </row>
    <row r="190" spans="1:10">
      <c r="A190" s="201">
        <v>32</v>
      </c>
      <c r="B190" s="201">
        <v>1</v>
      </c>
      <c r="C190" s="201">
        <v>1</v>
      </c>
      <c r="D190" s="201" t="s">
        <v>500</v>
      </c>
      <c r="E190" s="201" t="s">
        <v>501</v>
      </c>
      <c r="F190" s="201"/>
      <c r="G190" s="201"/>
      <c r="H190" s="202"/>
      <c r="I190" s="201">
        <v>3</v>
      </c>
      <c r="J190" s="204" t="str">
        <f t="shared" si="2"/>
        <v/>
      </c>
    </row>
    <row r="191" spans="1:10">
      <c r="A191" s="201">
        <v>32</v>
      </c>
      <c r="B191" s="201">
        <v>2</v>
      </c>
      <c r="C191" s="201">
        <v>1</v>
      </c>
      <c r="D191" s="201" t="s">
        <v>502</v>
      </c>
      <c r="E191" s="201" t="s">
        <v>503</v>
      </c>
      <c r="F191" s="201"/>
      <c r="G191" s="201"/>
      <c r="H191" s="202"/>
      <c r="I191" s="201">
        <v>3</v>
      </c>
      <c r="J191" s="204" t="str">
        <f t="shared" si="2"/>
        <v/>
      </c>
    </row>
    <row r="192" spans="1:10">
      <c r="A192" s="201">
        <v>32</v>
      </c>
      <c r="B192" s="201">
        <v>3</v>
      </c>
      <c r="C192" s="201">
        <v>1</v>
      </c>
      <c r="D192" s="201" t="s">
        <v>504</v>
      </c>
      <c r="E192" s="201" t="s">
        <v>505</v>
      </c>
      <c r="F192" s="201"/>
      <c r="G192" s="201"/>
      <c r="H192" s="202"/>
      <c r="I192" s="201"/>
      <c r="J192" s="204" t="str">
        <f t="shared" si="2"/>
        <v/>
      </c>
    </row>
    <row r="193" spans="1:10">
      <c r="A193" s="201">
        <v>32</v>
      </c>
      <c r="B193" s="201">
        <v>4</v>
      </c>
      <c r="C193" s="201">
        <v>1</v>
      </c>
      <c r="D193" s="201" t="s">
        <v>506</v>
      </c>
      <c r="E193" s="201" t="s">
        <v>507</v>
      </c>
      <c r="F193" s="201"/>
      <c r="G193" s="201"/>
      <c r="H193" s="202"/>
      <c r="I193" s="201">
        <v>1</v>
      </c>
      <c r="J193" s="204" t="str">
        <f t="shared" si="2"/>
        <v/>
      </c>
    </row>
    <row r="194" spans="1:10">
      <c r="A194" s="201">
        <v>32</v>
      </c>
      <c r="B194" s="201">
        <v>5</v>
      </c>
      <c r="C194" s="201">
        <v>1</v>
      </c>
      <c r="D194" s="201" t="s">
        <v>508</v>
      </c>
      <c r="E194" s="201" t="s">
        <v>509</v>
      </c>
      <c r="F194" s="201"/>
      <c r="G194" s="201"/>
      <c r="H194" s="202"/>
      <c r="I194" s="201">
        <v>1</v>
      </c>
      <c r="J194" s="204" t="str">
        <f t="shared" si="2"/>
        <v/>
      </c>
    </row>
    <row r="195" spans="1:10">
      <c r="A195" s="201">
        <v>32</v>
      </c>
      <c r="B195" s="201">
        <v>6</v>
      </c>
      <c r="C195" s="201">
        <v>1</v>
      </c>
      <c r="D195" s="201" t="s">
        <v>510</v>
      </c>
      <c r="E195" s="201" t="s">
        <v>503</v>
      </c>
      <c r="F195" s="201"/>
      <c r="G195" s="201"/>
      <c r="H195" s="202"/>
      <c r="I195" s="201"/>
      <c r="J195" s="204" t="str">
        <f t="shared" si="2"/>
        <v/>
      </c>
    </row>
    <row r="196" spans="1:10">
      <c r="A196" s="107">
        <v>33</v>
      </c>
      <c r="B196" s="107">
        <v>1</v>
      </c>
      <c r="C196" s="107">
        <v>1</v>
      </c>
      <c r="D196" s="107" t="s">
        <v>511</v>
      </c>
      <c r="E196" s="107" t="s">
        <v>512</v>
      </c>
      <c r="F196" s="107"/>
      <c r="G196" s="107"/>
      <c r="H196" s="106"/>
      <c r="I196" s="107">
        <v>1</v>
      </c>
      <c r="J196" s="203" t="str">
        <f t="shared" si="2"/>
        <v/>
      </c>
    </row>
    <row r="197" spans="1:10">
      <c r="A197" s="107">
        <v>33</v>
      </c>
      <c r="B197" s="107">
        <v>2</v>
      </c>
      <c r="C197" s="107">
        <v>1</v>
      </c>
      <c r="D197" s="107" t="s">
        <v>513</v>
      </c>
      <c r="E197" s="107" t="s">
        <v>505</v>
      </c>
      <c r="F197" s="107"/>
      <c r="G197" s="107"/>
      <c r="H197" s="106"/>
      <c r="I197" s="107">
        <v>2</v>
      </c>
      <c r="J197" s="203" t="str">
        <f t="shared" ref="J197:J260" si="3">IF(G197="","",H197/G197)</f>
        <v/>
      </c>
    </row>
    <row r="198" spans="1:10">
      <c r="A198" s="107">
        <v>33</v>
      </c>
      <c r="B198" s="107">
        <v>3</v>
      </c>
      <c r="C198" s="107">
        <v>1</v>
      </c>
      <c r="D198" s="107" t="s">
        <v>514</v>
      </c>
      <c r="E198" s="107" t="s">
        <v>515</v>
      </c>
      <c r="F198" s="107"/>
      <c r="G198" s="107"/>
      <c r="H198" s="106"/>
      <c r="I198" s="107"/>
      <c r="J198" s="203" t="str">
        <f t="shared" si="3"/>
        <v/>
      </c>
    </row>
    <row r="199" spans="1:10">
      <c r="A199" s="107">
        <v>33</v>
      </c>
      <c r="B199" s="107">
        <v>4</v>
      </c>
      <c r="C199" s="107">
        <v>1</v>
      </c>
      <c r="D199" s="107" t="s">
        <v>516</v>
      </c>
      <c r="E199" s="107" t="s">
        <v>503</v>
      </c>
      <c r="F199" s="107"/>
      <c r="G199" s="107"/>
      <c r="H199" s="106"/>
      <c r="I199" s="107"/>
      <c r="J199" s="203" t="str">
        <f t="shared" si="3"/>
        <v/>
      </c>
    </row>
    <row r="200" spans="1:10">
      <c r="A200" s="107">
        <v>33</v>
      </c>
      <c r="B200" s="107">
        <v>5</v>
      </c>
      <c r="C200" s="107">
        <v>1</v>
      </c>
      <c r="D200" s="107" t="s">
        <v>517</v>
      </c>
      <c r="E200" s="107" t="s">
        <v>518</v>
      </c>
      <c r="F200" s="107"/>
      <c r="G200" s="107"/>
      <c r="H200" s="106"/>
      <c r="I200" s="107"/>
      <c r="J200" s="203" t="str">
        <f t="shared" si="3"/>
        <v/>
      </c>
    </row>
    <row r="201" spans="1:10">
      <c r="A201" s="107">
        <v>33</v>
      </c>
      <c r="B201" s="107">
        <v>6</v>
      </c>
      <c r="C201" s="107">
        <v>1</v>
      </c>
      <c r="D201" s="107" t="s">
        <v>519</v>
      </c>
      <c r="E201" s="107" t="s">
        <v>503</v>
      </c>
      <c r="F201" s="107"/>
      <c r="G201" s="107"/>
      <c r="H201" s="106"/>
      <c r="I201" s="107"/>
      <c r="J201" s="203" t="str">
        <f t="shared" si="3"/>
        <v/>
      </c>
    </row>
    <row r="202" spans="1:10">
      <c r="A202" s="201">
        <v>34</v>
      </c>
      <c r="B202" s="201">
        <v>1</v>
      </c>
      <c r="C202" s="201">
        <v>1</v>
      </c>
      <c r="D202" s="201" t="s">
        <v>520</v>
      </c>
      <c r="E202" s="201" t="s">
        <v>503</v>
      </c>
      <c r="F202" s="201"/>
      <c r="G202" s="201"/>
      <c r="H202" s="202"/>
      <c r="I202" s="201"/>
      <c r="J202" s="204" t="str">
        <f t="shared" si="3"/>
        <v/>
      </c>
    </row>
    <row r="203" spans="1:10">
      <c r="A203" s="201">
        <v>34</v>
      </c>
      <c r="B203" s="201">
        <v>2</v>
      </c>
      <c r="C203" s="201">
        <v>1</v>
      </c>
      <c r="D203" s="201" t="s">
        <v>521</v>
      </c>
      <c r="E203" s="201" t="s">
        <v>503</v>
      </c>
      <c r="F203" s="201"/>
      <c r="G203" s="201"/>
      <c r="H203" s="202"/>
      <c r="I203" s="201">
        <v>3</v>
      </c>
      <c r="J203" s="204" t="str">
        <f t="shared" si="3"/>
        <v/>
      </c>
    </row>
    <row r="204" spans="1:10">
      <c r="A204" s="201">
        <v>34</v>
      </c>
      <c r="B204" s="201">
        <v>3</v>
      </c>
      <c r="C204" s="201">
        <v>1</v>
      </c>
      <c r="D204" s="201" t="s">
        <v>522</v>
      </c>
      <c r="E204" s="201" t="s">
        <v>503</v>
      </c>
      <c r="F204" s="201"/>
      <c r="G204" s="201"/>
      <c r="H204" s="202"/>
      <c r="I204" s="201">
        <v>2</v>
      </c>
      <c r="J204" s="204" t="str">
        <f t="shared" si="3"/>
        <v/>
      </c>
    </row>
    <row r="205" spans="1:10">
      <c r="A205" s="201">
        <v>34</v>
      </c>
      <c r="B205" s="201">
        <v>4</v>
      </c>
      <c r="C205" s="201">
        <v>1</v>
      </c>
      <c r="D205" s="201" t="s">
        <v>523</v>
      </c>
      <c r="E205" s="201" t="s">
        <v>503</v>
      </c>
      <c r="F205" s="201"/>
      <c r="G205" s="201"/>
      <c r="H205" s="202"/>
      <c r="I205" s="201"/>
      <c r="J205" s="204" t="str">
        <f t="shared" si="3"/>
        <v/>
      </c>
    </row>
    <row r="206" spans="1:10">
      <c r="A206" s="201">
        <v>34</v>
      </c>
      <c r="B206" s="201">
        <v>5</v>
      </c>
      <c r="C206" s="201">
        <v>1</v>
      </c>
      <c r="D206" s="201" t="s">
        <v>524</v>
      </c>
      <c r="E206" s="201" t="s">
        <v>503</v>
      </c>
      <c r="F206" s="201"/>
      <c r="G206" s="201"/>
      <c r="H206" s="202"/>
      <c r="I206" s="201"/>
      <c r="J206" s="204" t="str">
        <f t="shared" si="3"/>
        <v/>
      </c>
    </row>
    <row r="207" spans="1:10">
      <c r="A207" s="201">
        <v>34</v>
      </c>
      <c r="B207" s="201">
        <v>6</v>
      </c>
      <c r="C207" s="201">
        <v>1</v>
      </c>
      <c r="D207" s="201" t="s">
        <v>525</v>
      </c>
      <c r="E207" s="201" t="s">
        <v>503</v>
      </c>
      <c r="F207" s="201"/>
      <c r="G207" s="201"/>
      <c r="H207" s="202"/>
      <c r="I207" s="201">
        <v>1</v>
      </c>
      <c r="J207" s="204" t="str">
        <f t="shared" si="3"/>
        <v/>
      </c>
    </row>
    <row r="208" spans="1:10">
      <c r="A208" s="107">
        <v>35</v>
      </c>
      <c r="B208" s="107">
        <v>1</v>
      </c>
      <c r="C208" s="107">
        <v>1</v>
      </c>
      <c r="D208" s="107" t="s">
        <v>526</v>
      </c>
      <c r="E208" s="107" t="s">
        <v>527</v>
      </c>
      <c r="F208" s="107"/>
      <c r="G208" s="107"/>
      <c r="H208" s="106"/>
      <c r="I208" s="107">
        <v>2</v>
      </c>
      <c r="J208" s="203" t="str">
        <f t="shared" si="3"/>
        <v/>
      </c>
    </row>
    <row r="209" spans="1:10">
      <c r="A209" s="107">
        <v>35</v>
      </c>
      <c r="B209" s="107">
        <v>2</v>
      </c>
      <c r="C209" s="107">
        <v>1</v>
      </c>
      <c r="D209" s="107" t="s">
        <v>528</v>
      </c>
      <c r="E209" s="107" t="s">
        <v>503</v>
      </c>
      <c r="F209" s="107"/>
      <c r="G209" s="107"/>
      <c r="H209" s="106"/>
      <c r="I209" s="107">
        <v>2</v>
      </c>
      <c r="J209" s="203" t="str">
        <f t="shared" si="3"/>
        <v/>
      </c>
    </row>
    <row r="210" spans="1:10">
      <c r="A210" s="107">
        <v>35</v>
      </c>
      <c r="B210" s="107">
        <v>3</v>
      </c>
      <c r="C210" s="107">
        <v>1</v>
      </c>
      <c r="D210" s="107" t="s">
        <v>529</v>
      </c>
      <c r="E210" s="107" t="s">
        <v>503</v>
      </c>
      <c r="F210" s="107"/>
      <c r="G210" s="107"/>
      <c r="H210" s="106"/>
      <c r="I210" s="107"/>
      <c r="J210" s="203" t="str">
        <f t="shared" si="3"/>
        <v/>
      </c>
    </row>
    <row r="211" spans="1:10">
      <c r="A211" s="107">
        <v>35</v>
      </c>
      <c r="B211" s="107">
        <v>4</v>
      </c>
      <c r="C211" s="107">
        <v>1</v>
      </c>
      <c r="D211" s="107" t="s">
        <v>530</v>
      </c>
      <c r="E211" s="107" t="s">
        <v>518</v>
      </c>
      <c r="F211" s="107"/>
      <c r="G211" s="107"/>
      <c r="H211" s="106"/>
      <c r="I211" s="107">
        <v>1</v>
      </c>
      <c r="J211" s="203" t="str">
        <f t="shared" si="3"/>
        <v/>
      </c>
    </row>
    <row r="212" spans="1:10">
      <c r="A212" s="107">
        <v>35</v>
      </c>
      <c r="B212" s="107">
        <v>5</v>
      </c>
      <c r="C212" s="107">
        <v>1</v>
      </c>
      <c r="D212" s="107" t="s">
        <v>531</v>
      </c>
      <c r="E212" s="107" t="s">
        <v>503</v>
      </c>
      <c r="F212" s="107"/>
      <c r="G212" s="107"/>
      <c r="H212" s="106"/>
      <c r="I212" s="107"/>
      <c r="J212" s="203" t="str">
        <f t="shared" si="3"/>
        <v/>
      </c>
    </row>
    <row r="213" spans="1:10">
      <c r="A213" s="107">
        <v>35</v>
      </c>
      <c r="B213" s="107">
        <v>6</v>
      </c>
      <c r="C213" s="107">
        <v>1</v>
      </c>
      <c r="D213" s="107" t="s">
        <v>532</v>
      </c>
      <c r="E213" s="107" t="s">
        <v>503</v>
      </c>
      <c r="F213" s="107"/>
      <c r="G213" s="107"/>
      <c r="H213" s="106"/>
      <c r="I213" s="107"/>
      <c r="J213" s="203" t="str">
        <f t="shared" si="3"/>
        <v/>
      </c>
    </row>
    <row r="214" spans="1:10">
      <c r="A214" s="201">
        <v>36</v>
      </c>
      <c r="B214" s="201">
        <v>1</v>
      </c>
      <c r="C214" s="201">
        <v>1</v>
      </c>
      <c r="D214" s="201" t="s">
        <v>533</v>
      </c>
      <c r="E214" s="201" t="s">
        <v>534</v>
      </c>
      <c r="F214" s="201">
        <v>3</v>
      </c>
      <c r="G214" s="201">
        <v>1307</v>
      </c>
      <c r="H214" s="202">
        <v>45.94</v>
      </c>
      <c r="I214" s="201"/>
      <c r="J214" s="204">
        <f t="shared" si="3"/>
        <v>3.5149196633511855E-2</v>
      </c>
    </row>
    <row r="215" spans="1:10">
      <c r="A215" s="201">
        <v>36</v>
      </c>
      <c r="B215" s="201">
        <v>2</v>
      </c>
      <c r="C215" s="201">
        <v>1</v>
      </c>
      <c r="D215" s="201" t="s">
        <v>535</v>
      </c>
      <c r="E215" s="201" t="s">
        <v>536</v>
      </c>
      <c r="F215" s="201">
        <v>3</v>
      </c>
      <c r="G215" s="201">
        <v>426</v>
      </c>
      <c r="H215" s="202">
        <v>14.28</v>
      </c>
      <c r="I215" s="201">
        <v>2</v>
      </c>
      <c r="J215" s="204">
        <f t="shared" si="3"/>
        <v>3.3521126760563381E-2</v>
      </c>
    </row>
    <row r="216" spans="1:10">
      <c r="A216" s="201">
        <v>36</v>
      </c>
      <c r="B216" s="201">
        <v>3</v>
      </c>
      <c r="C216" s="201">
        <v>1</v>
      </c>
      <c r="D216" s="201" t="s">
        <v>537</v>
      </c>
      <c r="E216" s="201" t="s">
        <v>534</v>
      </c>
      <c r="F216" s="201">
        <v>3</v>
      </c>
      <c r="G216" s="201">
        <v>1122</v>
      </c>
      <c r="H216" s="202">
        <v>22</v>
      </c>
      <c r="I216" s="201">
        <v>2</v>
      </c>
      <c r="J216" s="204">
        <f t="shared" si="3"/>
        <v>1.9607843137254902E-2</v>
      </c>
    </row>
    <row r="217" spans="1:10">
      <c r="A217" s="201">
        <v>36</v>
      </c>
      <c r="B217" s="201">
        <v>4</v>
      </c>
      <c r="C217" s="201">
        <v>1</v>
      </c>
      <c r="D217" s="201" t="s">
        <v>538</v>
      </c>
      <c r="E217" s="201" t="s">
        <v>539</v>
      </c>
      <c r="F217" s="201">
        <v>3</v>
      </c>
      <c r="G217" s="201">
        <v>793</v>
      </c>
      <c r="H217" s="202">
        <v>27.57</v>
      </c>
      <c r="I217" s="201">
        <v>1</v>
      </c>
      <c r="J217" s="204">
        <f t="shared" si="3"/>
        <v>3.4766708701134928E-2</v>
      </c>
    </row>
    <row r="218" spans="1:10">
      <c r="A218" s="201">
        <v>36</v>
      </c>
      <c r="B218" s="201">
        <v>5</v>
      </c>
      <c r="C218" s="201">
        <v>1</v>
      </c>
      <c r="D218" s="201" t="s">
        <v>540</v>
      </c>
      <c r="E218" s="201" t="s">
        <v>541</v>
      </c>
      <c r="F218" s="201">
        <v>3</v>
      </c>
      <c r="G218" s="201">
        <v>1624</v>
      </c>
      <c r="H218" s="202">
        <v>44.87</v>
      </c>
      <c r="I218" s="201"/>
      <c r="J218" s="204">
        <f t="shared" si="3"/>
        <v>2.7629310344827584E-2</v>
      </c>
    </row>
    <row r="219" spans="1:10">
      <c r="A219" s="201">
        <v>36</v>
      </c>
      <c r="B219" s="201">
        <v>6</v>
      </c>
      <c r="C219" s="201">
        <v>1</v>
      </c>
      <c r="D219" s="201" t="s">
        <v>542</v>
      </c>
      <c r="E219" s="201" t="s">
        <v>539</v>
      </c>
      <c r="F219" s="201">
        <v>3</v>
      </c>
      <c r="G219" s="201">
        <v>1726</v>
      </c>
      <c r="H219" s="202">
        <v>51.44</v>
      </c>
      <c r="I219" s="201">
        <v>1</v>
      </c>
      <c r="J219" s="204">
        <f t="shared" si="3"/>
        <v>2.9803012746234064E-2</v>
      </c>
    </row>
    <row r="220" spans="1:10">
      <c r="A220" s="107">
        <v>37</v>
      </c>
      <c r="B220" s="107">
        <v>1</v>
      </c>
      <c r="C220" s="107">
        <v>1</v>
      </c>
      <c r="D220" s="107" t="s">
        <v>543</v>
      </c>
      <c r="E220" s="107" t="s">
        <v>539</v>
      </c>
      <c r="F220" s="107"/>
      <c r="G220" s="107"/>
      <c r="H220" s="106"/>
      <c r="I220" s="107">
        <v>3</v>
      </c>
      <c r="J220" s="203" t="str">
        <f t="shared" si="3"/>
        <v/>
      </c>
    </row>
    <row r="221" spans="1:10">
      <c r="A221" s="107">
        <v>37</v>
      </c>
      <c r="B221" s="107">
        <v>2</v>
      </c>
      <c r="C221" s="107">
        <v>1</v>
      </c>
      <c r="D221" s="107" t="s">
        <v>544</v>
      </c>
      <c r="E221" s="107" t="s">
        <v>545</v>
      </c>
      <c r="F221" s="107"/>
      <c r="G221" s="107"/>
      <c r="H221" s="106"/>
      <c r="I221" s="107">
        <v>2</v>
      </c>
      <c r="J221" s="203" t="str">
        <f t="shared" si="3"/>
        <v/>
      </c>
    </row>
    <row r="222" spans="1:10">
      <c r="A222" s="107">
        <v>37</v>
      </c>
      <c r="B222" s="107">
        <v>3</v>
      </c>
      <c r="C222" s="107">
        <v>1</v>
      </c>
      <c r="D222" s="107" t="s">
        <v>546</v>
      </c>
      <c r="E222" s="107" t="s">
        <v>547</v>
      </c>
      <c r="F222" s="107"/>
      <c r="G222" s="107"/>
      <c r="H222" s="106"/>
      <c r="I222" s="107">
        <v>1</v>
      </c>
      <c r="J222" s="203" t="str">
        <f t="shared" si="3"/>
        <v/>
      </c>
    </row>
    <row r="223" spans="1:10">
      <c r="A223" s="107">
        <v>37</v>
      </c>
      <c r="B223" s="107">
        <v>4</v>
      </c>
      <c r="C223" s="107">
        <v>1</v>
      </c>
      <c r="D223" s="107" t="s">
        <v>548</v>
      </c>
      <c r="E223" s="107" t="s">
        <v>549</v>
      </c>
      <c r="F223" s="107"/>
      <c r="G223" s="107"/>
      <c r="H223" s="106"/>
      <c r="I223" s="107"/>
      <c r="J223" s="203" t="str">
        <f t="shared" si="3"/>
        <v/>
      </c>
    </row>
    <row r="224" spans="1:10">
      <c r="A224" s="107">
        <v>37</v>
      </c>
      <c r="B224" s="107">
        <v>5</v>
      </c>
      <c r="C224" s="107">
        <v>1</v>
      </c>
      <c r="D224" s="107" t="s">
        <v>550</v>
      </c>
      <c r="E224" s="107" t="s">
        <v>551</v>
      </c>
      <c r="F224" s="107"/>
      <c r="G224" s="107"/>
      <c r="H224" s="106"/>
      <c r="I224" s="107">
        <v>1</v>
      </c>
      <c r="J224" s="203" t="str">
        <f t="shared" si="3"/>
        <v/>
      </c>
    </row>
    <row r="225" spans="1:10">
      <c r="A225" s="107">
        <v>37</v>
      </c>
      <c r="B225" s="107">
        <v>6</v>
      </c>
      <c r="C225" s="107">
        <v>1</v>
      </c>
      <c r="D225" s="107" t="s">
        <v>552</v>
      </c>
      <c r="E225" s="107" t="s">
        <v>547</v>
      </c>
      <c r="F225" s="107"/>
      <c r="G225" s="107"/>
      <c r="H225" s="106"/>
      <c r="I225" s="107"/>
      <c r="J225" s="203" t="str">
        <f t="shared" si="3"/>
        <v/>
      </c>
    </row>
    <row r="226" spans="1:10">
      <c r="A226" s="201">
        <v>38</v>
      </c>
      <c r="B226" s="201">
        <v>1</v>
      </c>
      <c r="C226" s="201">
        <v>1</v>
      </c>
      <c r="D226" s="201" t="s">
        <v>553</v>
      </c>
      <c r="E226" s="201" t="s">
        <v>547</v>
      </c>
      <c r="F226" s="201"/>
      <c r="G226" s="201"/>
      <c r="H226" s="202"/>
      <c r="I226" s="201"/>
      <c r="J226" s="204" t="str">
        <f t="shared" si="3"/>
        <v/>
      </c>
    </row>
    <row r="227" spans="1:10">
      <c r="A227" s="201">
        <v>38</v>
      </c>
      <c r="B227" s="201">
        <v>2</v>
      </c>
      <c r="C227" s="201">
        <v>1</v>
      </c>
      <c r="D227" s="201" t="s">
        <v>554</v>
      </c>
      <c r="E227" s="201" t="s">
        <v>555</v>
      </c>
      <c r="F227" s="201"/>
      <c r="G227" s="201"/>
      <c r="H227" s="202"/>
      <c r="I227" s="201">
        <v>1</v>
      </c>
      <c r="J227" s="204" t="str">
        <f t="shared" si="3"/>
        <v/>
      </c>
    </row>
    <row r="228" spans="1:10">
      <c r="A228" s="201">
        <v>38</v>
      </c>
      <c r="B228" s="201">
        <v>3</v>
      </c>
      <c r="C228" s="201">
        <v>1</v>
      </c>
      <c r="D228" s="201" t="s">
        <v>556</v>
      </c>
      <c r="E228" s="201" t="s">
        <v>557</v>
      </c>
      <c r="F228" s="201"/>
      <c r="G228" s="201"/>
      <c r="H228" s="202"/>
      <c r="I228" s="201">
        <v>3</v>
      </c>
      <c r="J228" s="204" t="str">
        <f t="shared" si="3"/>
        <v/>
      </c>
    </row>
    <row r="229" spans="1:10">
      <c r="A229" s="201">
        <v>38</v>
      </c>
      <c r="B229" s="201">
        <v>4</v>
      </c>
      <c r="C229" s="201">
        <v>1</v>
      </c>
      <c r="D229" s="201" t="s">
        <v>558</v>
      </c>
      <c r="E229" s="201" t="s">
        <v>559</v>
      </c>
      <c r="F229" s="201"/>
      <c r="G229" s="201"/>
      <c r="H229" s="202"/>
      <c r="I229" s="201">
        <v>1</v>
      </c>
      <c r="J229" s="204" t="str">
        <f t="shared" si="3"/>
        <v/>
      </c>
    </row>
    <row r="230" spans="1:10">
      <c r="A230" s="201">
        <v>38</v>
      </c>
      <c r="B230" s="201">
        <v>5</v>
      </c>
      <c r="C230" s="201">
        <v>1</v>
      </c>
      <c r="D230" s="201" t="s">
        <v>560</v>
      </c>
      <c r="E230" s="201" t="s">
        <v>561</v>
      </c>
      <c r="F230" s="201"/>
      <c r="G230" s="201"/>
      <c r="H230" s="202"/>
      <c r="I230" s="201"/>
      <c r="J230" s="204" t="str">
        <f t="shared" si="3"/>
        <v/>
      </c>
    </row>
    <row r="231" spans="1:10">
      <c r="A231" s="201">
        <v>38</v>
      </c>
      <c r="B231" s="201">
        <v>6</v>
      </c>
      <c r="C231" s="201">
        <v>1</v>
      </c>
      <c r="D231" s="201" t="s">
        <v>562</v>
      </c>
      <c r="E231" s="201" t="s">
        <v>563</v>
      </c>
      <c r="F231" s="201"/>
      <c r="G231" s="201"/>
      <c r="H231" s="202"/>
      <c r="I231" s="201">
        <v>2</v>
      </c>
      <c r="J231" s="204" t="str">
        <f t="shared" si="3"/>
        <v/>
      </c>
    </row>
    <row r="232" spans="1:10">
      <c r="A232" s="107">
        <v>39</v>
      </c>
      <c r="B232" s="107">
        <v>1</v>
      </c>
      <c r="C232" s="107">
        <v>1</v>
      </c>
      <c r="D232" s="107" t="s">
        <v>564</v>
      </c>
      <c r="E232" s="107" t="s">
        <v>565</v>
      </c>
      <c r="F232" s="107"/>
      <c r="G232" s="107"/>
      <c r="H232" s="106"/>
      <c r="I232" s="107"/>
      <c r="J232" s="203" t="str">
        <f t="shared" si="3"/>
        <v/>
      </c>
    </row>
    <row r="233" spans="1:10">
      <c r="A233" s="107">
        <v>39</v>
      </c>
      <c r="B233" s="107">
        <v>2</v>
      </c>
      <c r="C233" s="107">
        <v>1</v>
      </c>
      <c r="D233" s="107" t="s">
        <v>566</v>
      </c>
      <c r="E233" s="107" t="s">
        <v>567</v>
      </c>
      <c r="F233" s="107"/>
      <c r="G233" s="107"/>
      <c r="H233" s="106"/>
      <c r="I233" s="107"/>
      <c r="J233" s="203" t="str">
        <f t="shared" si="3"/>
        <v/>
      </c>
    </row>
    <row r="234" spans="1:10">
      <c r="A234" s="107">
        <v>39</v>
      </c>
      <c r="B234" s="107">
        <v>3</v>
      </c>
      <c r="C234" s="107">
        <v>1</v>
      </c>
      <c r="D234" s="107" t="s">
        <v>568</v>
      </c>
      <c r="E234" s="107" t="s">
        <v>569</v>
      </c>
      <c r="F234" s="107"/>
      <c r="G234" s="107"/>
      <c r="H234" s="106"/>
      <c r="I234" s="107"/>
      <c r="J234" s="203" t="str">
        <f t="shared" si="3"/>
        <v/>
      </c>
    </row>
    <row r="235" spans="1:10">
      <c r="A235" s="107">
        <v>39</v>
      </c>
      <c r="B235" s="107">
        <v>4</v>
      </c>
      <c r="C235" s="107">
        <v>1</v>
      </c>
      <c r="D235" s="107" t="s">
        <v>570</v>
      </c>
      <c r="E235" s="107" t="s">
        <v>571</v>
      </c>
      <c r="F235" s="107"/>
      <c r="G235" s="107"/>
      <c r="H235" s="106"/>
      <c r="I235" s="107">
        <v>2</v>
      </c>
      <c r="J235" s="203" t="str">
        <f t="shared" si="3"/>
        <v/>
      </c>
    </row>
    <row r="236" spans="1:10">
      <c r="A236" s="107">
        <v>39</v>
      </c>
      <c r="B236" s="107">
        <v>5</v>
      </c>
      <c r="C236" s="107">
        <v>1</v>
      </c>
      <c r="D236" s="107" t="s">
        <v>572</v>
      </c>
      <c r="E236" s="107" t="s">
        <v>573</v>
      </c>
      <c r="F236" s="107"/>
      <c r="G236" s="107"/>
      <c r="H236" s="106"/>
      <c r="I236" s="107"/>
      <c r="J236" s="203" t="str">
        <f t="shared" si="3"/>
        <v/>
      </c>
    </row>
    <row r="237" spans="1:10">
      <c r="A237" s="107">
        <v>39</v>
      </c>
      <c r="B237" s="107">
        <v>6</v>
      </c>
      <c r="C237" s="107">
        <v>1</v>
      </c>
      <c r="D237" s="107" t="s">
        <v>574</v>
      </c>
      <c r="E237" s="107" t="s">
        <v>575</v>
      </c>
      <c r="F237" s="107"/>
      <c r="G237" s="107"/>
      <c r="H237" s="106"/>
      <c r="I237" s="107"/>
      <c r="J237" s="203" t="str">
        <f t="shared" si="3"/>
        <v/>
      </c>
    </row>
    <row r="238" spans="1:10">
      <c r="A238" s="201">
        <v>40</v>
      </c>
      <c r="B238" s="201">
        <v>1</v>
      </c>
      <c r="C238" s="201">
        <v>1</v>
      </c>
      <c r="D238" s="201" t="s">
        <v>576</v>
      </c>
      <c r="E238" s="201" t="s">
        <v>577</v>
      </c>
      <c r="F238" s="201">
        <v>3</v>
      </c>
      <c r="G238" s="201">
        <v>1717</v>
      </c>
      <c r="H238" s="202">
        <v>49.05</v>
      </c>
      <c r="I238" s="201"/>
      <c r="J238" s="204">
        <f t="shared" si="3"/>
        <v>2.8567268491555036E-2</v>
      </c>
    </row>
    <row r="239" spans="1:10">
      <c r="A239" s="201">
        <v>40</v>
      </c>
      <c r="B239" s="201">
        <v>2</v>
      </c>
      <c r="C239" s="201">
        <v>1</v>
      </c>
      <c r="D239" s="201" t="s">
        <v>578</v>
      </c>
      <c r="E239" s="201" t="s">
        <v>579</v>
      </c>
      <c r="F239" s="201">
        <v>3</v>
      </c>
      <c r="G239" s="201">
        <v>1308</v>
      </c>
      <c r="H239" s="202">
        <v>29.93</v>
      </c>
      <c r="I239" s="201"/>
      <c r="J239" s="204">
        <f t="shared" si="3"/>
        <v>2.2882262996941898E-2</v>
      </c>
    </row>
    <row r="240" spans="1:10">
      <c r="A240" s="201">
        <v>40</v>
      </c>
      <c r="B240" s="201">
        <v>3</v>
      </c>
      <c r="C240" s="201">
        <v>1</v>
      </c>
      <c r="D240" s="201" t="s">
        <v>580</v>
      </c>
      <c r="E240" s="201" t="s">
        <v>581</v>
      </c>
      <c r="F240" s="201">
        <v>3</v>
      </c>
      <c r="G240" s="201">
        <v>973</v>
      </c>
      <c r="H240" s="202">
        <v>15.96</v>
      </c>
      <c r="I240" s="201">
        <v>1</v>
      </c>
      <c r="J240" s="204">
        <f t="shared" si="3"/>
        <v>1.6402877697841729E-2</v>
      </c>
    </row>
    <row r="241" spans="1:11">
      <c r="A241" s="201">
        <v>40</v>
      </c>
      <c r="B241" s="201">
        <v>4</v>
      </c>
      <c r="C241" s="201">
        <v>1</v>
      </c>
      <c r="D241" s="201" t="s">
        <v>582</v>
      </c>
      <c r="E241" s="201" t="s">
        <v>583</v>
      </c>
      <c r="F241" s="201">
        <v>3</v>
      </c>
      <c r="G241" s="201">
        <v>1050</v>
      </c>
      <c r="H241" s="202">
        <v>29.22</v>
      </c>
      <c r="I241" s="201">
        <v>2</v>
      </c>
      <c r="J241" s="204">
        <f t="shared" si="3"/>
        <v>2.7828571428571428E-2</v>
      </c>
    </row>
    <row r="242" spans="1:11">
      <c r="A242" s="201">
        <v>40</v>
      </c>
      <c r="B242" s="201">
        <v>5</v>
      </c>
      <c r="C242" s="201">
        <v>1</v>
      </c>
      <c r="D242" s="201" t="s">
        <v>584</v>
      </c>
      <c r="E242" s="201" t="s">
        <v>585</v>
      </c>
      <c r="F242" s="201">
        <v>3</v>
      </c>
      <c r="G242" s="201">
        <v>807</v>
      </c>
      <c r="H242" s="202">
        <v>19.18</v>
      </c>
      <c r="I242" s="201"/>
      <c r="J242" s="204">
        <f t="shared" si="3"/>
        <v>2.3767038413878561E-2</v>
      </c>
    </row>
    <row r="243" spans="1:11">
      <c r="A243" s="201">
        <v>40</v>
      </c>
      <c r="B243" s="201">
        <v>6</v>
      </c>
      <c r="C243" s="201">
        <v>1</v>
      </c>
      <c r="D243" s="201" t="s">
        <v>586</v>
      </c>
      <c r="E243" s="201" t="s">
        <v>587</v>
      </c>
      <c r="F243" s="201">
        <v>3</v>
      </c>
      <c r="G243" s="201">
        <v>661</v>
      </c>
      <c r="H243" s="202">
        <v>17.78</v>
      </c>
      <c r="I243" s="201"/>
      <c r="J243" s="204">
        <f t="shared" si="3"/>
        <v>2.6898638426626327E-2</v>
      </c>
    </row>
    <row r="244" spans="1:11">
      <c r="A244" s="107">
        <v>41</v>
      </c>
      <c r="B244" s="107">
        <v>1</v>
      </c>
      <c r="C244" s="107">
        <v>1</v>
      </c>
      <c r="D244" s="107" t="s">
        <v>588</v>
      </c>
      <c r="E244" s="107" t="s">
        <v>589</v>
      </c>
      <c r="F244" s="107"/>
      <c r="G244" s="107"/>
      <c r="H244" s="106"/>
      <c r="I244" s="107"/>
      <c r="J244" s="203" t="str">
        <f t="shared" si="3"/>
        <v/>
      </c>
    </row>
    <row r="245" spans="1:11">
      <c r="A245" s="107">
        <v>41</v>
      </c>
      <c r="B245" s="107">
        <v>2</v>
      </c>
      <c r="C245" s="107">
        <v>1</v>
      </c>
      <c r="D245" s="107" t="s">
        <v>590</v>
      </c>
      <c r="E245" s="107" t="s">
        <v>591</v>
      </c>
      <c r="F245" s="107"/>
      <c r="G245" s="107"/>
      <c r="H245" s="106"/>
      <c r="I245" s="107"/>
      <c r="J245" s="203" t="str">
        <f t="shared" si="3"/>
        <v/>
      </c>
    </row>
    <row r="246" spans="1:11">
      <c r="A246" s="107">
        <v>41</v>
      </c>
      <c r="B246" s="107">
        <v>3</v>
      </c>
      <c r="C246" s="107">
        <v>1</v>
      </c>
      <c r="D246" s="107" t="s">
        <v>592</v>
      </c>
      <c r="E246" s="107" t="s">
        <v>593</v>
      </c>
      <c r="F246" s="107"/>
      <c r="G246" s="107"/>
      <c r="H246" s="106"/>
      <c r="I246" s="107">
        <v>2</v>
      </c>
      <c r="J246" s="203" t="str">
        <f t="shared" si="3"/>
        <v/>
      </c>
    </row>
    <row r="247" spans="1:11">
      <c r="A247" s="107">
        <v>41</v>
      </c>
      <c r="B247" s="107">
        <v>4</v>
      </c>
      <c r="C247" s="107">
        <v>1</v>
      </c>
      <c r="D247" s="107" t="s">
        <v>594</v>
      </c>
      <c r="E247" s="107" t="s">
        <v>595</v>
      </c>
      <c r="F247" s="107"/>
      <c r="G247" s="107"/>
      <c r="H247" s="106"/>
      <c r="I247" s="107">
        <v>2</v>
      </c>
      <c r="J247" s="203" t="str">
        <f t="shared" si="3"/>
        <v/>
      </c>
    </row>
    <row r="248" spans="1:11">
      <c r="A248" s="107">
        <v>41</v>
      </c>
      <c r="B248" s="107">
        <v>5</v>
      </c>
      <c r="C248" s="107">
        <v>1</v>
      </c>
      <c r="D248" s="107" t="s">
        <v>596</v>
      </c>
      <c r="E248" s="107" t="s">
        <v>597</v>
      </c>
      <c r="F248" s="107"/>
      <c r="G248" s="107"/>
      <c r="H248" s="106"/>
      <c r="I248" s="107"/>
      <c r="J248" s="203" t="str">
        <f t="shared" si="3"/>
        <v/>
      </c>
    </row>
    <row r="249" spans="1:11">
      <c r="A249" s="107">
        <v>41</v>
      </c>
      <c r="B249" s="107">
        <v>6</v>
      </c>
      <c r="C249" s="107">
        <v>1</v>
      </c>
      <c r="D249" s="107" t="s">
        <v>598</v>
      </c>
      <c r="E249" s="107" t="s">
        <v>599</v>
      </c>
      <c r="F249" s="107"/>
      <c r="G249" s="107"/>
      <c r="H249" s="106"/>
      <c r="I249" s="107"/>
      <c r="J249" s="203" t="str">
        <f t="shared" si="3"/>
        <v/>
      </c>
    </row>
    <row r="250" spans="1:11">
      <c r="A250" s="208">
        <v>42</v>
      </c>
      <c r="B250" s="208">
        <v>1</v>
      </c>
      <c r="C250" s="208">
        <v>1</v>
      </c>
      <c r="D250" s="208" t="s">
        <v>600</v>
      </c>
      <c r="E250" s="208" t="s">
        <v>601</v>
      </c>
      <c r="F250" s="208">
        <v>0</v>
      </c>
      <c r="G250" s="208"/>
      <c r="H250" s="209"/>
      <c r="I250" s="208"/>
      <c r="J250" s="210" t="str">
        <f t="shared" si="3"/>
        <v/>
      </c>
      <c r="K250" t="s">
        <v>1130</v>
      </c>
    </row>
    <row r="251" spans="1:11">
      <c r="A251" s="201">
        <v>42</v>
      </c>
      <c r="B251" s="201">
        <v>2</v>
      </c>
      <c r="C251" s="201">
        <v>1</v>
      </c>
      <c r="D251" s="201" t="s">
        <v>602</v>
      </c>
      <c r="E251" s="201" t="s">
        <v>603</v>
      </c>
      <c r="F251" s="201">
        <v>3</v>
      </c>
      <c r="G251" s="201">
        <v>973</v>
      </c>
      <c r="H251" s="202">
        <v>27.74</v>
      </c>
      <c r="I251" s="201">
        <v>1</v>
      </c>
      <c r="J251" s="204">
        <f t="shared" si="3"/>
        <v>2.8509763617677285E-2</v>
      </c>
    </row>
    <row r="252" spans="1:11">
      <c r="A252" s="201">
        <v>42</v>
      </c>
      <c r="B252" s="201">
        <v>3</v>
      </c>
      <c r="C252" s="201">
        <v>1</v>
      </c>
      <c r="D252" s="201" t="s">
        <v>604</v>
      </c>
      <c r="E252" s="201" t="s">
        <v>605</v>
      </c>
      <c r="F252" s="201">
        <v>2</v>
      </c>
      <c r="G252" s="201">
        <v>904</v>
      </c>
      <c r="H252" s="202">
        <v>23.16</v>
      </c>
      <c r="I252" s="201">
        <v>2</v>
      </c>
      <c r="J252" s="204">
        <f t="shared" si="3"/>
        <v>2.5619469026548672E-2</v>
      </c>
    </row>
    <row r="253" spans="1:11">
      <c r="A253" s="201">
        <v>42</v>
      </c>
      <c r="B253" s="201">
        <v>4</v>
      </c>
      <c r="C253" s="201">
        <v>1</v>
      </c>
      <c r="D253" s="201" t="s">
        <v>606</v>
      </c>
      <c r="E253" s="201" t="s">
        <v>607</v>
      </c>
      <c r="F253" s="201">
        <v>3</v>
      </c>
      <c r="G253" s="201">
        <v>1569</v>
      </c>
      <c r="H253" s="202">
        <v>30.11</v>
      </c>
      <c r="I253" s="201">
        <v>1</v>
      </c>
      <c r="J253" s="204">
        <f t="shared" si="3"/>
        <v>1.9190567240280433E-2</v>
      </c>
    </row>
    <row r="254" spans="1:11">
      <c r="A254" s="201">
        <v>42</v>
      </c>
      <c r="B254" s="201">
        <v>5</v>
      </c>
      <c r="C254" s="201">
        <v>1</v>
      </c>
      <c r="D254" s="201" t="s">
        <v>608</v>
      </c>
      <c r="E254" s="201" t="s">
        <v>609</v>
      </c>
      <c r="F254" s="201">
        <v>3</v>
      </c>
      <c r="G254" s="201">
        <v>863</v>
      </c>
      <c r="H254" s="202">
        <v>21.33</v>
      </c>
      <c r="I254" s="201">
        <v>1</v>
      </c>
      <c r="J254" s="204">
        <f t="shared" si="3"/>
        <v>2.4716106604866742E-2</v>
      </c>
    </row>
    <row r="255" spans="1:11">
      <c r="A255" s="201">
        <v>42</v>
      </c>
      <c r="B255" s="201">
        <v>6</v>
      </c>
      <c r="C255" s="201">
        <v>1</v>
      </c>
      <c r="D255" s="201" t="s">
        <v>610</v>
      </c>
      <c r="E255" s="201" t="s">
        <v>611</v>
      </c>
      <c r="F255" s="201">
        <v>3</v>
      </c>
      <c r="G255" s="201">
        <v>1276</v>
      </c>
      <c r="H255" s="202">
        <v>24.51</v>
      </c>
      <c r="I255" s="201"/>
      <c r="J255" s="204">
        <f t="shared" si="3"/>
        <v>1.9208463949843262E-2</v>
      </c>
    </row>
    <row r="256" spans="1:11">
      <c r="A256" s="107">
        <v>43</v>
      </c>
      <c r="B256" s="107">
        <v>1</v>
      </c>
      <c r="C256" s="107">
        <v>1</v>
      </c>
      <c r="D256" s="107" t="s">
        <v>612</v>
      </c>
      <c r="E256" s="107" t="s">
        <v>613</v>
      </c>
      <c r="F256" s="107"/>
      <c r="G256" s="107"/>
      <c r="H256" s="106"/>
      <c r="I256" s="107"/>
      <c r="J256" s="203" t="str">
        <f t="shared" si="3"/>
        <v/>
      </c>
    </row>
    <row r="257" spans="1:10">
      <c r="A257" s="107">
        <v>43</v>
      </c>
      <c r="B257" s="107">
        <v>2</v>
      </c>
      <c r="C257" s="107">
        <v>1</v>
      </c>
      <c r="D257" s="107" t="s">
        <v>614</v>
      </c>
      <c r="E257" s="107" t="s">
        <v>615</v>
      </c>
      <c r="F257" s="107"/>
      <c r="G257" s="107"/>
      <c r="H257" s="106"/>
      <c r="I257" s="107"/>
      <c r="J257" s="203" t="str">
        <f t="shared" si="3"/>
        <v/>
      </c>
    </row>
    <row r="258" spans="1:10">
      <c r="A258" s="107">
        <v>43</v>
      </c>
      <c r="B258" s="107">
        <v>3</v>
      </c>
      <c r="C258" s="107">
        <v>1</v>
      </c>
      <c r="D258" s="107" t="s">
        <v>616</v>
      </c>
      <c r="E258" s="107" t="s">
        <v>617</v>
      </c>
      <c r="F258" s="107"/>
      <c r="G258" s="107"/>
      <c r="H258" s="106"/>
      <c r="I258" s="107">
        <v>1</v>
      </c>
      <c r="J258" s="203" t="str">
        <f t="shared" si="3"/>
        <v/>
      </c>
    </row>
    <row r="259" spans="1:10">
      <c r="A259" s="107">
        <v>43</v>
      </c>
      <c r="B259" s="107">
        <v>4</v>
      </c>
      <c r="C259" s="107">
        <v>1</v>
      </c>
      <c r="D259" s="107" t="s">
        <v>618</v>
      </c>
      <c r="E259" s="107" t="s">
        <v>619</v>
      </c>
      <c r="F259" s="107"/>
      <c r="G259" s="107"/>
      <c r="H259" s="106"/>
      <c r="I259" s="107"/>
      <c r="J259" s="203" t="str">
        <f t="shared" si="3"/>
        <v/>
      </c>
    </row>
    <row r="260" spans="1:10">
      <c r="A260" s="107">
        <v>43</v>
      </c>
      <c r="B260" s="107">
        <v>5</v>
      </c>
      <c r="C260" s="107">
        <v>1</v>
      </c>
      <c r="D260" s="107" t="s">
        <v>620</v>
      </c>
      <c r="E260" s="107" t="s">
        <v>621</v>
      </c>
      <c r="F260" s="107"/>
      <c r="G260" s="107"/>
      <c r="H260" s="106"/>
      <c r="I260" s="107">
        <v>2</v>
      </c>
      <c r="J260" s="203" t="str">
        <f t="shared" si="3"/>
        <v/>
      </c>
    </row>
    <row r="261" spans="1:10">
      <c r="A261" s="107">
        <v>43</v>
      </c>
      <c r="B261" s="107">
        <v>6</v>
      </c>
      <c r="C261" s="107">
        <v>1</v>
      </c>
      <c r="D261" s="107" t="s">
        <v>622</v>
      </c>
      <c r="E261" s="107" t="s">
        <v>623</v>
      </c>
      <c r="F261" s="107"/>
      <c r="G261" s="107"/>
      <c r="H261" s="106"/>
      <c r="I261" s="107"/>
      <c r="J261" s="203" t="str">
        <f t="shared" ref="J261:J324" si="4">IF(G261="","",H261/G261)</f>
        <v/>
      </c>
    </row>
    <row r="262" spans="1:10">
      <c r="A262" s="201">
        <v>44</v>
      </c>
      <c r="B262" s="201">
        <v>1</v>
      </c>
      <c r="C262" s="201">
        <v>1</v>
      </c>
      <c r="D262" s="201" t="s">
        <v>624</v>
      </c>
      <c r="E262" s="201" t="s">
        <v>625</v>
      </c>
      <c r="F262" s="201"/>
      <c r="G262" s="201"/>
      <c r="H262" s="202"/>
      <c r="I262" s="201"/>
      <c r="J262" s="204" t="str">
        <f t="shared" si="4"/>
        <v/>
      </c>
    </row>
    <row r="263" spans="1:10">
      <c r="A263" s="201">
        <v>44</v>
      </c>
      <c r="B263" s="201">
        <v>2</v>
      </c>
      <c r="C263" s="201">
        <v>1</v>
      </c>
      <c r="D263" s="201" t="s">
        <v>626</v>
      </c>
      <c r="E263" s="201" t="s">
        <v>627</v>
      </c>
      <c r="F263" s="201"/>
      <c r="G263" s="201"/>
      <c r="H263" s="202"/>
      <c r="I263" s="201">
        <v>1</v>
      </c>
      <c r="J263" s="204" t="str">
        <f t="shared" si="4"/>
        <v/>
      </c>
    </row>
    <row r="264" spans="1:10">
      <c r="A264" s="201">
        <v>44</v>
      </c>
      <c r="B264" s="201">
        <v>3</v>
      </c>
      <c r="C264" s="201">
        <v>1</v>
      </c>
      <c r="D264" s="201" t="s">
        <v>628</v>
      </c>
      <c r="E264" s="201" t="s">
        <v>629</v>
      </c>
      <c r="F264" s="201"/>
      <c r="G264" s="201"/>
      <c r="H264" s="202"/>
      <c r="I264" s="201"/>
      <c r="J264" s="204" t="str">
        <f t="shared" si="4"/>
        <v/>
      </c>
    </row>
    <row r="265" spans="1:10">
      <c r="A265" s="201">
        <v>44</v>
      </c>
      <c r="B265" s="201">
        <v>4</v>
      </c>
      <c r="C265" s="201">
        <v>1</v>
      </c>
      <c r="D265" s="201" t="s">
        <v>630</v>
      </c>
      <c r="E265" s="201" t="s">
        <v>631</v>
      </c>
      <c r="F265" s="201"/>
      <c r="G265" s="201"/>
      <c r="H265" s="202"/>
      <c r="I265" s="201">
        <v>1</v>
      </c>
      <c r="J265" s="204" t="str">
        <f t="shared" si="4"/>
        <v/>
      </c>
    </row>
    <row r="266" spans="1:10">
      <c r="A266" s="201">
        <v>44</v>
      </c>
      <c r="B266" s="201">
        <v>5</v>
      </c>
      <c r="C266" s="201">
        <v>1</v>
      </c>
      <c r="D266" s="201" t="s">
        <v>632</v>
      </c>
      <c r="E266" s="201" t="s">
        <v>633</v>
      </c>
      <c r="F266" s="201"/>
      <c r="G266" s="201"/>
      <c r="H266" s="202"/>
      <c r="I266" s="201"/>
      <c r="J266" s="204" t="str">
        <f t="shared" si="4"/>
        <v/>
      </c>
    </row>
    <row r="267" spans="1:10">
      <c r="A267" s="201">
        <v>44</v>
      </c>
      <c r="B267" s="201">
        <v>6</v>
      </c>
      <c r="C267" s="201">
        <v>1</v>
      </c>
      <c r="D267" s="201" t="s">
        <v>634</v>
      </c>
      <c r="E267" s="201" t="s">
        <v>635</v>
      </c>
      <c r="F267" s="201"/>
      <c r="G267" s="201"/>
      <c r="H267" s="202"/>
      <c r="I267" s="201"/>
      <c r="J267" s="204" t="str">
        <f t="shared" si="4"/>
        <v/>
      </c>
    </row>
    <row r="268" spans="1:10">
      <c r="A268" s="107">
        <v>45</v>
      </c>
      <c r="B268" s="107">
        <v>1</v>
      </c>
      <c r="C268" s="107">
        <v>1</v>
      </c>
      <c r="D268" s="107" t="s">
        <v>636</v>
      </c>
      <c r="E268" s="107" t="s">
        <v>637</v>
      </c>
      <c r="F268" s="107"/>
      <c r="G268" s="107"/>
      <c r="H268" s="106"/>
      <c r="I268" s="107"/>
      <c r="J268" s="203" t="str">
        <f t="shared" si="4"/>
        <v/>
      </c>
    </row>
    <row r="269" spans="1:10">
      <c r="A269" s="107">
        <v>45</v>
      </c>
      <c r="B269" s="107">
        <v>2</v>
      </c>
      <c r="C269" s="107">
        <v>1</v>
      </c>
      <c r="D269" s="107" t="s">
        <v>638</v>
      </c>
      <c r="E269" s="107" t="s">
        <v>639</v>
      </c>
      <c r="F269" s="107"/>
      <c r="G269" s="107"/>
      <c r="H269" s="106"/>
      <c r="I269" s="107"/>
      <c r="J269" s="203" t="str">
        <f t="shared" si="4"/>
        <v/>
      </c>
    </row>
    <row r="270" spans="1:10">
      <c r="A270" s="107">
        <v>45</v>
      </c>
      <c r="B270" s="107">
        <v>3</v>
      </c>
      <c r="C270" s="107">
        <v>1</v>
      </c>
      <c r="D270" s="107" t="s">
        <v>640</v>
      </c>
      <c r="E270" s="107" t="s">
        <v>641</v>
      </c>
      <c r="F270" s="107"/>
      <c r="G270" s="107"/>
      <c r="H270" s="106"/>
      <c r="I270" s="107"/>
      <c r="J270" s="203" t="str">
        <f t="shared" si="4"/>
        <v/>
      </c>
    </row>
    <row r="271" spans="1:10">
      <c r="A271" s="107">
        <v>45</v>
      </c>
      <c r="B271" s="107">
        <v>4</v>
      </c>
      <c r="C271" s="107">
        <v>1</v>
      </c>
      <c r="D271" s="107" t="s">
        <v>642</v>
      </c>
      <c r="E271" s="107" t="s">
        <v>643</v>
      </c>
      <c r="F271" s="107"/>
      <c r="G271" s="107"/>
      <c r="H271" s="106"/>
      <c r="I271" s="107"/>
      <c r="J271" s="203" t="str">
        <f t="shared" si="4"/>
        <v/>
      </c>
    </row>
    <row r="272" spans="1:10">
      <c r="A272" s="107">
        <v>45</v>
      </c>
      <c r="B272" s="107">
        <v>5</v>
      </c>
      <c r="C272" s="107">
        <v>1</v>
      </c>
      <c r="D272" s="107" t="s">
        <v>644</v>
      </c>
      <c r="E272" s="107" t="s">
        <v>645</v>
      </c>
      <c r="F272" s="107"/>
      <c r="G272" s="107"/>
      <c r="H272" s="106"/>
      <c r="I272" s="107"/>
      <c r="J272" s="203" t="str">
        <f t="shared" si="4"/>
        <v/>
      </c>
    </row>
    <row r="273" spans="1:10">
      <c r="A273" s="107">
        <v>45</v>
      </c>
      <c r="B273" s="107">
        <v>6</v>
      </c>
      <c r="C273" s="107">
        <v>1</v>
      </c>
      <c r="D273" s="107" t="s">
        <v>646</v>
      </c>
      <c r="E273" s="107" t="s">
        <v>647</v>
      </c>
      <c r="F273" s="107"/>
      <c r="G273" s="107"/>
      <c r="H273" s="106"/>
      <c r="I273" s="107"/>
      <c r="J273" s="203" t="str">
        <f t="shared" si="4"/>
        <v/>
      </c>
    </row>
    <row r="274" spans="1:10">
      <c r="A274" s="201">
        <v>46</v>
      </c>
      <c r="B274" s="201">
        <v>1</v>
      </c>
      <c r="C274" s="201">
        <v>1</v>
      </c>
      <c r="D274" s="201" t="s">
        <v>648</v>
      </c>
      <c r="E274" s="201" t="s">
        <v>649</v>
      </c>
      <c r="F274" s="201"/>
      <c r="G274" s="201"/>
      <c r="H274" s="202"/>
      <c r="I274" s="201"/>
      <c r="J274" s="204" t="str">
        <f t="shared" si="4"/>
        <v/>
      </c>
    </row>
    <row r="275" spans="1:10">
      <c r="A275" s="201">
        <v>46</v>
      </c>
      <c r="B275" s="201">
        <v>2</v>
      </c>
      <c r="C275" s="201">
        <v>1</v>
      </c>
      <c r="D275" s="201" t="s">
        <v>650</v>
      </c>
      <c r="E275" s="201" t="s">
        <v>651</v>
      </c>
      <c r="F275" s="201"/>
      <c r="G275" s="201"/>
      <c r="H275" s="202"/>
      <c r="I275" s="201"/>
      <c r="J275" s="204" t="str">
        <f t="shared" si="4"/>
        <v/>
      </c>
    </row>
    <row r="276" spans="1:10">
      <c r="A276" s="201">
        <v>46</v>
      </c>
      <c r="B276" s="201">
        <v>3</v>
      </c>
      <c r="C276" s="201">
        <v>1</v>
      </c>
      <c r="D276" s="201" t="s">
        <v>652</v>
      </c>
      <c r="E276" s="201" t="s">
        <v>653</v>
      </c>
      <c r="F276" s="201"/>
      <c r="G276" s="201"/>
      <c r="H276" s="202"/>
      <c r="I276" s="201">
        <v>1</v>
      </c>
      <c r="J276" s="204" t="str">
        <f t="shared" si="4"/>
        <v/>
      </c>
    </row>
    <row r="277" spans="1:10">
      <c r="A277" s="201">
        <v>46</v>
      </c>
      <c r="B277" s="201">
        <v>4</v>
      </c>
      <c r="C277" s="201">
        <v>1</v>
      </c>
      <c r="D277" s="201" t="s">
        <v>654</v>
      </c>
      <c r="E277" s="201" t="s">
        <v>655</v>
      </c>
      <c r="F277" s="201"/>
      <c r="G277" s="201"/>
      <c r="H277" s="202"/>
      <c r="I277" s="201"/>
      <c r="J277" s="204" t="str">
        <f t="shared" si="4"/>
        <v/>
      </c>
    </row>
    <row r="278" spans="1:10">
      <c r="A278" s="201">
        <v>46</v>
      </c>
      <c r="B278" s="201">
        <v>5</v>
      </c>
      <c r="C278" s="201">
        <v>1</v>
      </c>
      <c r="D278" s="201" t="s">
        <v>656</v>
      </c>
      <c r="E278" s="201" t="s">
        <v>657</v>
      </c>
      <c r="F278" s="201"/>
      <c r="G278" s="201"/>
      <c r="H278" s="202"/>
      <c r="I278" s="201"/>
      <c r="J278" s="204" t="str">
        <f t="shared" si="4"/>
        <v/>
      </c>
    </row>
    <row r="279" spans="1:10">
      <c r="A279" s="201">
        <v>46</v>
      </c>
      <c r="B279" s="201">
        <v>6</v>
      </c>
      <c r="C279" s="201">
        <v>1</v>
      </c>
      <c r="D279" s="201" t="s">
        <v>658</v>
      </c>
      <c r="E279" s="201" t="s">
        <v>659</v>
      </c>
      <c r="F279" s="201"/>
      <c r="G279" s="201"/>
      <c r="H279" s="202"/>
      <c r="I279" s="201"/>
      <c r="J279" s="204" t="str">
        <f t="shared" si="4"/>
        <v/>
      </c>
    </row>
    <row r="280" spans="1:10">
      <c r="A280" s="107">
        <v>47</v>
      </c>
      <c r="B280" s="107">
        <v>1</v>
      </c>
      <c r="C280" s="107">
        <v>1</v>
      </c>
      <c r="D280" s="107" t="s">
        <v>660</v>
      </c>
      <c r="E280" s="107" t="s">
        <v>661</v>
      </c>
      <c r="F280" s="107"/>
      <c r="G280" s="107"/>
      <c r="H280" s="106"/>
      <c r="I280" s="107">
        <v>2</v>
      </c>
      <c r="J280" s="203" t="str">
        <f t="shared" si="4"/>
        <v/>
      </c>
    </row>
    <row r="281" spans="1:10">
      <c r="A281" s="107">
        <v>47</v>
      </c>
      <c r="B281" s="107">
        <v>2</v>
      </c>
      <c r="C281" s="107">
        <v>1</v>
      </c>
      <c r="D281" s="107" t="s">
        <v>662</v>
      </c>
      <c r="E281" s="107" t="s">
        <v>663</v>
      </c>
      <c r="F281" s="107"/>
      <c r="G281" s="107"/>
      <c r="H281" s="106"/>
      <c r="I281" s="107">
        <v>2</v>
      </c>
      <c r="J281" s="203" t="str">
        <f t="shared" si="4"/>
        <v/>
      </c>
    </row>
    <row r="282" spans="1:10">
      <c r="A282" s="107">
        <v>47</v>
      </c>
      <c r="B282" s="107">
        <v>3</v>
      </c>
      <c r="C282" s="107">
        <v>1</v>
      </c>
      <c r="D282" s="107" t="s">
        <v>664</v>
      </c>
      <c r="E282" s="107" t="s">
        <v>665</v>
      </c>
      <c r="F282" s="107"/>
      <c r="G282" s="107"/>
      <c r="H282" s="106"/>
      <c r="I282" s="107">
        <v>1</v>
      </c>
      <c r="J282" s="203" t="str">
        <f t="shared" si="4"/>
        <v/>
      </c>
    </row>
    <row r="283" spans="1:10">
      <c r="A283" s="107">
        <v>47</v>
      </c>
      <c r="B283" s="107">
        <v>4</v>
      </c>
      <c r="C283" s="107">
        <v>1</v>
      </c>
      <c r="D283" s="107" t="s">
        <v>666</v>
      </c>
      <c r="E283" s="107" t="s">
        <v>667</v>
      </c>
      <c r="F283" s="107"/>
      <c r="G283" s="107"/>
      <c r="H283" s="106"/>
      <c r="I283" s="107">
        <v>3</v>
      </c>
      <c r="J283" s="203" t="str">
        <f t="shared" si="4"/>
        <v/>
      </c>
    </row>
    <row r="284" spans="1:10">
      <c r="A284" s="107">
        <v>47</v>
      </c>
      <c r="B284" s="107">
        <v>5</v>
      </c>
      <c r="C284" s="107">
        <v>1</v>
      </c>
      <c r="D284" s="107" t="s">
        <v>668</v>
      </c>
      <c r="E284" s="107" t="s">
        <v>669</v>
      </c>
      <c r="F284" s="107"/>
      <c r="G284" s="107"/>
      <c r="H284" s="106"/>
      <c r="I284" s="107">
        <v>2</v>
      </c>
      <c r="J284" s="203" t="str">
        <f t="shared" si="4"/>
        <v/>
      </c>
    </row>
    <row r="285" spans="1:10">
      <c r="A285" s="107">
        <v>47</v>
      </c>
      <c r="B285" s="107">
        <v>6</v>
      </c>
      <c r="C285" s="107">
        <v>1</v>
      </c>
      <c r="D285" s="107" t="s">
        <v>670</v>
      </c>
      <c r="E285" s="107" t="s">
        <v>671</v>
      </c>
      <c r="F285" s="107"/>
      <c r="G285" s="107"/>
      <c r="H285" s="106"/>
      <c r="I285" s="107"/>
      <c r="J285" s="203" t="str">
        <f t="shared" si="4"/>
        <v/>
      </c>
    </row>
    <row r="286" spans="1:10">
      <c r="A286" s="201">
        <v>48</v>
      </c>
      <c r="B286" s="201">
        <v>1</v>
      </c>
      <c r="C286" s="201">
        <v>1</v>
      </c>
      <c r="D286" s="201" t="s">
        <v>672</v>
      </c>
      <c r="E286" s="201" t="s">
        <v>673</v>
      </c>
      <c r="F286" s="201"/>
      <c r="G286" s="201"/>
      <c r="H286" s="202"/>
      <c r="I286" s="201">
        <v>2</v>
      </c>
      <c r="J286" s="204" t="str">
        <f t="shared" si="4"/>
        <v/>
      </c>
    </row>
    <row r="287" spans="1:10">
      <c r="A287" s="201">
        <v>48</v>
      </c>
      <c r="B287" s="201">
        <v>2</v>
      </c>
      <c r="C287" s="201">
        <v>1</v>
      </c>
      <c r="D287" s="201" t="s">
        <v>674</v>
      </c>
      <c r="E287" s="201" t="s">
        <v>675</v>
      </c>
      <c r="F287" s="201">
        <v>3</v>
      </c>
      <c r="G287" s="201">
        <v>366</v>
      </c>
      <c r="H287" s="202">
        <v>6.01</v>
      </c>
      <c r="I287" s="201">
        <v>3</v>
      </c>
      <c r="J287" s="204">
        <f t="shared" si="4"/>
        <v>1.6420765027322405E-2</v>
      </c>
    </row>
    <row r="288" spans="1:10">
      <c r="A288" s="201">
        <v>48</v>
      </c>
      <c r="B288" s="201">
        <v>3</v>
      </c>
      <c r="C288" s="201">
        <v>1</v>
      </c>
      <c r="D288" s="201" t="s">
        <v>676</v>
      </c>
      <c r="E288" s="201" t="s">
        <v>677</v>
      </c>
      <c r="F288" s="201">
        <v>3</v>
      </c>
      <c r="G288" s="201">
        <v>1656</v>
      </c>
      <c r="H288" s="202">
        <v>35.26</v>
      </c>
      <c r="I288" s="201"/>
      <c r="J288" s="204">
        <f t="shared" si="4"/>
        <v>2.1292270531400963E-2</v>
      </c>
    </row>
    <row r="289" spans="1:10">
      <c r="A289" s="201">
        <v>48</v>
      </c>
      <c r="B289" s="201">
        <v>4</v>
      </c>
      <c r="C289" s="201">
        <v>1</v>
      </c>
      <c r="D289" s="201" t="s">
        <v>678</v>
      </c>
      <c r="E289" s="201" t="s">
        <v>679</v>
      </c>
      <c r="F289" s="201">
        <v>3</v>
      </c>
      <c r="G289" s="201">
        <v>203</v>
      </c>
      <c r="H289" s="202">
        <v>1.89</v>
      </c>
      <c r="I289" s="201">
        <v>1</v>
      </c>
      <c r="J289" s="204">
        <f t="shared" si="4"/>
        <v>9.3103448275862061E-3</v>
      </c>
    </row>
    <row r="290" spans="1:10">
      <c r="A290" s="201">
        <v>48</v>
      </c>
      <c r="B290" s="201">
        <v>5</v>
      </c>
      <c r="C290" s="201">
        <v>1</v>
      </c>
      <c r="D290" s="201" t="s">
        <v>680</v>
      </c>
      <c r="E290" s="201" t="s">
        <v>681</v>
      </c>
      <c r="F290" s="201">
        <v>3</v>
      </c>
      <c r="G290" s="201">
        <v>1224</v>
      </c>
      <c r="H290" s="202">
        <v>53.37</v>
      </c>
      <c r="I290" s="201">
        <v>1</v>
      </c>
      <c r="J290" s="204">
        <f t="shared" si="4"/>
        <v>4.3602941176470587E-2</v>
      </c>
    </row>
    <row r="291" spans="1:10">
      <c r="A291" s="201">
        <v>48</v>
      </c>
      <c r="B291" s="201">
        <v>6</v>
      </c>
      <c r="C291" s="201">
        <v>1</v>
      </c>
      <c r="D291" s="201" t="s">
        <v>682</v>
      </c>
      <c r="E291" s="201" t="s">
        <v>683</v>
      </c>
      <c r="F291" s="201">
        <v>3</v>
      </c>
      <c r="G291" s="201">
        <v>1340</v>
      </c>
      <c r="H291" s="202">
        <v>42.51</v>
      </c>
      <c r="I291" s="201"/>
      <c r="J291" s="204">
        <f t="shared" si="4"/>
        <v>3.1723880597014927E-2</v>
      </c>
    </row>
    <row r="292" spans="1:10">
      <c r="A292" s="107">
        <v>49</v>
      </c>
      <c r="B292" s="107">
        <v>1</v>
      </c>
      <c r="C292" s="107">
        <v>1</v>
      </c>
      <c r="D292" s="107" t="s">
        <v>684</v>
      </c>
      <c r="E292" s="107" t="s">
        <v>685</v>
      </c>
      <c r="F292" s="107"/>
      <c r="G292" s="107"/>
      <c r="H292" s="106"/>
      <c r="I292" s="107"/>
      <c r="J292" s="203" t="str">
        <f t="shared" si="4"/>
        <v/>
      </c>
    </row>
    <row r="293" spans="1:10">
      <c r="A293" s="107">
        <v>49</v>
      </c>
      <c r="B293" s="107">
        <v>2</v>
      </c>
      <c r="C293" s="107">
        <v>1</v>
      </c>
      <c r="D293" s="107" t="s">
        <v>686</v>
      </c>
      <c r="E293" s="107" t="s">
        <v>687</v>
      </c>
      <c r="F293" s="107"/>
      <c r="G293" s="107"/>
      <c r="H293" s="106"/>
      <c r="I293" s="107"/>
      <c r="J293" s="203" t="str">
        <f t="shared" si="4"/>
        <v/>
      </c>
    </row>
    <row r="294" spans="1:10">
      <c r="A294" s="107">
        <v>49</v>
      </c>
      <c r="B294" s="107">
        <v>3</v>
      </c>
      <c r="C294" s="107">
        <v>1</v>
      </c>
      <c r="D294" s="107" t="s">
        <v>688</v>
      </c>
      <c r="E294" s="107" t="s">
        <v>689</v>
      </c>
      <c r="F294" s="107"/>
      <c r="G294" s="107"/>
      <c r="H294" s="106"/>
      <c r="I294" s="107">
        <v>1</v>
      </c>
      <c r="J294" s="203" t="str">
        <f t="shared" si="4"/>
        <v/>
      </c>
    </row>
    <row r="295" spans="1:10">
      <c r="A295" s="107">
        <v>49</v>
      </c>
      <c r="B295" s="107">
        <v>4</v>
      </c>
      <c r="C295" s="107">
        <v>1</v>
      </c>
      <c r="D295" s="107" t="s">
        <v>690</v>
      </c>
      <c r="E295" s="107" t="s">
        <v>691</v>
      </c>
      <c r="F295" s="107"/>
      <c r="G295" s="107"/>
      <c r="H295" s="106"/>
      <c r="I295" s="107">
        <v>1</v>
      </c>
      <c r="J295" s="203" t="str">
        <f t="shared" si="4"/>
        <v/>
      </c>
    </row>
    <row r="296" spans="1:10">
      <c r="A296" s="107">
        <v>49</v>
      </c>
      <c r="B296" s="107">
        <v>5</v>
      </c>
      <c r="C296" s="107">
        <v>1</v>
      </c>
      <c r="D296" s="107" t="s">
        <v>692</v>
      </c>
      <c r="E296" s="107" t="s">
        <v>693</v>
      </c>
      <c r="F296" s="107"/>
      <c r="G296" s="107"/>
      <c r="H296" s="106"/>
      <c r="I296" s="107">
        <v>3</v>
      </c>
      <c r="J296" s="203" t="str">
        <f t="shared" si="4"/>
        <v/>
      </c>
    </row>
    <row r="297" spans="1:10">
      <c r="A297" s="107">
        <v>49</v>
      </c>
      <c r="B297" s="107">
        <v>6</v>
      </c>
      <c r="C297" s="107">
        <v>1</v>
      </c>
      <c r="D297" s="107" t="s">
        <v>694</v>
      </c>
      <c r="E297" s="107" t="s">
        <v>695</v>
      </c>
      <c r="F297" s="107"/>
      <c r="G297" s="107"/>
      <c r="H297" s="106"/>
      <c r="I297" s="107"/>
      <c r="J297" s="203" t="str">
        <f t="shared" si="4"/>
        <v/>
      </c>
    </row>
    <row r="298" spans="1:10">
      <c r="A298" s="201">
        <v>50</v>
      </c>
      <c r="B298" s="201">
        <v>1</v>
      </c>
      <c r="C298" s="201">
        <v>1</v>
      </c>
      <c r="D298" s="201" t="s">
        <v>696</v>
      </c>
      <c r="E298" s="201" t="s">
        <v>697</v>
      </c>
      <c r="F298" s="201"/>
      <c r="G298" s="201"/>
      <c r="H298" s="202"/>
      <c r="I298" s="201"/>
      <c r="J298" s="204" t="str">
        <f t="shared" si="4"/>
        <v/>
      </c>
    </row>
    <row r="299" spans="1:10">
      <c r="A299" s="201">
        <v>50</v>
      </c>
      <c r="B299" s="201">
        <v>2</v>
      </c>
      <c r="C299" s="201">
        <v>1</v>
      </c>
      <c r="D299" s="201" t="s">
        <v>698</v>
      </c>
      <c r="E299" s="201" t="s">
        <v>699</v>
      </c>
      <c r="F299" s="201"/>
      <c r="G299" s="201"/>
      <c r="H299" s="202"/>
      <c r="I299" s="201"/>
      <c r="J299" s="204" t="str">
        <f t="shared" si="4"/>
        <v/>
      </c>
    </row>
    <row r="300" spans="1:10">
      <c r="A300" s="201">
        <v>50</v>
      </c>
      <c r="B300" s="201">
        <v>3</v>
      </c>
      <c r="C300" s="201">
        <v>1</v>
      </c>
      <c r="D300" s="201" t="s">
        <v>700</v>
      </c>
      <c r="E300" s="201" t="s">
        <v>701</v>
      </c>
      <c r="F300" s="201"/>
      <c r="G300" s="201"/>
      <c r="H300" s="202"/>
      <c r="I300" s="201"/>
      <c r="J300" s="204" t="str">
        <f t="shared" si="4"/>
        <v/>
      </c>
    </row>
    <row r="301" spans="1:10">
      <c r="A301" s="201">
        <v>50</v>
      </c>
      <c r="B301" s="201">
        <v>4</v>
      </c>
      <c r="C301" s="201">
        <v>1</v>
      </c>
      <c r="D301" s="201" t="s">
        <v>702</v>
      </c>
      <c r="E301" s="201" t="s">
        <v>703</v>
      </c>
      <c r="F301" s="201"/>
      <c r="G301" s="201"/>
      <c r="H301" s="202"/>
      <c r="I301" s="201"/>
      <c r="J301" s="204" t="str">
        <f t="shared" si="4"/>
        <v/>
      </c>
    </row>
    <row r="302" spans="1:10">
      <c r="A302" s="201">
        <v>50</v>
      </c>
      <c r="B302" s="201">
        <v>5</v>
      </c>
      <c r="C302" s="201">
        <v>1</v>
      </c>
      <c r="D302" s="201" t="s">
        <v>704</v>
      </c>
      <c r="E302" s="201" t="s">
        <v>705</v>
      </c>
      <c r="F302" s="201"/>
      <c r="G302" s="201"/>
      <c r="H302" s="202"/>
      <c r="I302" s="201"/>
      <c r="J302" s="204" t="str">
        <f t="shared" si="4"/>
        <v/>
      </c>
    </row>
    <row r="303" spans="1:10">
      <c r="A303" s="201">
        <v>50</v>
      </c>
      <c r="B303" s="201">
        <v>6</v>
      </c>
      <c r="C303" s="201">
        <v>1</v>
      </c>
      <c r="D303" s="201" t="s">
        <v>706</v>
      </c>
      <c r="E303" s="201" t="s">
        <v>137</v>
      </c>
      <c r="F303" s="201"/>
      <c r="G303" s="201"/>
      <c r="H303" s="202"/>
      <c r="I303" s="201"/>
      <c r="J303" s="204" t="str">
        <f t="shared" si="4"/>
        <v/>
      </c>
    </row>
    <row r="304" spans="1:10">
      <c r="A304" s="107">
        <v>52</v>
      </c>
      <c r="B304" s="107">
        <v>1</v>
      </c>
      <c r="C304" s="107">
        <v>1</v>
      </c>
      <c r="D304" s="107" t="s">
        <v>707</v>
      </c>
      <c r="E304" s="107" t="s">
        <v>708</v>
      </c>
      <c r="F304" s="107">
        <v>3</v>
      </c>
      <c r="G304" s="107">
        <v>1638</v>
      </c>
      <c r="H304" s="106">
        <v>50.42</v>
      </c>
      <c r="I304" s="107"/>
      <c r="J304" s="203">
        <f t="shared" si="4"/>
        <v>3.0781440781440784E-2</v>
      </c>
    </row>
    <row r="305" spans="1:10">
      <c r="A305" s="107">
        <v>52</v>
      </c>
      <c r="B305" s="107">
        <v>2</v>
      </c>
      <c r="C305" s="107">
        <v>1</v>
      </c>
      <c r="D305" s="107" t="s">
        <v>709</v>
      </c>
      <c r="E305" s="107" t="s">
        <v>710</v>
      </c>
      <c r="F305" s="107">
        <v>3</v>
      </c>
      <c r="G305" s="107">
        <v>762</v>
      </c>
      <c r="H305" s="106">
        <v>20.5</v>
      </c>
      <c r="I305" s="107"/>
      <c r="J305" s="203">
        <f t="shared" si="4"/>
        <v>2.6902887139107611E-2</v>
      </c>
    </row>
    <row r="306" spans="1:10">
      <c r="A306" s="107">
        <v>52</v>
      </c>
      <c r="B306" s="107">
        <v>3</v>
      </c>
      <c r="C306" s="107">
        <v>1</v>
      </c>
      <c r="D306" s="107" t="s">
        <v>711</v>
      </c>
      <c r="E306" s="107" t="s">
        <v>712</v>
      </c>
      <c r="F306" s="107">
        <v>3</v>
      </c>
      <c r="G306" s="107">
        <v>1229</v>
      </c>
      <c r="H306" s="106">
        <v>25.56</v>
      </c>
      <c r="I306" s="107">
        <v>1</v>
      </c>
      <c r="J306" s="203">
        <f t="shared" si="4"/>
        <v>2.079739625711961E-2</v>
      </c>
    </row>
    <row r="307" spans="1:10">
      <c r="A307" s="107">
        <v>52</v>
      </c>
      <c r="B307" s="107">
        <v>4</v>
      </c>
      <c r="C307" s="107">
        <v>1</v>
      </c>
      <c r="D307" s="107" t="s">
        <v>713</v>
      </c>
      <c r="E307" s="107" t="s">
        <v>714</v>
      </c>
      <c r="F307" s="107">
        <v>3</v>
      </c>
      <c r="G307" s="107">
        <v>643</v>
      </c>
      <c r="H307" s="106">
        <v>14.05</v>
      </c>
      <c r="I307" s="107">
        <v>2</v>
      </c>
      <c r="J307" s="203">
        <f t="shared" si="4"/>
        <v>2.1850699844479005E-2</v>
      </c>
    </row>
    <row r="308" spans="1:10">
      <c r="A308" s="107">
        <v>52</v>
      </c>
      <c r="B308" s="107">
        <v>5</v>
      </c>
      <c r="C308" s="107">
        <v>1</v>
      </c>
      <c r="D308" s="107" t="s">
        <v>715</v>
      </c>
      <c r="E308" s="107" t="s">
        <v>716</v>
      </c>
      <c r="F308" s="107">
        <v>3</v>
      </c>
      <c r="G308" s="107">
        <v>980</v>
      </c>
      <c r="H308" s="106">
        <v>28.96</v>
      </c>
      <c r="I308" s="107">
        <v>2</v>
      </c>
      <c r="J308" s="203">
        <f t="shared" si="4"/>
        <v>2.9551020408163268E-2</v>
      </c>
    </row>
    <row r="309" spans="1:10">
      <c r="A309" s="107">
        <v>52</v>
      </c>
      <c r="B309" s="107">
        <v>6</v>
      </c>
      <c r="C309" s="107">
        <v>1</v>
      </c>
      <c r="D309" s="107" t="s">
        <v>717</v>
      </c>
      <c r="E309" s="107" t="s">
        <v>718</v>
      </c>
      <c r="F309" s="107">
        <v>3</v>
      </c>
      <c r="G309" s="107">
        <v>859</v>
      </c>
      <c r="H309" s="106">
        <v>23.47</v>
      </c>
      <c r="I309" s="107">
        <v>1</v>
      </c>
      <c r="J309" s="203">
        <f t="shared" si="4"/>
        <v>2.7322467986030267E-2</v>
      </c>
    </row>
    <row r="310" spans="1:10">
      <c r="A310" s="201">
        <v>53</v>
      </c>
      <c r="B310" s="201">
        <v>1</v>
      </c>
      <c r="C310" s="201">
        <v>1</v>
      </c>
      <c r="D310" s="201" t="s">
        <v>719</v>
      </c>
      <c r="E310" s="201" t="s">
        <v>720</v>
      </c>
      <c r="F310" s="201">
        <v>3</v>
      </c>
      <c r="G310" s="201">
        <v>1655</v>
      </c>
      <c r="H310" s="202">
        <v>52.76</v>
      </c>
      <c r="I310" s="201">
        <v>1</v>
      </c>
      <c r="J310" s="204">
        <f t="shared" si="4"/>
        <v>3.1879154078549847E-2</v>
      </c>
    </row>
    <row r="311" spans="1:10">
      <c r="A311" s="201">
        <v>53</v>
      </c>
      <c r="B311" s="201">
        <v>2</v>
      </c>
      <c r="C311" s="201">
        <v>1</v>
      </c>
      <c r="D311" s="201" t="s">
        <v>721</v>
      </c>
      <c r="E311" s="201" t="s">
        <v>722</v>
      </c>
      <c r="F311" s="201">
        <v>3</v>
      </c>
      <c r="G311" s="201">
        <v>1282</v>
      </c>
      <c r="H311" s="202">
        <v>31.65</v>
      </c>
      <c r="I311" s="201"/>
      <c r="J311" s="204">
        <f t="shared" si="4"/>
        <v>2.4687987519500777E-2</v>
      </c>
    </row>
    <row r="312" spans="1:10">
      <c r="A312" s="201">
        <v>53</v>
      </c>
      <c r="B312" s="201">
        <v>3</v>
      </c>
      <c r="C312" s="201">
        <v>1</v>
      </c>
      <c r="D312" s="201" t="s">
        <v>723</v>
      </c>
      <c r="E312" s="201" t="s">
        <v>724</v>
      </c>
      <c r="F312" s="201">
        <v>3</v>
      </c>
      <c r="G312" s="201">
        <v>732</v>
      </c>
      <c r="H312" s="202">
        <v>15.7</v>
      </c>
      <c r="I312" s="201">
        <v>1</v>
      </c>
      <c r="J312" s="204">
        <f t="shared" si="4"/>
        <v>2.1448087431693987E-2</v>
      </c>
    </row>
    <row r="313" spans="1:10">
      <c r="A313" s="201">
        <v>53</v>
      </c>
      <c r="B313" s="201">
        <v>4</v>
      </c>
      <c r="C313" s="201">
        <v>1</v>
      </c>
      <c r="D313" s="201" t="s">
        <v>725</v>
      </c>
      <c r="E313" s="201" t="s">
        <v>726</v>
      </c>
      <c r="F313" s="201">
        <v>3</v>
      </c>
      <c r="G313" s="201">
        <v>1156</v>
      </c>
      <c r="H313" s="202">
        <v>27.21</v>
      </c>
      <c r="I313" s="201">
        <v>1</v>
      </c>
      <c r="J313" s="204">
        <f t="shared" si="4"/>
        <v>2.3538062283737025E-2</v>
      </c>
    </row>
    <row r="314" spans="1:10">
      <c r="A314" s="201">
        <v>53</v>
      </c>
      <c r="B314" s="201">
        <v>5</v>
      </c>
      <c r="C314" s="201">
        <v>1</v>
      </c>
      <c r="D314" s="201" t="s">
        <v>727</v>
      </c>
      <c r="E314" s="201" t="s">
        <v>728</v>
      </c>
      <c r="F314" s="201">
        <v>3</v>
      </c>
      <c r="G314" s="201">
        <v>1025</v>
      </c>
      <c r="H314" s="202">
        <v>32.950000000000003</v>
      </c>
      <c r="I314" s="201">
        <v>2</v>
      </c>
      <c r="J314" s="204">
        <f t="shared" si="4"/>
        <v>3.2146341463414635E-2</v>
      </c>
    </row>
    <row r="315" spans="1:10">
      <c r="A315" s="201">
        <v>53</v>
      </c>
      <c r="B315" s="201">
        <v>6</v>
      </c>
      <c r="C315" s="201">
        <v>1</v>
      </c>
      <c r="D315" s="201" t="s">
        <v>729</v>
      </c>
      <c r="E315" s="201" t="s">
        <v>730</v>
      </c>
      <c r="F315" s="201">
        <v>3</v>
      </c>
      <c r="G315" s="201">
        <v>711</v>
      </c>
      <c r="H315" s="202">
        <v>15.86</v>
      </c>
      <c r="I315" s="201">
        <v>1</v>
      </c>
      <c r="J315" s="204">
        <f t="shared" si="4"/>
        <v>2.230661040787623E-2</v>
      </c>
    </row>
    <row r="316" spans="1:10">
      <c r="A316" s="107">
        <v>54</v>
      </c>
      <c r="B316" s="107">
        <v>1</v>
      </c>
      <c r="C316" s="107">
        <v>1</v>
      </c>
      <c r="D316" s="107" t="s">
        <v>731</v>
      </c>
      <c r="E316" s="107" t="s">
        <v>732</v>
      </c>
      <c r="F316" s="107"/>
      <c r="G316" s="107"/>
      <c r="H316" s="106"/>
      <c r="I316" s="107">
        <v>2</v>
      </c>
      <c r="J316" s="203" t="str">
        <f t="shared" si="4"/>
        <v/>
      </c>
    </row>
    <row r="317" spans="1:10">
      <c r="A317" s="107">
        <v>54</v>
      </c>
      <c r="B317" s="107">
        <v>2</v>
      </c>
      <c r="C317" s="107">
        <v>1</v>
      </c>
      <c r="D317" s="107" t="s">
        <v>733</v>
      </c>
      <c r="E317" s="107" t="s">
        <v>734</v>
      </c>
      <c r="F317" s="107"/>
      <c r="G317" s="107"/>
      <c r="H317" s="106"/>
      <c r="I317" s="107">
        <v>2</v>
      </c>
      <c r="J317" s="203" t="str">
        <f t="shared" si="4"/>
        <v/>
      </c>
    </row>
    <row r="318" spans="1:10">
      <c r="A318" s="107">
        <v>54</v>
      </c>
      <c r="B318" s="107">
        <v>3</v>
      </c>
      <c r="C318" s="107">
        <v>1</v>
      </c>
      <c r="D318" s="107" t="s">
        <v>735</v>
      </c>
      <c r="E318" s="107" t="s">
        <v>736</v>
      </c>
      <c r="F318" s="107"/>
      <c r="G318" s="107"/>
      <c r="H318" s="106"/>
      <c r="I318" s="107"/>
      <c r="J318" s="203" t="str">
        <f t="shared" si="4"/>
        <v/>
      </c>
    </row>
    <row r="319" spans="1:10">
      <c r="A319" s="107">
        <v>54</v>
      </c>
      <c r="B319" s="107">
        <v>4</v>
      </c>
      <c r="C319" s="107">
        <v>1</v>
      </c>
      <c r="D319" s="107" t="s">
        <v>737</v>
      </c>
      <c r="E319" s="107" t="s">
        <v>738</v>
      </c>
      <c r="F319" s="107"/>
      <c r="G319" s="107"/>
      <c r="H319" s="106"/>
      <c r="I319" s="107"/>
      <c r="J319" s="203" t="str">
        <f t="shared" si="4"/>
        <v/>
      </c>
    </row>
    <row r="320" spans="1:10">
      <c r="A320" s="107">
        <v>54</v>
      </c>
      <c r="B320" s="107">
        <v>5</v>
      </c>
      <c r="C320" s="107">
        <v>1</v>
      </c>
      <c r="D320" s="107" t="s">
        <v>739</v>
      </c>
      <c r="E320" s="107" t="s">
        <v>740</v>
      </c>
      <c r="F320" s="107"/>
      <c r="G320" s="107"/>
      <c r="H320" s="106"/>
      <c r="I320" s="107"/>
      <c r="J320" s="203" t="str">
        <f t="shared" si="4"/>
        <v/>
      </c>
    </row>
    <row r="321" spans="1:10">
      <c r="A321" s="107">
        <v>54</v>
      </c>
      <c r="B321" s="107">
        <v>6</v>
      </c>
      <c r="C321" s="107">
        <v>1</v>
      </c>
      <c r="D321" s="107" t="s">
        <v>741</v>
      </c>
      <c r="E321" s="107" t="s">
        <v>742</v>
      </c>
      <c r="F321" s="107"/>
      <c r="G321" s="107"/>
      <c r="H321" s="106"/>
      <c r="I321" s="107">
        <v>1</v>
      </c>
      <c r="J321" s="203" t="str">
        <f t="shared" si="4"/>
        <v/>
      </c>
    </row>
    <row r="322" spans="1:10">
      <c r="A322" s="201">
        <v>55</v>
      </c>
      <c r="B322" s="201">
        <v>1</v>
      </c>
      <c r="C322" s="201">
        <v>1</v>
      </c>
      <c r="D322" s="201" t="s">
        <v>743</v>
      </c>
      <c r="E322" s="201" t="s">
        <v>744</v>
      </c>
      <c r="F322" s="201"/>
      <c r="G322" s="201"/>
      <c r="H322" s="202"/>
      <c r="I322" s="201">
        <v>1</v>
      </c>
      <c r="J322" s="204" t="str">
        <f t="shared" si="4"/>
        <v/>
      </c>
    </row>
    <row r="323" spans="1:10">
      <c r="A323" s="201">
        <v>55</v>
      </c>
      <c r="B323" s="201">
        <v>2</v>
      </c>
      <c r="C323" s="201">
        <v>1</v>
      </c>
      <c r="D323" s="201" t="s">
        <v>745</v>
      </c>
      <c r="E323" s="201" t="s">
        <v>746</v>
      </c>
      <c r="F323" s="201"/>
      <c r="G323" s="201"/>
      <c r="H323" s="202"/>
      <c r="I323" s="201"/>
      <c r="J323" s="204" t="str">
        <f t="shared" si="4"/>
        <v/>
      </c>
    </row>
    <row r="324" spans="1:10">
      <c r="A324" s="201">
        <v>55</v>
      </c>
      <c r="B324" s="201">
        <v>3</v>
      </c>
      <c r="C324" s="201">
        <v>1</v>
      </c>
      <c r="D324" s="201" t="s">
        <v>747</v>
      </c>
      <c r="E324" s="201" t="s">
        <v>748</v>
      </c>
      <c r="F324" s="201"/>
      <c r="G324" s="201"/>
      <c r="H324" s="202"/>
      <c r="I324" s="201">
        <v>1</v>
      </c>
      <c r="J324" s="204" t="str">
        <f t="shared" si="4"/>
        <v/>
      </c>
    </row>
    <row r="325" spans="1:10">
      <c r="A325" s="201">
        <v>55</v>
      </c>
      <c r="B325" s="201">
        <v>4</v>
      </c>
      <c r="C325" s="201">
        <v>1</v>
      </c>
      <c r="D325" s="201" t="s">
        <v>749</v>
      </c>
      <c r="E325" s="201" t="s">
        <v>750</v>
      </c>
      <c r="F325" s="201"/>
      <c r="G325" s="201"/>
      <c r="H325" s="202"/>
      <c r="I325" s="201">
        <v>2</v>
      </c>
      <c r="J325" s="204" t="str">
        <f t="shared" ref="J325:J327" si="5">IF(G325="","",H325/G325)</f>
        <v/>
      </c>
    </row>
    <row r="326" spans="1:10">
      <c r="A326" s="201">
        <v>55</v>
      </c>
      <c r="B326" s="201">
        <v>5</v>
      </c>
      <c r="C326" s="201">
        <v>1</v>
      </c>
      <c r="D326" s="201" t="s">
        <v>751</v>
      </c>
      <c r="E326" s="201" t="s">
        <v>752</v>
      </c>
      <c r="F326" s="201"/>
      <c r="G326" s="201"/>
      <c r="H326" s="202"/>
      <c r="I326" s="201"/>
      <c r="J326" s="204" t="str">
        <f t="shared" si="5"/>
        <v/>
      </c>
    </row>
    <row r="327" spans="1:10">
      <c r="A327" s="201">
        <v>55</v>
      </c>
      <c r="B327" s="201">
        <v>6</v>
      </c>
      <c r="C327" s="201">
        <v>1</v>
      </c>
      <c r="D327" s="201" t="s">
        <v>753</v>
      </c>
      <c r="E327" s="201" t="s">
        <v>754</v>
      </c>
      <c r="F327" s="201"/>
      <c r="G327" s="201"/>
      <c r="H327" s="202"/>
      <c r="I327" s="201"/>
      <c r="J327" s="204" t="str">
        <f t="shared" si="5"/>
        <v/>
      </c>
    </row>
  </sheetData>
  <pageMargins left="0.7" right="0.7" top="0.75" bottom="0.75" header="0.3" footer="0.3"/>
  <pageSetup orientation="portrait" r:id="rId1"/>
  <rowBreaks count="8" manualBreakCount="8">
    <brk id="39" max="7" man="1"/>
    <brk id="75" max="7" man="1"/>
    <brk id="111" max="7" man="1"/>
    <brk id="147" max="7" man="1"/>
    <brk id="183" max="7" man="1"/>
    <brk id="219" max="7" man="1"/>
    <brk id="255" max="7" man="1"/>
    <brk id="291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6027-DCD2-4068-BEF5-1EC77BE9CFC7}">
  <dimension ref="A1:J651"/>
  <sheetViews>
    <sheetView zoomScaleNormal="100" zoomScaleSheetLayoutView="100" workbookViewId="0">
      <pane ySplit="3" topLeftCell="A4" activePane="bottomLeft" state="frozen"/>
      <selection pane="bottomLeft" activeCell="G5" sqref="G5"/>
    </sheetView>
  </sheetViews>
  <sheetFormatPr defaultRowHeight="14.5"/>
  <cols>
    <col min="1" max="1" width="5.26953125" customWidth="1"/>
    <col min="2" max="2" width="5.54296875" customWidth="1"/>
    <col min="3" max="3" width="6.26953125" customWidth="1"/>
    <col min="5" max="5" width="26" bestFit="1" customWidth="1"/>
    <col min="6" max="6" width="10.26953125" bestFit="1" customWidth="1"/>
    <col min="7" max="7" width="30.453125" bestFit="1" customWidth="1"/>
    <col min="8" max="8" width="12" bestFit="1" customWidth="1"/>
    <col min="9" max="9" width="26" bestFit="1" customWidth="1"/>
    <col min="10" max="10" width="34.453125" bestFit="1" customWidth="1"/>
    <col min="13" max="13" width="18.54296875" bestFit="1" customWidth="1"/>
  </cols>
  <sheetData>
    <row r="1" spans="1:10" ht="18.5">
      <c r="A1" s="42" t="s">
        <v>1101</v>
      </c>
    </row>
    <row r="3" spans="1:10">
      <c r="A3" s="140" t="s">
        <v>106</v>
      </c>
      <c r="B3" s="140" t="s">
        <v>100</v>
      </c>
      <c r="C3" s="140" t="s">
        <v>104</v>
      </c>
      <c r="D3" s="140" t="s">
        <v>758</v>
      </c>
      <c r="E3" s="140" t="s">
        <v>756</v>
      </c>
      <c r="F3" s="140" t="s">
        <v>1137</v>
      </c>
      <c r="G3" s="140" t="s">
        <v>1131</v>
      </c>
      <c r="H3" s="140" t="s">
        <v>1135</v>
      </c>
      <c r="I3" s="140" t="s">
        <v>1136</v>
      </c>
      <c r="J3" s="140" t="s">
        <v>1132</v>
      </c>
    </row>
    <row r="4" spans="1:10">
      <c r="A4" s="107">
        <v>1</v>
      </c>
      <c r="B4" s="107">
        <v>1</v>
      </c>
      <c r="C4" s="107">
        <v>1</v>
      </c>
      <c r="D4" s="107" t="s">
        <v>130</v>
      </c>
      <c r="E4" s="107" t="s">
        <v>132</v>
      </c>
      <c r="F4" s="107">
        <v>148</v>
      </c>
      <c r="G4" s="211"/>
      <c r="H4" s="107">
        <v>3.62</v>
      </c>
      <c r="I4" s="203">
        <f>IF(F4="","",H4/F4)</f>
        <v>2.4459459459459459E-2</v>
      </c>
      <c r="J4" s="213">
        <f>IF(G4="",I4,I4/(1-G4))</f>
        <v>2.4459459459459459E-2</v>
      </c>
    </row>
    <row r="5" spans="1:10">
      <c r="A5" s="107">
        <v>1</v>
      </c>
      <c r="B5" s="107">
        <v>1</v>
      </c>
      <c r="C5" s="107">
        <v>2</v>
      </c>
      <c r="D5" s="107" t="s">
        <v>158</v>
      </c>
      <c r="E5" s="107" t="s">
        <v>159</v>
      </c>
      <c r="F5" s="107">
        <v>218</v>
      </c>
      <c r="G5" s="211"/>
      <c r="H5" s="107">
        <v>3.74</v>
      </c>
      <c r="I5" s="203">
        <f t="shared" ref="I5:I68" si="0">IF(F5="","",H5/F5)</f>
        <v>1.7155963302752295E-2</v>
      </c>
      <c r="J5" s="213">
        <f t="shared" ref="J5:J68" si="1">IF(G5="",I5,I5/(1-G5))</f>
        <v>1.7155963302752295E-2</v>
      </c>
    </row>
    <row r="6" spans="1:10">
      <c r="A6" s="107">
        <v>1</v>
      </c>
      <c r="B6" s="107">
        <v>1</v>
      </c>
      <c r="C6" s="107">
        <v>3</v>
      </c>
      <c r="D6" s="107" t="s">
        <v>154</v>
      </c>
      <c r="E6" s="107" t="s">
        <v>155</v>
      </c>
      <c r="F6" s="107">
        <v>426</v>
      </c>
      <c r="G6" s="211"/>
      <c r="H6" s="107">
        <v>10.38</v>
      </c>
      <c r="I6" s="203">
        <f t="shared" si="0"/>
        <v>2.4366197183098594E-2</v>
      </c>
      <c r="J6" s="213">
        <f t="shared" si="1"/>
        <v>2.4366197183098594E-2</v>
      </c>
    </row>
    <row r="7" spans="1:10">
      <c r="A7" s="107">
        <v>1</v>
      </c>
      <c r="B7" s="107">
        <v>1</v>
      </c>
      <c r="C7" s="107">
        <v>4</v>
      </c>
      <c r="D7" s="107" t="s">
        <v>144</v>
      </c>
      <c r="E7" s="107" t="s">
        <v>145</v>
      </c>
      <c r="F7" s="107">
        <v>720</v>
      </c>
      <c r="G7" s="211"/>
      <c r="H7" s="107">
        <v>7.16</v>
      </c>
      <c r="I7" s="203">
        <f t="shared" si="0"/>
        <v>9.944444444444445E-3</v>
      </c>
      <c r="J7" s="213">
        <f t="shared" si="1"/>
        <v>9.944444444444445E-3</v>
      </c>
    </row>
    <row r="8" spans="1:10">
      <c r="A8" s="107">
        <v>1</v>
      </c>
      <c r="B8" s="107">
        <v>1</v>
      </c>
      <c r="C8" s="107">
        <v>5</v>
      </c>
      <c r="D8" s="107" t="s">
        <v>138</v>
      </c>
      <c r="E8" s="107" t="s">
        <v>139</v>
      </c>
      <c r="F8" s="107">
        <v>226</v>
      </c>
      <c r="G8" s="211"/>
      <c r="H8" s="107">
        <v>4.4000000000000004</v>
      </c>
      <c r="I8" s="203">
        <f t="shared" si="0"/>
        <v>1.946902654867257E-2</v>
      </c>
      <c r="J8" s="213">
        <f t="shared" si="1"/>
        <v>1.946902654867257E-2</v>
      </c>
    </row>
    <row r="9" spans="1:10">
      <c r="A9" s="107">
        <v>1</v>
      </c>
      <c r="B9" s="107">
        <v>1</v>
      </c>
      <c r="C9" s="107">
        <v>6</v>
      </c>
      <c r="D9" s="107" t="s">
        <v>164</v>
      </c>
      <c r="E9" s="107" t="s">
        <v>165</v>
      </c>
      <c r="F9" s="107">
        <v>0</v>
      </c>
      <c r="G9" s="211"/>
      <c r="H9" s="107">
        <v>0</v>
      </c>
      <c r="I9" s="203" t="e">
        <f t="shared" si="0"/>
        <v>#DIV/0!</v>
      </c>
      <c r="J9" s="213" t="e">
        <f t="shared" si="1"/>
        <v>#DIV/0!</v>
      </c>
    </row>
    <row r="10" spans="1:10">
      <c r="A10" s="107">
        <v>1</v>
      </c>
      <c r="B10" s="107">
        <v>1</v>
      </c>
      <c r="C10" s="107">
        <v>7</v>
      </c>
      <c r="D10" s="107" t="s">
        <v>136</v>
      </c>
      <c r="E10" s="107" t="s">
        <v>137</v>
      </c>
      <c r="F10" s="107">
        <v>350</v>
      </c>
      <c r="G10" s="211"/>
      <c r="H10" s="107">
        <v>9.57</v>
      </c>
      <c r="I10" s="203">
        <f t="shared" si="0"/>
        <v>2.7342857142857144E-2</v>
      </c>
      <c r="J10" s="213">
        <f t="shared" si="1"/>
        <v>2.7342857142857144E-2</v>
      </c>
    </row>
    <row r="11" spans="1:10">
      <c r="A11" s="107">
        <v>1</v>
      </c>
      <c r="B11" s="107">
        <v>1</v>
      </c>
      <c r="C11" s="107">
        <v>8</v>
      </c>
      <c r="D11" s="107" t="s">
        <v>162</v>
      </c>
      <c r="E11" s="107" t="s">
        <v>163</v>
      </c>
      <c r="F11" s="107">
        <v>39</v>
      </c>
      <c r="G11" s="211"/>
      <c r="H11" s="107">
        <v>0.31</v>
      </c>
      <c r="I11" s="203">
        <f t="shared" si="0"/>
        <v>7.9487179487179489E-3</v>
      </c>
      <c r="J11" s="213">
        <f t="shared" si="1"/>
        <v>7.9487179487179489E-3</v>
      </c>
    </row>
    <row r="12" spans="1:10">
      <c r="A12" s="107">
        <v>1</v>
      </c>
      <c r="B12" s="107">
        <v>1</v>
      </c>
      <c r="C12" s="107">
        <v>9</v>
      </c>
      <c r="D12" s="107" t="s">
        <v>134</v>
      </c>
      <c r="E12" s="107" t="s">
        <v>135</v>
      </c>
      <c r="F12" s="107">
        <v>515</v>
      </c>
      <c r="G12" s="211"/>
      <c r="H12" s="107">
        <v>14.33</v>
      </c>
      <c r="I12" s="203">
        <f t="shared" si="0"/>
        <v>2.7825242718446601E-2</v>
      </c>
      <c r="J12" s="213">
        <f t="shared" si="1"/>
        <v>2.7825242718446601E-2</v>
      </c>
    </row>
    <row r="13" spans="1:10">
      <c r="A13" s="107">
        <v>1</v>
      </c>
      <c r="B13" s="107">
        <v>1</v>
      </c>
      <c r="C13" s="107">
        <v>10</v>
      </c>
      <c r="D13" s="107" t="s">
        <v>166</v>
      </c>
      <c r="E13" s="107" t="s">
        <v>167</v>
      </c>
      <c r="F13" s="107">
        <v>0</v>
      </c>
      <c r="G13" s="211"/>
      <c r="H13" s="107">
        <v>0</v>
      </c>
      <c r="I13" s="203" t="e">
        <f t="shared" si="0"/>
        <v>#DIV/0!</v>
      </c>
      <c r="J13" s="213" t="e">
        <f t="shared" si="1"/>
        <v>#DIV/0!</v>
      </c>
    </row>
    <row r="14" spans="1:10">
      <c r="A14" s="107">
        <v>1</v>
      </c>
      <c r="B14" s="107">
        <v>1</v>
      </c>
      <c r="C14" s="107">
        <v>11</v>
      </c>
      <c r="D14" s="107" t="s">
        <v>148</v>
      </c>
      <c r="E14" s="107" t="s">
        <v>149</v>
      </c>
      <c r="F14" s="107">
        <v>0</v>
      </c>
      <c r="G14" s="211"/>
      <c r="H14" s="107">
        <v>0</v>
      </c>
      <c r="I14" s="203" t="e">
        <f t="shared" si="0"/>
        <v>#DIV/0!</v>
      </c>
      <c r="J14" s="213" t="e">
        <f t="shared" si="1"/>
        <v>#DIV/0!</v>
      </c>
    </row>
    <row r="15" spans="1:10">
      <c r="A15" s="107">
        <v>1</v>
      </c>
      <c r="B15" s="107">
        <v>1</v>
      </c>
      <c r="C15" s="107">
        <v>12</v>
      </c>
      <c r="D15" s="107" t="s">
        <v>146</v>
      </c>
      <c r="E15" s="107" t="s">
        <v>147</v>
      </c>
      <c r="F15" s="107">
        <v>742</v>
      </c>
      <c r="G15" s="211"/>
      <c r="H15" s="107">
        <v>21.46</v>
      </c>
      <c r="I15" s="203">
        <f t="shared" si="0"/>
        <v>2.8921832884097037E-2</v>
      </c>
      <c r="J15" s="213">
        <f t="shared" si="1"/>
        <v>2.8921832884097037E-2</v>
      </c>
    </row>
    <row r="16" spans="1:10">
      <c r="A16" s="107">
        <v>1</v>
      </c>
      <c r="B16" s="107">
        <v>1</v>
      </c>
      <c r="C16" s="107">
        <v>13</v>
      </c>
      <c r="D16" s="107" t="s">
        <v>140</v>
      </c>
      <c r="E16" s="107" t="s">
        <v>141</v>
      </c>
      <c r="F16" s="107">
        <v>202</v>
      </c>
      <c r="G16" s="211"/>
      <c r="H16" s="107">
        <v>5.47</v>
      </c>
      <c r="I16" s="203">
        <f t="shared" si="0"/>
        <v>2.7079207920792079E-2</v>
      </c>
      <c r="J16" s="213">
        <f t="shared" si="1"/>
        <v>2.7079207920792079E-2</v>
      </c>
    </row>
    <row r="17" spans="1:10">
      <c r="A17" s="107">
        <v>1</v>
      </c>
      <c r="B17" s="107">
        <v>1</v>
      </c>
      <c r="C17" s="107">
        <v>14</v>
      </c>
      <c r="D17" s="107" t="s">
        <v>150</v>
      </c>
      <c r="E17" s="107" t="s">
        <v>151</v>
      </c>
      <c r="F17" s="107">
        <v>90</v>
      </c>
      <c r="G17" s="211"/>
      <c r="H17" s="107">
        <v>1.55</v>
      </c>
      <c r="I17" s="203">
        <f t="shared" si="0"/>
        <v>1.7222222222222222E-2</v>
      </c>
      <c r="J17" s="213">
        <f t="shared" si="1"/>
        <v>1.7222222222222222E-2</v>
      </c>
    </row>
    <row r="18" spans="1:10">
      <c r="A18" s="107">
        <v>1</v>
      </c>
      <c r="B18" s="107">
        <v>1</v>
      </c>
      <c r="C18" s="107">
        <v>15</v>
      </c>
      <c r="D18" s="107" t="s">
        <v>142</v>
      </c>
      <c r="E18" s="107" t="s">
        <v>143</v>
      </c>
      <c r="F18" s="107">
        <v>605</v>
      </c>
      <c r="G18" s="211"/>
      <c r="H18" s="107">
        <v>17.53</v>
      </c>
      <c r="I18" s="203">
        <f t="shared" si="0"/>
        <v>2.8975206611570249E-2</v>
      </c>
      <c r="J18" s="213">
        <f t="shared" si="1"/>
        <v>2.8975206611570249E-2</v>
      </c>
    </row>
    <row r="19" spans="1:10">
      <c r="A19" s="107">
        <v>1</v>
      </c>
      <c r="B19" s="107">
        <v>1</v>
      </c>
      <c r="C19" s="107">
        <v>16</v>
      </c>
      <c r="D19" s="107" t="s">
        <v>152</v>
      </c>
      <c r="E19" s="107" t="s">
        <v>153</v>
      </c>
      <c r="F19" s="107">
        <v>397</v>
      </c>
      <c r="G19" s="211"/>
      <c r="H19" s="107">
        <v>3.03</v>
      </c>
      <c r="I19" s="203">
        <f t="shared" si="0"/>
        <v>7.6322418136020144E-3</v>
      </c>
      <c r="J19" s="213">
        <f t="shared" si="1"/>
        <v>7.6322418136020144E-3</v>
      </c>
    </row>
    <row r="20" spans="1:10">
      <c r="A20" s="107">
        <v>1</v>
      </c>
      <c r="B20" s="107">
        <v>1</v>
      </c>
      <c r="C20" s="107">
        <v>17</v>
      </c>
      <c r="D20" s="107" t="s">
        <v>156</v>
      </c>
      <c r="E20" s="107" t="s">
        <v>157</v>
      </c>
      <c r="F20" s="107">
        <v>270</v>
      </c>
      <c r="G20" s="211"/>
      <c r="H20" s="107">
        <v>3.08</v>
      </c>
      <c r="I20" s="203">
        <f t="shared" si="0"/>
        <v>1.1407407407407408E-2</v>
      </c>
      <c r="J20" s="213">
        <f t="shared" si="1"/>
        <v>1.1407407407407408E-2</v>
      </c>
    </row>
    <row r="21" spans="1:10">
      <c r="A21" s="107">
        <v>1</v>
      </c>
      <c r="B21" s="107">
        <v>1</v>
      </c>
      <c r="C21" s="107">
        <v>18</v>
      </c>
      <c r="D21" s="107" t="s">
        <v>160</v>
      </c>
      <c r="E21" s="107" t="s">
        <v>161</v>
      </c>
      <c r="F21" s="107">
        <v>360</v>
      </c>
      <c r="G21" s="211"/>
      <c r="H21" s="107">
        <v>6.96</v>
      </c>
      <c r="I21" s="203">
        <f t="shared" si="0"/>
        <v>1.9333333333333334E-2</v>
      </c>
      <c r="J21" s="213">
        <f t="shared" si="1"/>
        <v>1.9333333333333334E-2</v>
      </c>
    </row>
    <row r="22" spans="1:10">
      <c r="A22" s="201">
        <v>1</v>
      </c>
      <c r="B22" s="201">
        <v>2</v>
      </c>
      <c r="C22" s="201">
        <v>1</v>
      </c>
      <c r="D22" s="201" t="s">
        <v>188</v>
      </c>
      <c r="E22" s="201" t="s">
        <v>189</v>
      </c>
      <c r="F22" s="201">
        <v>610</v>
      </c>
      <c r="G22" s="212"/>
      <c r="H22" s="201">
        <v>11.56</v>
      </c>
      <c r="I22" s="204">
        <f t="shared" si="0"/>
        <v>1.895081967213115E-2</v>
      </c>
      <c r="J22" s="214">
        <f t="shared" si="1"/>
        <v>1.895081967213115E-2</v>
      </c>
    </row>
    <row r="23" spans="1:10">
      <c r="A23" s="201">
        <v>1</v>
      </c>
      <c r="B23" s="201">
        <v>2</v>
      </c>
      <c r="C23" s="201">
        <v>2</v>
      </c>
      <c r="D23" s="201" t="s">
        <v>196</v>
      </c>
      <c r="E23" s="201" t="s">
        <v>197</v>
      </c>
      <c r="F23" s="201">
        <v>383</v>
      </c>
      <c r="G23" s="212"/>
      <c r="H23" s="201">
        <v>11.62</v>
      </c>
      <c r="I23" s="204">
        <f t="shared" si="0"/>
        <v>3.0339425587467359E-2</v>
      </c>
      <c r="J23" s="214">
        <f t="shared" si="1"/>
        <v>3.0339425587467359E-2</v>
      </c>
    </row>
    <row r="24" spans="1:10">
      <c r="A24" s="201">
        <v>1</v>
      </c>
      <c r="B24" s="201">
        <v>2</v>
      </c>
      <c r="C24" s="201">
        <v>3</v>
      </c>
      <c r="D24" s="201" t="s">
        <v>192</v>
      </c>
      <c r="E24" s="201" t="s">
        <v>193</v>
      </c>
      <c r="F24" s="201">
        <v>370</v>
      </c>
      <c r="G24" s="212"/>
      <c r="H24" s="201">
        <v>5.49</v>
      </c>
      <c r="I24" s="204">
        <f t="shared" si="0"/>
        <v>1.4837837837837839E-2</v>
      </c>
      <c r="J24" s="214">
        <f t="shared" si="1"/>
        <v>1.4837837837837839E-2</v>
      </c>
    </row>
    <row r="25" spans="1:10">
      <c r="A25" s="201">
        <v>1</v>
      </c>
      <c r="B25" s="201">
        <v>2</v>
      </c>
      <c r="C25" s="201">
        <v>4</v>
      </c>
      <c r="D25" s="201" t="s">
        <v>202</v>
      </c>
      <c r="E25" s="201" t="s">
        <v>203</v>
      </c>
      <c r="F25" s="201">
        <v>399</v>
      </c>
      <c r="G25" s="212"/>
      <c r="H25" s="201">
        <v>11.26</v>
      </c>
      <c r="I25" s="204">
        <f t="shared" si="0"/>
        <v>2.8220551378446115E-2</v>
      </c>
      <c r="J25" s="214">
        <f t="shared" si="1"/>
        <v>2.8220551378446115E-2</v>
      </c>
    </row>
    <row r="26" spans="1:10">
      <c r="A26" s="201">
        <v>1</v>
      </c>
      <c r="B26" s="201">
        <v>2</v>
      </c>
      <c r="C26" s="201">
        <v>5</v>
      </c>
      <c r="D26" s="201" t="s">
        <v>184</v>
      </c>
      <c r="E26" s="201" t="s">
        <v>185</v>
      </c>
      <c r="F26" s="201">
        <v>480</v>
      </c>
      <c r="G26" s="212"/>
      <c r="H26" s="201">
        <v>8.56</v>
      </c>
      <c r="I26" s="204">
        <f t="shared" si="0"/>
        <v>1.7833333333333333E-2</v>
      </c>
      <c r="J26" s="214">
        <f t="shared" si="1"/>
        <v>1.7833333333333333E-2</v>
      </c>
    </row>
    <row r="27" spans="1:10">
      <c r="A27" s="201">
        <v>1</v>
      </c>
      <c r="B27" s="201">
        <v>2</v>
      </c>
      <c r="C27" s="201">
        <v>6</v>
      </c>
      <c r="D27" s="201" t="s">
        <v>180</v>
      </c>
      <c r="E27" s="201" t="s">
        <v>181</v>
      </c>
      <c r="F27" s="201">
        <v>0</v>
      </c>
      <c r="G27" s="212"/>
      <c r="H27" s="201">
        <v>0</v>
      </c>
      <c r="I27" s="204" t="e">
        <f t="shared" si="0"/>
        <v>#DIV/0!</v>
      </c>
      <c r="J27" s="214" t="e">
        <f t="shared" si="1"/>
        <v>#DIV/0!</v>
      </c>
    </row>
    <row r="28" spans="1:10">
      <c r="A28" s="201">
        <v>1</v>
      </c>
      <c r="B28" s="201">
        <v>2</v>
      </c>
      <c r="C28" s="201">
        <v>7</v>
      </c>
      <c r="D28" s="201" t="s">
        <v>190</v>
      </c>
      <c r="E28" s="201" t="s">
        <v>191</v>
      </c>
      <c r="F28" s="201">
        <v>0</v>
      </c>
      <c r="G28" s="212"/>
      <c r="H28" s="201">
        <v>0</v>
      </c>
      <c r="I28" s="204" t="e">
        <f t="shared" si="0"/>
        <v>#DIV/0!</v>
      </c>
      <c r="J28" s="214" t="e">
        <f t="shared" si="1"/>
        <v>#DIV/0!</v>
      </c>
    </row>
    <row r="29" spans="1:10">
      <c r="A29" s="201">
        <v>1</v>
      </c>
      <c r="B29" s="201">
        <v>2</v>
      </c>
      <c r="C29" s="201">
        <v>8</v>
      </c>
      <c r="D29" s="201" t="s">
        <v>186</v>
      </c>
      <c r="E29" s="201" t="s">
        <v>187</v>
      </c>
      <c r="F29" s="201">
        <v>180</v>
      </c>
      <c r="G29" s="212"/>
      <c r="H29" s="201">
        <v>2.86</v>
      </c>
      <c r="I29" s="204">
        <f t="shared" si="0"/>
        <v>1.588888888888889E-2</v>
      </c>
      <c r="J29" s="214">
        <f t="shared" si="1"/>
        <v>1.588888888888889E-2</v>
      </c>
    </row>
    <row r="30" spans="1:10">
      <c r="A30" s="201">
        <v>1</v>
      </c>
      <c r="B30" s="201">
        <v>2</v>
      </c>
      <c r="C30" s="201">
        <v>9</v>
      </c>
      <c r="D30" s="201" t="s">
        <v>198</v>
      </c>
      <c r="E30" s="201" t="s">
        <v>199</v>
      </c>
      <c r="F30" s="201">
        <v>370</v>
      </c>
      <c r="G30" s="212"/>
      <c r="H30" s="201">
        <v>4.3899999999999997</v>
      </c>
      <c r="I30" s="204">
        <f t="shared" si="0"/>
        <v>1.1864864864864865E-2</v>
      </c>
      <c r="J30" s="214">
        <f t="shared" si="1"/>
        <v>1.1864864864864865E-2</v>
      </c>
    </row>
    <row r="31" spans="1:10">
      <c r="A31" s="201">
        <v>1</v>
      </c>
      <c r="B31" s="201">
        <v>2</v>
      </c>
      <c r="C31" s="201">
        <v>10</v>
      </c>
      <c r="D31" s="201" t="s">
        <v>168</v>
      </c>
      <c r="E31" s="201" t="s">
        <v>169</v>
      </c>
      <c r="F31" s="201">
        <v>460</v>
      </c>
      <c r="G31" s="212"/>
      <c r="H31" s="201">
        <v>7.96</v>
      </c>
      <c r="I31" s="204">
        <f t="shared" si="0"/>
        <v>1.7304347826086957E-2</v>
      </c>
      <c r="J31" s="214">
        <f t="shared" si="1"/>
        <v>1.7304347826086957E-2</v>
      </c>
    </row>
    <row r="32" spans="1:10">
      <c r="A32" s="201">
        <v>1</v>
      </c>
      <c r="B32" s="201">
        <v>2</v>
      </c>
      <c r="C32" s="201">
        <v>11</v>
      </c>
      <c r="D32" s="201" t="s">
        <v>200</v>
      </c>
      <c r="E32" s="201" t="s">
        <v>201</v>
      </c>
      <c r="F32" s="201">
        <v>305</v>
      </c>
      <c r="G32" s="212"/>
      <c r="H32" s="201">
        <v>5.91</v>
      </c>
      <c r="I32" s="204">
        <f t="shared" si="0"/>
        <v>1.9377049180327871E-2</v>
      </c>
      <c r="J32" s="214">
        <f t="shared" si="1"/>
        <v>1.9377049180327871E-2</v>
      </c>
    </row>
    <row r="33" spans="1:10">
      <c r="A33" s="201">
        <v>1</v>
      </c>
      <c r="B33" s="201">
        <v>2</v>
      </c>
      <c r="C33" s="201">
        <v>12</v>
      </c>
      <c r="D33" s="201" t="s">
        <v>178</v>
      </c>
      <c r="E33" s="201" t="s">
        <v>179</v>
      </c>
      <c r="F33" s="201">
        <v>0</v>
      </c>
      <c r="G33" s="212"/>
      <c r="H33" s="201">
        <v>0</v>
      </c>
      <c r="I33" s="204" t="e">
        <f t="shared" si="0"/>
        <v>#DIV/0!</v>
      </c>
      <c r="J33" s="214" t="e">
        <f t="shared" si="1"/>
        <v>#DIV/0!</v>
      </c>
    </row>
    <row r="34" spans="1:10">
      <c r="A34" s="201">
        <v>1</v>
      </c>
      <c r="B34" s="201">
        <v>2</v>
      </c>
      <c r="C34" s="201">
        <v>13</v>
      </c>
      <c r="D34" s="201" t="s">
        <v>170</v>
      </c>
      <c r="E34" s="201" t="s">
        <v>171</v>
      </c>
      <c r="F34" s="201">
        <v>105</v>
      </c>
      <c r="G34" s="212"/>
      <c r="H34" s="201">
        <v>1.31</v>
      </c>
      <c r="I34" s="204">
        <f t="shared" si="0"/>
        <v>1.2476190476190478E-2</v>
      </c>
      <c r="J34" s="214">
        <f t="shared" si="1"/>
        <v>1.2476190476190478E-2</v>
      </c>
    </row>
    <row r="35" spans="1:10">
      <c r="A35" s="201">
        <v>1</v>
      </c>
      <c r="B35" s="201">
        <v>2</v>
      </c>
      <c r="C35" s="201">
        <v>14</v>
      </c>
      <c r="D35" s="201" t="s">
        <v>174</v>
      </c>
      <c r="E35" s="201" t="s">
        <v>175</v>
      </c>
      <c r="F35" s="201">
        <v>0</v>
      </c>
      <c r="G35" s="212"/>
      <c r="H35" s="201">
        <v>0</v>
      </c>
      <c r="I35" s="204" t="e">
        <f t="shared" si="0"/>
        <v>#DIV/0!</v>
      </c>
      <c r="J35" s="214" t="e">
        <f t="shared" si="1"/>
        <v>#DIV/0!</v>
      </c>
    </row>
    <row r="36" spans="1:10">
      <c r="A36" s="201">
        <v>1</v>
      </c>
      <c r="B36" s="201">
        <v>2</v>
      </c>
      <c r="C36" s="201">
        <v>15</v>
      </c>
      <c r="D36" s="201" t="s">
        <v>172</v>
      </c>
      <c r="E36" s="201" t="s">
        <v>173</v>
      </c>
      <c r="F36" s="201">
        <v>290</v>
      </c>
      <c r="G36" s="212"/>
      <c r="H36" s="201">
        <v>2.67</v>
      </c>
      <c r="I36" s="204">
        <f t="shared" si="0"/>
        <v>9.2068965517241377E-3</v>
      </c>
      <c r="J36" s="214">
        <f t="shared" si="1"/>
        <v>9.2068965517241377E-3</v>
      </c>
    </row>
    <row r="37" spans="1:10">
      <c r="A37" s="201">
        <v>1</v>
      </c>
      <c r="B37" s="201">
        <v>2</v>
      </c>
      <c r="C37" s="201">
        <v>16</v>
      </c>
      <c r="D37" s="201" t="s">
        <v>194</v>
      </c>
      <c r="E37" s="201" t="s">
        <v>195</v>
      </c>
      <c r="F37" s="201">
        <v>0</v>
      </c>
      <c r="G37" s="212"/>
      <c r="H37" s="201">
        <v>0</v>
      </c>
      <c r="I37" s="204" t="e">
        <f t="shared" si="0"/>
        <v>#DIV/0!</v>
      </c>
      <c r="J37" s="214" t="e">
        <f t="shared" si="1"/>
        <v>#DIV/0!</v>
      </c>
    </row>
    <row r="38" spans="1:10">
      <c r="A38" s="201">
        <v>1</v>
      </c>
      <c r="B38" s="201">
        <v>2</v>
      </c>
      <c r="C38" s="201">
        <v>17</v>
      </c>
      <c r="D38" s="201" t="s">
        <v>176</v>
      </c>
      <c r="E38" s="201" t="s">
        <v>177</v>
      </c>
      <c r="F38" s="201">
        <v>40</v>
      </c>
      <c r="G38" s="212"/>
      <c r="H38" s="201">
        <v>1.08</v>
      </c>
      <c r="I38" s="204">
        <f t="shared" si="0"/>
        <v>2.7000000000000003E-2</v>
      </c>
      <c r="J38" s="214">
        <f t="shared" si="1"/>
        <v>2.7000000000000003E-2</v>
      </c>
    </row>
    <row r="39" spans="1:10">
      <c r="A39" s="201">
        <v>1</v>
      </c>
      <c r="B39" s="201">
        <v>2</v>
      </c>
      <c r="C39" s="201">
        <v>18</v>
      </c>
      <c r="D39" s="201" t="s">
        <v>182</v>
      </c>
      <c r="E39" s="201" t="s">
        <v>183</v>
      </c>
      <c r="F39" s="201">
        <v>100</v>
      </c>
      <c r="G39" s="212"/>
      <c r="H39" s="201">
        <v>0.33</v>
      </c>
      <c r="I39" s="204">
        <f t="shared" si="0"/>
        <v>3.3E-3</v>
      </c>
      <c r="J39" s="214">
        <f t="shared" si="1"/>
        <v>3.3E-3</v>
      </c>
    </row>
    <row r="40" spans="1:10">
      <c r="A40" s="107">
        <v>1</v>
      </c>
      <c r="B40" s="107">
        <v>3</v>
      </c>
      <c r="C40" s="107">
        <v>1</v>
      </c>
      <c r="D40" s="107" t="s">
        <v>228</v>
      </c>
      <c r="E40" s="107" t="s">
        <v>229</v>
      </c>
      <c r="F40" s="107">
        <v>360</v>
      </c>
      <c r="G40" s="211"/>
      <c r="H40" s="107">
        <v>5.31</v>
      </c>
      <c r="I40" s="203">
        <f t="shared" si="0"/>
        <v>1.4749999999999999E-2</v>
      </c>
      <c r="J40" s="213">
        <f t="shared" si="1"/>
        <v>1.4749999999999999E-2</v>
      </c>
    </row>
    <row r="41" spans="1:10">
      <c r="A41" s="107">
        <v>1</v>
      </c>
      <c r="B41" s="107">
        <v>3</v>
      </c>
      <c r="C41" s="107">
        <v>2</v>
      </c>
      <c r="D41" s="107" t="s">
        <v>220</v>
      </c>
      <c r="E41" s="107" t="s">
        <v>221</v>
      </c>
      <c r="F41" s="107">
        <v>660</v>
      </c>
      <c r="G41" s="211"/>
      <c r="H41" s="107">
        <v>13.03</v>
      </c>
      <c r="I41" s="203">
        <f t="shared" si="0"/>
        <v>1.9742424242424242E-2</v>
      </c>
      <c r="J41" s="213">
        <f t="shared" si="1"/>
        <v>1.9742424242424242E-2</v>
      </c>
    </row>
    <row r="42" spans="1:10">
      <c r="A42" s="107">
        <v>1</v>
      </c>
      <c r="B42" s="107">
        <v>3</v>
      </c>
      <c r="C42" s="107">
        <v>3</v>
      </c>
      <c r="D42" s="107" t="s">
        <v>234</v>
      </c>
      <c r="E42" s="107" t="s">
        <v>235</v>
      </c>
      <c r="F42" s="107">
        <v>286</v>
      </c>
      <c r="G42" s="211"/>
      <c r="H42" s="107">
        <v>5.48</v>
      </c>
      <c r="I42" s="203">
        <f t="shared" si="0"/>
        <v>1.9160839160839164E-2</v>
      </c>
      <c r="J42" s="213">
        <f t="shared" si="1"/>
        <v>1.9160839160839164E-2</v>
      </c>
    </row>
    <row r="43" spans="1:10">
      <c r="A43" s="107">
        <v>1</v>
      </c>
      <c r="B43" s="107">
        <v>3</v>
      </c>
      <c r="C43" s="107">
        <v>4</v>
      </c>
      <c r="D43" s="107" t="s">
        <v>204</v>
      </c>
      <c r="E43" s="107" t="s">
        <v>205</v>
      </c>
      <c r="F43" s="107">
        <v>0</v>
      </c>
      <c r="G43" s="211"/>
      <c r="H43" s="107">
        <v>0</v>
      </c>
      <c r="I43" s="203" t="e">
        <f t="shared" si="0"/>
        <v>#DIV/0!</v>
      </c>
      <c r="J43" s="213" t="e">
        <f t="shared" si="1"/>
        <v>#DIV/0!</v>
      </c>
    </row>
    <row r="44" spans="1:10">
      <c r="A44" s="107">
        <v>1</v>
      </c>
      <c r="B44" s="107">
        <v>3</v>
      </c>
      <c r="C44" s="107">
        <v>5</v>
      </c>
      <c r="D44" s="107" t="s">
        <v>236</v>
      </c>
      <c r="E44" s="107" t="s">
        <v>237</v>
      </c>
      <c r="F44" s="107">
        <v>115</v>
      </c>
      <c r="G44" s="211"/>
      <c r="H44" s="107">
        <v>0.4</v>
      </c>
      <c r="I44" s="203">
        <f t="shared" si="0"/>
        <v>3.4782608695652175E-3</v>
      </c>
      <c r="J44" s="213">
        <f t="shared" si="1"/>
        <v>3.4782608695652175E-3</v>
      </c>
    </row>
    <row r="45" spans="1:10">
      <c r="A45" s="107">
        <v>1</v>
      </c>
      <c r="B45" s="107">
        <v>3</v>
      </c>
      <c r="C45" s="107">
        <v>6</v>
      </c>
      <c r="D45" s="107" t="s">
        <v>216</v>
      </c>
      <c r="E45" s="107" t="s">
        <v>217</v>
      </c>
      <c r="F45" s="107">
        <v>480</v>
      </c>
      <c r="G45" s="211"/>
      <c r="H45" s="107">
        <v>3.4</v>
      </c>
      <c r="I45" s="203">
        <f t="shared" si="0"/>
        <v>7.083333333333333E-3</v>
      </c>
      <c r="J45" s="213">
        <f t="shared" si="1"/>
        <v>7.083333333333333E-3</v>
      </c>
    </row>
    <row r="46" spans="1:10">
      <c r="A46" s="107">
        <v>1</v>
      </c>
      <c r="B46" s="107">
        <v>3</v>
      </c>
      <c r="C46" s="107">
        <v>7</v>
      </c>
      <c r="D46" s="107" t="s">
        <v>224</v>
      </c>
      <c r="E46" s="107" t="s">
        <v>225</v>
      </c>
      <c r="F46" s="107">
        <v>200</v>
      </c>
      <c r="G46" s="211"/>
      <c r="H46" s="107">
        <v>1.54</v>
      </c>
      <c r="I46" s="203">
        <f t="shared" si="0"/>
        <v>7.7000000000000002E-3</v>
      </c>
      <c r="J46" s="213">
        <f t="shared" si="1"/>
        <v>7.7000000000000002E-3</v>
      </c>
    </row>
    <row r="47" spans="1:10">
      <c r="A47" s="107">
        <v>1</v>
      </c>
      <c r="B47" s="107">
        <v>3</v>
      </c>
      <c r="C47" s="107">
        <v>8</v>
      </c>
      <c r="D47" s="107" t="s">
        <v>226</v>
      </c>
      <c r="E47" s="107" t="s">
        <v>227</v>
      </c>
      <c r="F47" s="107">
        <v>175</v>
      </c>
      <c r="G47" s="211"/>
      <c r="H47" s="107">
        <v>2.57</v>
      </c>
      <c r="I47" s="203">
        <f t="shared" si="0"/>
        <v>1.4685714285714285E-2</v>
      </c>
      <c r="J47" s="213">
        <f t="shared" si="1"/>
        <v>1.4685714285714285E-2</v>
      </c>
    </row>
    <row r="48" spans="1:10">
      <c r="A48" s="107">
        <v>1</v>
      </c>
      <c r="B48" s="107">
        <v>3</v>
      </c>
      <c r="C48" s="107">
        <v>9</v>
      </c>
      <c r="D48" s="107" t="s">
        <v>208</v>
      </c>
      <c r="E48" s="107" t="s">
        <v>209</v>
      </c>
      <c r="F48" s="107">
        <v>0</v>
      </c>
      <c r="G48" s="211"/>
      <c r="H48" s="107">
        <v>0</v>
      </c>
      <c r="I48" s="203" t="e">
        <f t="shared" si="0"/>
        <v>#DIV/0!</v>
      </c>
      <c r="J48" s="213" t="e">
        <f t="shared" si="1"/>
        <v>#DIV/0!</v>
      </c>
    </row>
    <row r="49" spans="1:10">
      <c r="A49" s="107">
        <v>1</v>
      </c>
      <c r="B49" s="107">
        <v>3</v>
      </c>
      <c r="C49" s="107">
        <v>10</v>
      </c>
      <c r="D49" s="107" t="s">
        <v>232</v>
      </c>
      <c r="E49" s="107" t="s">
        <v>233</v>
      </c>
      <c r="F49" s="107">
        <v>222</v>
      </c>
      <c r="G49" s="211"/>
      <c r="H49" s="107">
        <v>2.92</v>
      </c>
      <c r="I49" s="203">
        <f t="shared" si="0"/>
        <v>1.3153153153153152E-2</v>
      </c>
      <c r="J49" s="213">
        <f t="shared" si="1"/>
        <v>1.3153153153153152E-2</v>
      </c>
    </row>
    <row r="50" spans="1:10">
      <c r="A50" s="107">
        <v>1</v>
      </c>
      <c r="B50" s="107">
        <v>3</v>
      </c>
      <c r="C50" s="107">
        <v>11</v>
      </c>
      <c r="D50" s="107" t="s">
        <v>214</v>
      </c>
      <c r="E50" s="107" t="s">
        <v>215</v>
      </c>
      <c r="F50" s="107">
        <v>254</v>
      </c>
      <c r="G50" s="211"/>
      <c r="H50" s="107">
        <v>3.09</v>
      </c>
      <c r="I50" s="203">
        <f t="shared" si="0"/>
        <v>1.2165354330708662E-2</v>
      </c>
      <c r="J50" s="213">
        <f t="shared" si="1"/>
        <v>1.2165354330708662E-2</v>
      </c>
    </row>
    <row r="51" spans="1:10">
      <c r="A51" s="107">
        <v>1</v>
      </c>
      <c r="B51" s="107">
        <v>3</v>
      </c>
      <c r="C51" s="107">
        <v>12</v>
      </c>
      <c r="D51" s="107" t="s">
        <v>206</v>
      </c>
      <c r="E51" s="107" t="s">
        <v>207</v>
      </c>
      <c r="F51" s="107">
        <v>0</v>
      </c>
      <c r="G51" s="211"/>
      <c r="H51" s="107">
        <v>0</v>
      </c>
      <c r="I51" s="203" t="e">
        <f t="shared" si="0"/>
        <v>#DIV/0!</v>
      </c>
      <c r="J51" s="213" t="e">
        <f t="shared" si="1"/>
        <v>#DIV/0!</v>
      </c>
    </row>
    <row r="52" spans="1:10">
      <c r="A52" s="107">
        <v>1</v>
      </c>
      <c r="B52" s="107">
        <v>3</v>
      </c>
      <c r="C52" s="107">
        <v>13</v>
      </c>
      <c r="D52" s="107" t="s">
        <v>210</v>
      </c>
      <c r="E52" s="107" t="s">
        <v>211</v>
      </c>
      <c r="F52" s="107">
        <v>480</v>
      </c>
      <c r="G52" s="211"/>
      <c r="H52" s="107">
        <v>8.23</v>
      </c>
      <c r="I52" s="203">
        <f t="shared" si="0"/>
        <v>1.7145833333333336E-2</v>
      </c>
      <c r="J52" s="213">
        <f t="shared" si="1"/>
        <v>1.7145833333333336E-2</v>
      </c>
    </row>
    <row r="53" spans="1:10">
      <c r="A53" s="107">
        <v>1</v>
      </c>
      <c r="B53" s="107">
        <v>3</v>
      </c>
      <c r="C53" s="107">
        <v>14</v>
      </c>
      <c r="D53" s="107" t="s">
        <v>238</v>
      </c>
      <c r="E53" s="107" t="s">
        <v>239</v>
      </c>
      <c r="F53" s="107">
        <v>338</v>
      </c>
      <c r="G53" s="211"/>
      <c r="H53" s="107">
        <v>2.81</v>
      </c>
      <c r="I53" s="203">
        <f t="shared" si="0"/>
        <v>8.3136094674556207E-3</v>
      </c>
      <c r="J53" s="213">
        <f t="shared" si="1"/>
        <v>8.3136094674556207E-3</v>
      </c>
    </row>
    <row r="54" spans="1:10">
      <c r="A54" s="107">
        <v>1</v>
      </c>
      <c r="B54" s="107">
        <v>3</v>
      </c>
      <c r="C54" s="107">
        <v>15</v>
      </c>
      <c r="D54" s="107" t="s">
        <v>222</v>
      </c>
      <c r="E54" s="107" t="s">
        <v>223</v>
      </c>
      <c r="F54" s="107">
        <v>212</v>
      </c>
      <c r="G54" s="211"/>
      <c r="H54" s="107">
        <v>3.38</v>
      </c>
      <c r="I54" s="203">
        <f t="shared" si="0"/>
        <v>1.5943396226415094E-2</v>
      </c>
      <c r="J54" s="213">
        <f t="shared" si="1"/>
        <v>1.5943396226415094E-2</v>
      </c>
    </row>
    <row r="55" spans="1:10">
      <c r="A55" s="107">
        <v>1</v>
      </c>
      <c r="B55" s="107">
        <v>3</v>
      </c>
      <c r="C55" s="107">
        <v>16</v>
      </c>
      <c r="D55" s="107" t="s">
        <v>230</v>
      </c>
      <c r="E55" s="107" t="s">
        <v>231</v>
      </c>
      <c r="F55" s="167"/>
      <c r="G55" s="211"/>
      <c r="H55" s="107">
        <v>3.36</v>
      </c>
      <c r="I55" s="203" t="str">
        <f t="shared" si="0"/>
        <v/>
      </c>
      <c r="J55" s="213" t="str">
        <f t="shared" si="1"/>
        <v/>
      </c>
    </row>
    <row r="56" spans="1:10">
      <c r="A56" s="107">
        <v>1</v>
      </c>
      <c r="B56" s="107">
        <v>3</v>
      </c>
      <c r="C56" s="107">
        <v>17</v>
      </c>
      <c r="D56" s="107" t="s">
        <v>212</v>
      </c>
      <c r="E56" s="107" t="s">
        <v>213</v>
      </c>
      <c r="F56" s="167"/>
      <c r="G56" s="211"/>
      <c r="H56" s="107">
        <v>4.88</v>
      </c>
      <c r="I56" s="203" t="str">
        <f t="shared" si="0"/>
        <v/>
      </c>
      <c r="J56" s="213" t="str">
        <f t="shared" si="1"/>
        <v/>
      </c>
    </row>
    <row r="57" spans="1:10">
      <c r="A57" s="107">
        <v>1</v>
      </c>
      <c r="B57" s="107">
        <v>3</v>
      </c>
      <c r="C57" s="107">
        <v>18</v>
      </c>
      <c r="D57" s="107" t="s">
        <v>218</v>
      </c>
      <c r="E57" s="107" t="s">
        <v>219</v>
      </c>
      <c r="F57" s="167"/>
      <c r="G57" s="211"/>
      <c r="H57" s="107">
        <v>0.4</v>
      </c>
      <c r="I57" s="203" t="str">
        <f t="shared" si="0"/>
        <v/>
      </c>
      <c r="J57" s="213" t="str">
        <f t="shared" si="1"/>
        <v/>
      </c>
    </row>
    <row r="58" spans="1:10">
      <c r="A58" s="201">
        <v>1</v>
      </c>
      <c r="B58" s="201">
        <v>4</v>
      </c>
      <c r="C58" s="201">
        <v>1</v>
      </c>
      <c r="D58" s="201" t="s">
        <v>242</v>
      </c>
      <c r="E58" s="201" t="s">
        <v>243</v>
      </c>
      <c r="F58" s="201">
        <v>221</v>
      </c>
      <c r="G58" s="212"/>
      <c r="H58" s="201">
        <v>3.42</v>
      </c>
      <c r="I58" s="204">
        <f t="shared" si="0"/>
        <v>1.5475113122171945E-2</v>
      </c>
      <c r="J58" s="214">
        <f t="shared" si="1"/>
        <v>1.5475113122171945E-2</v>
      </c>
    </row>
    <row r="59" spans="1:10">
      <c r="A59" s="201">
        <v>1</v>
      </c>
      <c r="B59" s="201">
        <v>4</v>
      </c>
      <c r="C59" s="201">
        <v>2</v>
      </c>
      <c r="D59" s="201" t="s">
        <v>270</v>
      </c>
      <c r="E59" s="201" t="s">
        <v>163</v>
      </c>
      <c r="F59" s="201">
        <v>365</v>
      </c>
      <c r="G59" s="212"/>
      <c r="H59" s="201">
        <v>2.29</v>
      </c>
      <c r="I59" s="204">
        <f t="shared" si="0"/>
        <v>6.2739726027397262E-3</v>
      </c>
      <c r="J59" s="214">
        <f t="shared" si="1"/>
        <v>6.2739726027397262E-3</v>
      </c>
    </row>
    <row r="60" spans="1:10">
      <c r="A60" s="201">
        <v>1</v>
      </c>
      <c r="B60" s="201">
        <v>4</v>
      </c>
      <c r="C60" s="201">
        <v>3</v>
      </c>
      <c r="D60" s="201" t="s">
        <v>254</v>
      </c>
      <c r="E60" s="201" t="s">
        <v>255</v>
      </c>
      <c r="F60" s="201">
        <v>230</v>
      </c>
      <c r="G60" s="212"/>
      <c r="H60" s="201">
        <v>1.73</v>
      </c>
      <c r="I60" s="204">
        <f t="shared" si="0"/>
        <v>7.5217391304347823E-3</v>
      </c>
      <c r="J60" s="214">
        <f t="shared" si="1"/>
        <v>7.5217391304347823E-3</v>
      </c>
    </row>
    <row r="61" spans="1:10">
      <c r="A61" s="201">
        <v>1</v>
      </c>
      <c r="B61" s="201">
        <v>4</v>
      </c>
      <c r="C61" s="201">
        <v>4</v>
      </c>
      <c r="D61" s="201" t="s">
        <v>269</v>
      </c>
      <c r="E61" s="201" t="s">
        <v>187</v>
      </c>
      <c r="F61" s="201">
        <v>570</v>
      </c>
      <c r="G61" s="212"/>
      <c r="H61" s="201">
        <v>11.62</v>
      </c>
      <c r="I61" s="204">
        <f t="shared" si="0"/>
        <v>2.0385964912280702E-2</v>
      </c>
      <c r="J61" s="214">
        <f t="shared" si="1"/>
        <v>2.0385964912280702E-2</v>
      </c>
    </row>
    <row r="62" spans="1:10">
      <c r="A62" s="201">
        <v>1</v>
      </c>
      <c r="B62" s="201">
        <v>4</v>
      </c>
      <c r="C62" s="201">
        <v>5</v>
      </c>
      <c r="D62" s="201" t="s">
        <v>264</v>
      </c>
      <c r="E62" s="201" t="s">
        <v>265</v>
      </c>
      <c r="F62" s="201">
        <v>520</v>
      </c>
      <c r="G62" s="212"/>
      <c r="H62" s="201">
        <v>4.4400000000000004</v>
      </c>
      <c r="I62" s="204">
        <f t="shared" si="0"/>
        <v>8.5384615384615399E-3</v>
      </c>
      <c r="J62" s="214">
        <f t="shared" si="1"/>
        <v>8.5384615384615399E-3</v>
      </c>
    </row>
    <row r="63" spans="1:10">
      <c r="A63" s="201">
        <v>1</v>
      </c>
      <c r="B63" s="201">
        <v>4</v>
      </c>
      <c r="C63" s="201">
        <v>6</v>
      </c>
      <c r="D63" s="201" t="s">
        <v>252</v>
      </c>
      <c r="E63" s="201" t="s">
        <v>253</v>
      </c>
      <c r="F63" s="201">
        <v>120</v>
      </c>
      <c r="G63" s="212"/>
      <c r="H63" s="201">
        <v>1.23</v>
      </c>
      <c r="I63" s="204">
        <f t="shared" si="0"/>
        <v>1.025E-2</v>
      </c>
      <c r="J63" s="214">
        <f t="shared" si="1"/>
        <v>1.025E-2</v>
      </c>
    </row>
    <row r="64" spans="1:10">
      <c r="A64" s="201">
        <v>1</v>
      </c>
      <c r="B64" s="201">
        <v>4</v>
      </c>
      <c r="C64" s="201">
        <v>7</v>
      </c>
      <c r="D64" s="201" t="s">
        <v>268</v>
      </c>
      <c r="E64" s="201" t="s">
        <v>161</v>
      </c>
      <c r="F64" s="201">
        <v>207</v>
      </c>
      <c r="G64" s="212"/>
      <c r="H64" s="201">
        <v>3.69</v>
      </c>
      <c r="I64" s="204">
        <f t="shared" si="0"/>
        <v>1.7826086956521738E-2</v>
      </c>
      <c r="J64" s="214">
        <f t="shared" si="1"/>
        <v>1.7826086956521738E-2</v>
      </c>
    </row>
    <row r="65" spans="1:10">
      <c r="A65" s="201">
        <v>1</v>
      </c>
      <c r="B65" s="201">
        <v>4</v>
      </c>
      <c r="C65" s="201">
        <v>8</v>
      </c>
      <c r="D65" s="201" t="s">
        <v>248</v>
      </c>
      <c r="E65" s="201" t="s">
        <v>249</v>
      </c>
      <c r="F65" s="201">
        <v>383</v>
      </c>
      <c r="G65" s="212"/>
      <c r="H65" s="201">
        <v>2.23</v>
      </c>
      <c r="I65" s="204">
        <f t="shared" si="0"/>
        <v>5.8224543080939951E-3</v>
      </c>
      <c r="J65" s="214">
        <f t="shared" si="1"/>
        <v>5.8224543080939951E-3</v>
      </c>
    </row>
    <row r="66" spans="1:10">
      <c r="A66" s="201">
        <v>1</v>
      </c>
      <c r="B66" s="201">
        <v>4</v>
      </c>
      <c r="C66" s="201">
        <v>9</v>
      </c>
      <c r="D66" s="201" t="s">
        <v>244</v>
      </c>
      <c r="E66" s="201" t="s">
        <v>245</v>
      </c>
      <c r="F66" s="201">
        <v>71</v>
      </c>
      <c r="G66" s="212"/>
      <c r="H66" s="201">
        <v>0.4</v>
      </c>
      <c r="I66" s="204">
        <f t="shared" si="0"/>
        <v>5.6338028169014088E-3</v>
      </c>
      <c r="J66" s="214">
        <f t="shared" si="1"/>
        <v>5.6338028169014088E-3</v>
      </c>
    </row>
    <row r="67" spans="1:10">
      <c r="A67" s="201">
        <v>1</v>
      </c>
      <c r="B67" s="201">
        <v>4</v>
      </c>
      <c r="C67" s="201">
        <v>10</v>
      </c>
      <c r="D67" s="201" t="s">
        <v>240</v>
      </c>
      <c r="E67" s="201" t="s">
        <v>241</v>
      </c>
      <c r="F67" s="201">
        <v>247</v>
      </c>
      <c r="G67" s="212"/>
      <c r="H67" s="201">
        <v>5.19</v>
      </c>
      <c r="I67" s="204">
        <f t="shared" si="0"/>
        <v>2.1012145748987857E-2</v>
      </c>
      <c r="J67" s="214">
        <f t="shared" si="1"/>
        <v>2.1012145748987857E-2</v>
      </c>
    </row>
    <row r="68" spans="1:10">
      <c r="A68" s="201">
        <v>1</v>
      </c>
      <c r="B68" s="201">
        <v>4</v>
      </c>
      <c r="C68" s="201">
        <v>11</v>
      </c>
      <c r="D68" s="201" t="s">
        <v>271</v>
      </c>
      <c r="E68" s="201" t="s">
        <v>272</v>
      </c>
      <c r="F68" s="201">
        <v>300</v>
      </c>
      <c r="G68" s="212"/>
      <c r="H68" s="201">
        <v>4.6399999999999997</v>
      </c>
      <c r="I68" s="204">
        <f t="shared" si="0"/>
        <v>1.5466666666666665E-2</v>
      </c>
      <c r="J68" s="214">
        <f t="shared" si="1"/>
        <v>1.5466666666666665E-2</v>
      </c>
    </row>
    <row r="69" spans="1:10">
      <c r="A69" s="201">
        <v>1</v>
      </c>
      <c r="B69" s="201">
        <v>4</v>
      </c>
      <c r="C69" s="201">
        <v>12</v>
      </c>
      <c r="D69" s="201" t="s">
        <v>256</v>
      </c>
      <c r="E69" s="201" t="s">
        <v>257</v>
      </c>
      <c r="F69" s="201">
        <v>207</v>
      </c>
      <c r="G69" s="212"/>
      <c r="H69" s="201">
        <v>3.21</v>
      </c>
      <c r="I69" s="204">
        <f t="shared" ref="I69:I99" si="2">IF(F69="","",H69/F69)</f>
        <v>1.5507246376811595E-2</v>
      </c>
      <c r="J69" s="214">
        <f t="shared" ref="J69:J132" si="3">IF(G69="",I69,I69/(1-G69))</f>
        <v>1.5507246376811595E-2</v>
      </c>
    </row>
    <row r="70" spans="1:10">
      <c r="A70" s="201">
        <v>1</v>
      </c>
      <c r="B70" s="201">
        <v>4</v>
      </c>
      <c r="C70" s="201">
        <v>13</v>
      </c>
      <c r="D70" s="201" t="s">
        <v>258</v>
      </c>
      <c r="E70" s="201" t="s">
        <v>259</v>
      </c>
      <c r="F70" s="201">
        <v>376</v>
      </c>
      <c r="G70" s="212"/>
      <c r="H70" s="201">
        <v>7.38</v>
      </c>
      <c r="I70" s="204">
        <f t="shared" si="2"/>
        <v>1.9627659574468086E-2</v>
      </c>
      <c r="J70" s="214">
        <f t="shared" si="3"/>
        <v>1.9627659574468086E-2</v>
      </c>
    </row>
    <row r="71" spans="1:10">
      <c r="A71" s="201">
        <v>1</v>
      </c>
      <c r="B71" s="201">
        <v>4</v>
      </c>
      <c r="C71" s="201">
        <v>14</v>
      </c>
      <c r="D71" s="201" t="s">
        <v>250</v>
      </c>
      <c r="E71" s="201" t="s">
        <v>251</v>
      </c>
      <c r="F71" s="201">
        <v>573</v>
      </c>
      <c r="G71" s="212"/>
      <c r="H71" s="201">
        <v>2.67</v>
      </c>
      <c r="I71" s="204">
        <f t="shared" si="2"/>
        <v>4.6596858638743455E-3</v>
      </c>
      <c r="J71" s="214">
        <f t="shared" si="3"/>
        <v>4.6596858638743455E-3</v>
      </c>
    </row>
    <row r="72" spans="1:10">
      <c r="A72" s="201">
        <v>1</v>
      </c>
      <c r="B72" s="201">
        <v>4</v>
      </c>
      <c r="C72" s="201">
        <v>15</v>
      </c>
      <c r="D72" s="201" t="s">
        <v>262</v>
      </c>
      <c r="E72" s="201" t="s">
        <v>263</v>
      </c>
      <c r="F72" s="201">
        <v>350</v>
      </c>
      <c r="G72" s="212"/>
      <c r="H72" s="201">
        <v>2.85</v>
      </c>
      <c r="I72" s="204">
        <f t="shared" si="2"/>
        <v>8.1428571428571427E-3</v>
      </c>
      <c r="J72" s="214">
        <f t="shared" si="3"/>
        <v>8.1428571428571427E-3</v>
      </c>
    </row>
    <row r="73" spans="1:10">
      <c r="A73" s="201">
        <v>1</v>
      </c>
      <c r="B73" s="201">
        <v>4</v>
      </c>
      <c r="C73" s="201">
        <v>16</v>
      </c>
      <c r="D73" s="201" t="s">
        <v>260</v>
      </c>
      <c r="E73" s="201" t="s">
        <v>261</v>
      </c>
      <c r="F73" s="201">
        <v>650</v>
      </c>
      <c r="G73" s="212"/>
      <c r="H73" s="201">
        <v>10.68</v>
      </c>
      <c r="I73" s="204">
        <f t="shared" si="2"/>
        <v>1.6430769230769231E-2</v>
      </c>
      <c r="J73" s="214">
        <f t="shared" si="3"/>
        <v>1.6430769230769231E-2</v>
      </c>
    </row>
    <row r="74" spans="1:10">
      <c r="A74" s="201">
        <v>1</v>
      </c>
      <c r="B74" s="201">
        <v>4</v>
      </c>
      <c r="C74" s="201">
        <v>17</v>
      </c>
      <c r="D74" s="201" t="s">
        <v>246</v>
      </c>
      <c r="E74" s="201" t="s">
        <v>247</v>
      </c>
      <c r="F74" s="201">
        <v>55</v>
      </c>
      <c r="G74" s="212"/>
      <c r="H74" s="201">
        <v>0.52</v>
      </c>
      <c r="I74" s="204">
        <f t="shared" si="2"/>
        <v>9.4545454545454551E-3</v>
      </c>
      <c r="J74" s="214">
        <f t="shared" si="3"/>
        <v>9.4545454545454551E-3</v>
      </c>
    </row>
    <row r="75" spans="1:10">
      <c r="A75" s="201">
        <v>1</v>
      </c>
      <c r="B75" s="201">
        <v>4</v>
      </c>
      <c r="C75" s="201">
        <v>18</v>
      </c>
      <c r="D75" s="201" t="s">
        <v>266</v>
      </c>
      <c r="E75" s="201" t="s">
        <v>267</v>
      </c>
      <c r="F75" s="201">
        <v>0</v>
      </c>
      <c r="G75" s="212"/>
      <c r="H75" s="201">
        <v>0</v>
      </c>
      <c r="I75" s="204" t="e">
        <f t="shared" si="2"/>
        <v>#DIV/0!</v>
      </c>
      <c r="J75" s="214" t="e">
        <f t="shared" si="3"/>
        <v>#DIV/0!</v>
      </c>
    </row>
    <row r="76" spans="1:10">
      <c r="A76" s="107">
        <v>1</v>
      </c>
      <c r="B76" s="107">
        <v>5</v>
      </c>
      <c r="C76" s="107">
        <v>1</v>
      </c>
      <c r="D76" s="107" t="s">
        <v>297</v>
      </c>
      <c r="E76" s="107" t="s">
        <v>298</v>
      </c>
      <c r="F76" s="107">
        <v>360</v>
      </c>
      <c r="G76" s="211"/>
      <c r="H76" s="107">
        <v>7.6</v>
      </c>
      <c r="I76" s="203">
        <f t="shared" si="2"/>
        <v>2.1111111111111112E-2</v>
      </c>
      <c r="J76" s="213">
        <f t="shared" si="3"/>
        <v>2.1111111111111112E-2</v>
      </c>
    </row>
    <row r="77" spans="1:10">
      <c r="A77" s="107">
        <v>1</v>
      </c>
      <c r="B77" s="107">
        <v>5</v>
      </c>
      <c r="C77" s="107">
        <v>2</v>
      </c>
      <c r="D77" s="107" t="s">
        <v>301</v>
      </c>
      <c r="E77" s="107" t="s">
        <v>302</v>
      </c>
      <c r="F77" s="107">
        <v>450</v>
      </c>
      <c r="G77" s="211"/>
      <c r="H77" s="107">
        <v>8.0399999999999991</v>
      </c>
      <c r="I77" s="203">
        <f t="shared" si="2"/>
        <v>1.7866666666666666E-2</v>
      </c>
      <c r="J77" s="213">
        <f t="shared" si="3"/>
        <v>1.7866666666666666E-2</v>
      </c>
    </row>
    <row r="78" spans="1:10">
      <c r="A78" s="107">
        <v>1</v>
      </c>
      <c r="B78" s="107">
        <v>5</v>
      </c>
      <c r="C78" s="107">
        <v>3</v>
      </c>
      <c r="D78" s="107" t="s">
        <v>277</v>
      </c>
      <c r="E78" s="107" t="s">
        <v>278</v>
      </c>
      <c r="F78" s="107">
        <v>330</v>
      </c>
      <c r="G78" s="211"/>
      <c r="H78" s="107">
        <v>4.9800000000000004</v>
      </c>
      <c r="I78" s="203">
        <f t="shared" si="2"/>
        <v>1.5090909090909092E-2</v>
      </c>
      <c r="J78" s="213">
        <f t="shared" si="3"/>
        <v>1.5090909090909092E-2</v>
      </c>
    </row>
    <row r="79" spans="1:10">
      <c r="A79" s="107">
        <v>1</v>
      </c>
      <c r="B79" s="107">
        <v>5</v>
      </c>
      <c r="C79" s="107">
        <v>4</v>
      </c>
      <c r="D79" s="107" t="s">
        <v>275</v>
      </c>
      <c r="E79" s="107" t="s">
        <v>276</v>
      </c>
      <c r="F79" s="107">
        <v>159</v>
      </c>
      <c r="G79" s="211"/>
      <c r="H79" s="107">
        <v>4.68</v>
      </c>
      <c r="I79" s="203">
        <f t="shared" si="2"/>
        <v>2.9433962264150942E-2</v>
      </c>
      <c r="J79" s="213">
        <f t="shared" si="3"/>
        <v>2.9433962264150942E-2</v>
      </c>
    </row>
    <row r="80" spans="1:10">
      <c r="A80" s="107">
        <v>1</v>
      </c>
      <c r="B80" s="107">
        <v>5</v>
      </c>
      <c r="C80" s="107">
        <v>5</v>
      </c>
      <c r="D80" s="107" t="s">
        <v>289</v>
      </c>
      <c r="E80" s="107" t="s">
        <v>290</v>
      </c>
      <c r="F80" s="107">
        <v>89</v>
      </c>
      <c r="G80" s="211"/>
      <c r="H80" s="107">
        <v>2.69</v>
      </c>
      <c r="I80" s="203">
        <f t="shared" si="2"/>
        <v>3.0224719101123596E-2</v>
      </c>
      <c r="J80" s="213">
        <f t="shared" si="3"/>
        <v>3.0224719101123596E-2</v>
      </c>
    </row>
    <row r="81" spans="1:10">
      <c r="A81" s="107">
        <v>1</v>
      </c>
      <c r="B81" s="107">
        <v>5</v>
      </c>
      <c r="C81" s="107">
        <v>6</v>
      </c>
      <c r="D81" s="107" t="s">
        <v>291</v>
      </c>
      <c r="E81" s="107" t="s">
        <v>292</v>
      </c>
      <c r="F81" s="107">
        <v>335</v>
      </c>
      <c r="G81" s="211"/>
      <c r="H81" s="107">
        <v>6.7</v>
      </c>
      <c r="I81" s="203">
        <f t="shared" si="2"/>
        <v>0.02</v>
      </c>
      <c r="J81" s="213">
        <f t="shared" si="3"/>
        <v>0.02</v>
      </c>
    </row>
    <row r="82" spans="1:10">
      <c r="A82" s="107">
        <v>1</v>
      </c>
      <c r="B82" s="107">
        <v>5</v>
      </c>
      <c r="C82" s="107">
        <v>7</v>
      </c>
      <c r="D82" s="107" t="s">
        <v>283</v>
      </c>
      <c r="E82" s="107" t="s">
        <v>284</v>
      </c>
      <c r="F82" s="107">
        <v>49</v>
      </c>
      <c r="G82" s="211"/>
      <c r="H82" s="107">
        <v>0.63</v>
      </c>
      <c r="I82" s="203">
        <f t="shared" si="2"/>
        <v>1.2857142857142857E-2</v>
      </c>
      <c r="J82" s="213">
        <f t="shared" si="3"/>
        <v>1.2857142857142857E-2</v>
      </c>
    </row>
    <row r="83" spans="1:10">
      <c r="A83" s="107">
        <v>1</v>
      </c>
      <c r="B83" s="107">
        <v>5</v>
      </c>
      <c r="C83" s="107">
        <v>8</v>
      </c>
      <c r="D83" s="107" t="s">
        <v>307</v>
      </c>
      <c r="E83" s="107" t="s">
        <v>308</v>
      </c>
      <c r="F83" s="107">
        <v>150</v>
      </c>
      <c r="G83" s="211"/>
      <c r="H83" s="107">
        <v>2.4</v>
      </c>
      <c r="I83" s="203">
        <f t="shared" si="2"/>
        <v>1.6E-2</v>
      </c>
      <c r="J83" s="213">
        <f t="shared" si="3"/>
        <v>1.6E-2</v>
      </c>
    </row>
    <row r="84" spans="1:10">
      <c r="A84" s="107">
        <v>1</v>
      </c>
      <c r="B84" s="107">
        <v>5</v>
      </c>
      <c r="C84" s="107">
        <v>9</v>
      </c>
      <c r="D84" s="107" t="s">
        <v>279</v>
      </c>
      <c r="E84" s="107" t="s">
        <v>280</v>
      </c>
      <c r="F84" s="107">
        <v>270</v>
      </c>
      <c r="G84" s="211"/>
      <c r="H84" s="107">
        <v>5.41</v>
      </c>
      <c r="I84" s="203">
        <f t="shared" si="2"/>
        <v>2.0037037037037037E-2</v>
      </c>
      <c r="J84" s="213">
        <f t="shared" si="3"/>
        <v>2.0037037037037037E-2</v>
      </c>
    </row>
    <row r="85" spans="1:10">
      <c r="A85" s="107">
        <v>1</v>
      </c>
      <c r="B85" s="107">
        <v>5</v>
      </c>
      <c r="C85" s="107">
        <v>10</v>
      </c>
      <c r="D85" s="107" t="s">
        <v>305</v>
      </c>
      <c r="E85" s="107" t="s">
        <v>306</v>
      </c>
      <c r="F85" s="107">
        <v>850</v>
      </c>
      <c r="G85" s="211"/>
      <c r="H85" s="107">
        <v>26.13</v>
      </c>
      <c r="I85" s="203">
        <f t="shared" si="2"/>
        <v>3.0741176470588234E-2</v>
      </c>
      <c r="J85" s="213">
        <f t="shared" si="3"/>
        <v>3.0741176470588234E-2</v>
      </c>
    </row>
    <row r="86" spans="1:10">
      <c r="A86" s="107">
        <v>1</v>
      </c>
      <c r="B86" s="107">
        <v>5</v>
      </c>
      <c r="C86" s="107">
        <v>11</v>
      </c>
      <c r="D86" s="107" t="s">
        <v>273</v>
      </c>
      <c r="E86" s="107" t="s">
        <v>274</v>
      </c>
      <c r="F86" s="107">
        <v>380</v>
      </c>
      <c r="G86" s="211"/>
      <c r="H86" s="107">
        <v>7.45</v>
      </c>
      <c r="I86" s="203">
        <f t="shared" si="2"/>
        <v>1.9605263157894737E-2</v>
      </c>
      <c r="J86" s="213">
        <f t="shared" si="3"/>
        <v>1.9605263157894737E-2</v>
      </c>
    </row>
    <row r="87" spans="1:10">
      <c r="A87" s="107">
        <v>1</v>
      </c>
      <c r="B87" s="107">
        <v>5</v>
      </c>
      <c r="C87" s="107">
        <v>12</v>
      </c>
      <c r="D87" s="107" t="s">
        <v>285</v>
      </c>
      <c r="E87" s="107" t="s">
        <v>286</v>
      </c>
      <c r="F87" s="107">
        <v>80</v>
      </c>
      <c r="G87" s="211"/>
      <c r="H87" s="107">
        <v>1.99</v>
      </c>
      <c r="I87" s="203">
        <f t="shared" si="2"/>
        <v>2.4875000000000001E-2</v>
      </c>
      <c r="J87" s="213">
        <f t="shared" si="3"/>
        <v>2.4875000000000001E-2</v>
      </c>
    </row>
    <row r="88" spans="1:10">
      <c r="A88" s="107">
        <v>1</v>
      </c>
      <c r="B88" s="107">
        <v>5</v>
      </c>
      <c r="C88" s="107">
        <v>13</v>
      </c>
      <c r="D88" s="107" t="s">
        <v>299</v>
      </c>
      <c r="E88" s="107" t="s">
        <v>300</v>
      </c>
      <c r="F88" s="107">
        <v>234</v>
      </c>
      <c r="G88" s="211"/>
      <c r="H88" s="107">
        <v>6.47</v>
      </c>
      <c r="I88" s="203">
        <f t="shared" si="2"/>
        <v>2.764957264957265E-2</v>
      </c>
      <c r="J88" s="213">
        <f t="shared" si="3"/>
        <v>2.764957264957265E-2</v>
      </c>
    </row>
    <row r="89" spans="1:10">
      <c r="A89" s="107">
        <v>1</v>
      </c>
      <c r="B89" s="107">
        <v>5</v>
      </c>
      <c r="C89" s="107">
        <v>14</v>
      </c>
      <c r="D89" s="107" t="s">
        <v>303</v>
      </c>
      <c r="E89" s="107" t="s">
        <v>304</v>
      </c>
      <c r="F89" s="107">
        <v>580</v>
      </c>
      <c r="G89" s="211"/>
      <c r="H89" s="107">
        <v>21.79</v>
      </c>
      <c r="I89" s="203">
        <f t="shared" si="2"/>
        <v>3.7568965517241378E-2</v>
      </c>
      <c r="J89" s="213">
        <f t="shared" si="3"/>
        <v>3.7568965517241378E-2</v>
      </c>
    </row>
    <row r="90" spans="1:10">
      <c r="A90" s="107">
        <v>1</v>
      </c>
      <c r="B90" s="107">
        <v>5</v>
      </c>
      <c r="C90" s="107">
        <v>15</v>
      </c>
      <c r="D90" s="107" t="s">
        <v>293</v>
      </c>
      <c r="E90" s="107" t="s">
        <v>294</v>
      </c>
      <c r="F90" s="107">
        <v>755</v>
      </c>
      <c r="G90" s="211"/>
      <c r="H90" s="107">
        <v>13.22</v>
      </c>
      <c r="I90" s="203">
        <f t="shared" si="2"/>
        <v>1.7509933774834438E-2</v>
      </c>
      <c r="J90" s="213">
        <f t="shared" si="3"/>
        <v>1.7509933774834438E-2</v>
      </c>
    </row>
    <row r="91" spans="1:10">
      <c r="A91" s="107">
        <v>1</v>
      </c>
      <c r="B91" s="107">
        <v>5</v>
      </c>
      <c r="C91" s="107">
        <v>16</v>
      </c>
      <c r="D91" s="107" t="s">
        <v>295</v>
      </c>
      <c r="E91" s="107" t="s">
        <v>296</v>
      </c>
      <c r="F91" s="107">
        <v>175</v>
      </c>
      <c r="G91" s="211"/>
      <c r="H91" s="107">
        <v>5.07</v>
      </c>
      <c r="I91" s="203">
        <f t="shared" si="2"/>
        <v>2.8971428571428572E-2</v>
      </c>
      <c r="J91" s="213">
        <f t="shared" si="3"/>
        <v>2.8971428571428572E-2</v>
      </c>
    </row>
    <row r="92" spans="1:10">
      <c r="A92" s="107">
        <v>1</v>
      </c>
      <c r="B92" s="107">
        <v>5</v>
      </c>
      <c r="C92" s="107">
        <v>17</v>
      </c>
      <c r="D92" s="107" t="s">
        <v>287</v>
      </c>
      <c r="E92" s="107" t="s">
        <v>288</v>
      </c>
      <c r="F92" s="107">
        <v>94</v>
      </c>
      <c r="G92" s="211"/>
      <c r="H92" s="107">
        <v>2.5299999999999998</v>
      </c>
      <c r="I92" s="203">
        <f t="shared" si="2"/>
        <v>2.6914893617021273E-2</v>
      </c>
      <c r="J92" s="213">
        <f t="shared" si="3"/>
        <v>2.6914893617021273E-2</v>
      </c>
    </row>
    <row r="93" spans="1:10">
      <c r="A93" s="107">
        <v>1</v>
      </c>
      <c r="B93" s="107">
        <v>5</v>
      </c>
      <c r="C93" s="107">
        <v>18</v>
      </c>
      <c r="D93" s="107" t="s">
        <v>281</v>
      </c>
      <c r="E93" s="107" t="s">
        <v>282</v>
      </c>
      <c r="F93" s="107">
        <v>885</v>
      </c>
      <c r="G93" s="211"/>
      <c r="H93" s="107">
        <v>16.190000000000001</v>
      </c>
      <c r="I93" s="203">
        <f t="shared" si="2"/>
        <v>1.8293785310734466E-2</v>
      </c>
      <c r="J93" s="213">
        <f t="shared" si="3"/>
        <v>1.8293785310734466E-2</v>
      </c>
    </row>
    <row r="94" spans="1:10">
      <c r="A94" s="201">
        <v>1</v>
      </c>
      <c r="B94" s="201">
        <v>6</v>
      </c>
      <c r="C94" s="201">
        <v>1</v>
      </c>
      <c r="D94" s="201" t="s">
        <v>311</v>
      </c>
      <c r="E94" s="201" t="s">
        <v>312</v>
      </c>
      <c r="F94" s="201">
        <v>119</v>
      </c>
      <c r="G94" s="212"/>
      <c r="H94" s="201">
        <v>2.33</v>
      </c>
      <c r="I94" s="204">
        <f t="shared" si="2"/>
        <v>1.9579831932773111E-2</v>
      </c>
      <c r="J94" s="214">
        <f t="shared" si="3"/>
        <v>1.9579831932773111E-2</v>
      </c>
    </row>
    <row r="95" spans="1:10">
      <c r="A95" s="201">
        <v>1</v>
      </c>
      <c r="B95" s="201">
        <v>6</v>
      </c>
      <c r="C95" s="201">
        <v>2</v>
      </c>
      <c r="D95" s="201" t="s">
        <v>321</v>
      </c>
      <c r="E95" s="201" t="s">
        <v>322</v>
      </c>
      <c r="F95" s="201">
        <v>581</v>
      </c>
      <c r="G95" s="212"/>
      <c r="H95" s="201">
        <v>11.7</v>
      </c>
      <c r="I95" s="204">
        <f t="shared" si="2"/>
        <v>2.0137693631669534E-2</v>
      </c>
      <c r="J95" s="214">
        <f t="shared" si="3"/>
        <v>2.0137693631669534E-2</v>
      </c>
    </row>
    <row r="96" spans="1:10">
      <c r="A96" s="201">
        <v>1</v>
      </c>
      <c r="B96" s="201">
        <v>6</v>
      </c>
      <c r="C96" s="201">
        <v>3</v>
      </c>
      <c r="D96" s="201" t="s">
        <v>341</v>
      </c>
      <c r="E96" s="201" t="s">
        <v>342</v>
      </c>
      <c r="F96" s="201">
        <v>521</v>
      </c>
      <c r="G96" s="212"/>
      <c r="H96" s="201">
        <v>12.01</v>
      </c>
      <c r="I96" s="204">
        <f t="shared" si="2"/>
        <v>2.3051823416506717E-2</v>
      </c>
      <c r="J96" s="214">
        <f t="shared" si="3"/>
        <v>2.3051823416506717E-2</v>
      </c>
    </row>
    <row r="97" spans="1:10">
      <c r="A97" s="201">
        <v>1</v>
      </c>
      <c r="B97" s="201">
        <v>6</v>
      </c>
      <c r="C97" s="201">
        <v>4</v>
      </c>
      <c r="D97" s="201" t="s">
        <v>339</v>
      </c>
      <c r="E97" s="201" t="s">
        <v>340</v>
      </c>
      <c r="F97" s="201">
        <v>326</v>
      </c>
      <c r="G97" s="212"/>
      <c r="H97" s="201">
        <v>11.35</v>
      </c>
      <c r="I97" s="204">
        <f t="shared" si="2"/>
        <v>3.4815950920245399E-2</v>
      </c>
      <c r="J97" s="214">
        <f t="shared" si="3"/>
        <v>3.4815950920245399E-2</v>
      </c>
    </row>
    <row r="98" spans="1:10">
      <c r="A98" s="201">
        <v>1</v>
      </c>
      <c r="B98" s="201">
        <v>6</v>
      </c>
      <c r="C98" s="201">
        <v>5</v>
      </c>
      <c r="D98" s="201" t="s">
        <v>317</v>
      </c>
      <c r="E98" s="201" t="s">
        <v>318</v>
      </c>
      <c r="F98" s="201">
        <v>472</v>
      </c>
      <c r="G98" s="212"/>
      <c r="H98" s="201">
        <v>12.16</v>
      </c>
      <c r="I98" s="204">
        <f t="shared" si="2"/>
        <v>2.5762711864406779E-2</v>
      </c>
      <c r="J98" s="214">
        <f t="shared" si="3"/>
        <v>2.5762711864406779E-2</v>
      </c>
    </row>
    <row r="99" spans="1:10">
      <c r="A99" s="201">
        <v>1</v>
      </c>
      <c r="B99" s="201">
        <v>6</v>
      </c>
      <c r="C99" s="201">
        <v>6</v>
      </c>
      <c r="D99" s="201" t="s">
        <v>309</v>
      </c>
      <c r="E99" s="201" t="s">
        <v>310</v>
      </c>
      <c r="F99" s="201">
        <v>1383</v>
      </c>
      <c r="G99" s="212"/>
      <c r="H99" s="201">
        <v>23.51</v>
      </c>
      <c r="I99" s="204">
        <f t="shared" si="2"/>
        <v>1.6999276934201012E-2</v>
      </c>
      <c r="J99" s="214">
        <f t="shared" si="3"/>
        <v>1.6999276934201012E-2</v>
      </c>
    </row>
    <row r="100" spans="1:10">
      <c r="A100" s="201">
        <v>1</v>
      </c>
      <c r="B100" s="201">
        <v>6</v>
      </c>
      <c r="C100" s="201">
        <v>7</v>
      </c>
      <c r="D100" s="201" t="s">
        <v>313</v>
      </c>
      <c r="E100" s="201" t="s">
        <v>314</v>
      </c>
      <c r="F100" s="201">
        <v>0</v>
      </c>
      <c r="G100" s="201"/>
      <c r="H100" s="201">
        <v>0</v>
      </c>
      <c r="I100" s="201" t="e">
        <f t="shared" ref="I100:I131" si="4">IF(F100="","",H100/F100)</f>
        <v>#DIV/0!</v>
      </c>
      <c r="J100" s="201" t="e">
        <f t="shared" si="3"/>
        <v>#DIV/0!</v>
      </c>
    </row>
    <row r="101" spans="1:10">
      <c r="A101" s="201">
        <v>1</v>
      </c>
      <c r="B101" s="201">
        <v>6</v>
      </c>
      <c r="C101" s="201">
        <v>8</v>
      </c>
      <c r="D101" s="201" t="s">
        <v>323</v>
      </c>
      <c r="E101" s="201" t="s">
        <v>324</v>
      </c>
      <c r="F101" s="201">
        <v>87</v>
      </c>
      <c r="G101" s="212"/>
      <c r="H101" s="201">
        <v>1</v>
      </c>
      <c r="I101" s="204">
        <f t="shared" si="4"/>
        <v>1.1494252873563218E-2</v>
      </c>
      <c r="J101" s="214">
        <f t="shared" si="3"/>
        <v>1.1494252873563218E-2</v>
      </c>
    </row>
    <row r="102" spans="1:10">
      <c r="A102" s="201">
        <v>1</v>
      </c>
      <c r="B102" s="201">
        <v>6</v>
      </c>
      <c r="C102" s="201">
        <v>9</v>
      </c>
      <c r="D102" s="201" t="s">
        <v>325</v>
      </c>
      <c r="E102" s="201" t="s">
        <v>326</v>
      </c>
      <c r="F102" s="201">
        <v>1472</v>
      </c>
      <c r="G102" s="212"/>
      <c r="H102" s="201">
        <v>36.340000000000003</v>
      </c>
      <c r="I102" s="204">
        <f t="shared" si="4"/>
        <v>2.4687500000000001E-2</v>
      </c>
      <c r="J102" s="214">
        <f t="shared" si="3"/>
        <v>2.4687500000000001E-2</v>
      </c>
    </row>
    <row r="103" spans="1:10">
      <c r="A103" s="201">
        <v>1</v>
      </c>
      <c r="B103" s="201">
        <v>6</v>
      </c>
      <c r="C103" s="201">
        <v>10</v>
      </c>
      <c r="D103" s="201" t="s">
        <v>329</v>
      </c>
      <c r="E103" s="201" t="s">
        <v>330</v>
      </c>
      <c r="F103" s="201">
        <v>73</v>
      </c>
      <c r="G103" s="212"/>
      <c r="H103" s="201">
        <v>1.58</v>
      </c>
      <c r="I103" s="204">
        <f t="shared" si="4"/>
        <v>2.1643835616438359E-2</v>
      </c>
      <c r="J103" s="214">
        <f t="shared" si="3"/>
        <v>2.1643835616438359E-2</v>
      </c>
    </row>
    <row r="104" spans="1:10">
      <c r="A104" s="201">
        <v>1</v>
      </c>
      <c r="B104" s="201">
        <v>6</v>
      </c>
      <c r="C104" s="201">
        <v>11</v>
      </c>
      <c r="D104" s="201" t="s">
        <v>331</v>
      </c>
      <c r="E104" s="201" t="s">
        <v>332</v>
      </c>
      <c r="F104" s="201">
        <v>878</v>
      </c>
      <c r="G104" s="212"/>
      <c r="H104" s="201">
        <v>40.82</v>
      </c>
      <c r="I104" s="204">
        <f t="shared" si="4"/>
        <v>4.6492027334851936E-2</v>
      </c>
      <c r="J104" s="214">
        <f t="shared" si="3"/>
        <v>4.6492027334851936E-2</v>
      </c>
    </row>
    <row r="105" spans="1:10">
      <c r="A105" s="201">
        <v>1</v>
      </c>
      <c r="B105" s="201">
        <v>6</v>
      </c>
      <c r="C105" s="201">
        <v>12</v>
      </c>
      <c r="D105" s="201" t="s">
        <v>327</v>
      </c>
      <c r="E105" s="201" t="s">
        <v>328</v>
      </c>
      <c r="F105" s="201">
        <v>1031</v>
      </c>
      <c r="G105" s="212"/>
      <c r="H105" s="201">
        <v>25.16</v>
      </c>
      <c r="I105" s="204">
        <f t="shared" si="4"/>
        <v>2.4403491755577111E-2</v>
      </c>
      <c r="J105" s="214">
        <f t="shared" si="3"/>
        <v>2.4403491755577111E-2</v>
      </c>
    </row>
    <row r="106" spans="1:10">
      <c r="A106" s="201">
        <v>1</v>
      </c>
      <c r="B106" s="201">
        <v>6</v>
      </c>
      <c r="C106" s="201">
        <v>13</v>
      </c>
      <c r="D106" s="201" t="s">
        <v>333</v>
      </c>
      <c r="E106" s="201" t="s">
        <v>334</v>
      </c>
      <c r="F106" s="201">
        <v>335</v>
      </c>
      <c r="G106" s="212"/>
      <c r="H106" s="201">
        <v>9.9600000000000009</v>
      </c>
      <c r="I106" s="204">
        <f t="shared" si="4"/>
        <v>2.9731343283582092E-2</v>
      </c>
      <c r="J106" s="214">
        <f t="shared" si="3"/>
        <v>2.9731343283582092E-2</v>
      </c>
    </row>
    <row r="107" spans="1:10">
      <c r="A107" s="201">
        <v>1</v>
      </c>
      <c r="B107" s="201">
        <v>6</v>
      </c>
      <c r="C107" s="201">
        <v>14</v>
      </c>
      <c r="D107" s="201" t="s">
        <v>343</v>
      </c>
      <c r="E107" s="201" t="s">
        <v>344</v>
      </c>
      <c r="F107" s="201">
        <v>572</v>
      </c>
      <c r="G107" s="212"/>
      <c r="H107" s="201">
        <v>17.18</v>
      </c>
      <c r="I107" s="204">
        <f t="shared" si="4"/>
        <v>3.0034965034965035E-2</v>
      </c>
      <c r="J107" s="214">
        <f t="shared" si="3"/>
        <v>3.0034965034965035E-2</v>
      </c>
    </row>
    <row r="108" spans="1:10">
      <c r="A108" s="201">
        <v>1</v>
      </c>
      <c r="B108" s="201">
        <v>6</v>
      </c>
      <c r="C108" s="201">
        <v>15</v>
      </c>
      <c r="D108" s="201" t="s">
        <v>335</v>
      </c>
      <c r="E108" s="201" t="s">
        <v>336</v>
      </c>
      <c r="F108" s="201">
        <v>1051</v>
      </c>
      <c r="G108" s="212"/>
      <c r="H108" s="201">
        <v>28.28</v>
      </c>
      <c r="I108" s="204">
        <f t="shared" si="4"/>
        <v>2.6907706945765938E-2</v>
      </c>
      <c r="J108" s="214">
        <f t="shared" si="3"/>
        <v>2.6907706945765938E-2</v>
      </c>
    </row>
    <row r="109" spans="1:10">
      <c r="A109" s="201">
        <v>1</v>
      </c>
      <c r="B109" s="201">
        <v>6</v>
      </c>
      <c r="C109" s="201">
        <v>16</v>
      </c>
      <c r="D109" s="201" t="s">
        <v>315</v>
      </c>
      <c r="E109" s="201" t="s">
        <v>316</v>
      </c>
      <c r="F109" s="201">
        <v>729</v>
      </c>
      <c r="G109" s="212"/>
      <c r="H109" s="201">
        <v>19.690000000000001</v>
      </c>
      <c r="I109" s="204">
        <f t="shared" si="4"/>
        <v>2.7009602194787381E-2</v>
      </c>
      <c r="J109" s="214">
        <f t="shared" si="3"/>
        <v>2.7009602194787381E-2</v>
      </c>
    </row>
    <row r="110" spans="1:10">
      <c r="A110" s="201">
        <v>1</v>
      </c>
      <c r="B110" s="201">
        <v>6</v>
      </c>
      <c r="C110" s="201">
        <v>17</v>
      </c>
      <c r="D110" s="201" t="s">
        <v>319</v>
      </c>
      <c r="E110" s="201" t="s">
        <v>320</v>
      </c>
      <c r="F110" s="201">
        <v>947</v>
      </c>
      <c r="G110" s="212"/>
      <c r="H110" s="201">
        <v>21.07</v>
      </c>
      <c r="I110" s="204">
        <f t="shared" si="4"/>
        <v>2.2249208025343189E-2</v>
      </c>
      <c r="J110" s="214">
        <f t="shared" si="3"/>
        <v>2.2249208025343189E-2</v>
      </c>
    </row>
    <row r="111" spans="1:10">
      <c r="A111" s="201">
        <v>1</v>
      </c>
      <c r="B111" s="201">
        <v>6</v>
      </c>
      <c r="C111" s="201">
        <v>18</v>
      </c>
      <c r="D111" s="201" t="s">
        <v>337</v>
      </c>
      <c r="E111" s="201" t="s">
        <v>338</v>
      </c>
      <c r="F111" s="201">
        <v>1054</v>
      </c>
      <c r="G111" s="212"/>
      <c r="H111" s="201">
        <v>13.77</v>
      </c>
      <c r="I111" s="204">
        <f t="shared" si="4"/>
        <v>1.3064516129032257E-2</v>
      </c>
      <c r="J111" s="214">
        <f t="shared" si="3"/>
        <v>1.3064516129032257E-2</v>
      </c>
    </row>
    <row r="112" spans="1:10">
      <c r="A112" s="107">
        <v>1</v>
      </c>
      <c r="B112" s="107">
        <v>7</v>
      </c>
      <c r="C112" s="107">
        <v>1</v>
      </c>
      <c r="D112" s="107" t="s">
        <v>355</v>
      </c>
      <c r="E112" s="107" t="s">
        <v>356</v>
      </c>
      <c r="F112" s="107">
        <v>5</v>
      </c>
      <c r="G112" s="211"/>
      <c r="H112" s="107">
        <v>0.03</v>
      </c>
      <c r="I112" s="203">
        <f t="shared" si="4"/>
        <v>6.0000000000000001E-3</v>
      </c>
      <c r="J112" s="213">
        <f t="shared" si="3"/>
        <v>6.0000000000000001E-3</v>
      </c>
    </row>
    <row r="113" spans="1:10">
      <c r="A113" s="107">
        <v>1</v>
      </c>
      <c r="B113" s="107">
        <v>7</v>
      </c>
      <c r="C113" s="107">
        <v>2</v>
      </c>
      <c r="D113" s="107" t="s">
        <v>377</v>
      </c>
      <c r="E113" s="107" t="s">
        <v>378</v>
      </c>
      <c r="F113" s="107">
        <v>192</v>
      </c>
      <c r="G113" s="211"/>
      <c r="H113" s="107">
        <v>3.34</v>
      </c>
      <c r="I113" s="203">
        <f t="shared" si="4"/>
        <v>1.7395833333333333E-2</v>
      </c>
      <c r="J113" s="213">
        <f t="shared" si="3"/>
        <v>1.7395833333333333E-2</v>
      </c>
    </row>
    <row r="114" spans="1:10">
      <c r="A114" s="107">
        <v>1</v>
      </c>
      <c r="B114" s="107">
        <v>7</v>
      </c>
      <c r="C114" s="107">
        <v>3</v>
      </c>
      <c r="D114" s="107" t="s">
        <v>347</v>
      </c>
      <c r="E114" s="107" t="s">
        <v>348</v>
      </c>
      <c r="F114" s="107">
        <v>750</v>
      </c>
      <c r="G114" s="211"/>
      <c r="H114" s="107">
        <v>17.62</v>
      </c>
      <c r="I114" s="203">
        <f t="shared" si="4"/>
        <v>2.3493333333333335E-2</v>
      </c>
      <c r="J114" s="213">
        <f t="shared" si="3"/>
        <v>2.3493333333333335E-2</v>
      </c>
    </row>
    <row r="115" spans="1:10">
      <c r="A115" s="107">
        <v>1</v>
      </c>
      <c r="B115" s="107">
        <v>7</v>
      </c>
      <c r="C115" s="107">
        <v>4</v>
      </c>
      <c r="D115" s="107" t="s">
        <v>345</v>
      </c>
      <c r="E115" s="107" t="s">
        <v>346</v>
      </c>
      <c r="F115" s="107">
        <v>177</v>
      </c>
      <c r="G115" s="211"/>
      <c r="H115" s="107">
        <v>5.32</v>
      </c>
      <c r="I115" s="203">
        <f t="shared" si="4"/>
        <v>3.0056497175141243E-2</v>
      </c>
      <c r="J115" s="213">
        <f t="shared" si="3"/>
        <v>3.0056497175141243E-2</v>
      </c>
    </row>
    <row r="116" spans="1:10">
      <c r="A116" s="107">
        <v>1</v>
      </c>
      <c r="B116" s="107">
        <v>7</v>
      </c>
      <c r="C116" s="107">
        <v>5</v>
      </c>
      <c r="D116" s="107" t="s">
        <v>353</v>
      </c>
      <c r="E116" s="107" t="s">
        <v>354</v>
      </c>
      <c r="F116" s="107">
        <v>108</v>
      </c>
      <c r="G116" s="211"/>
      <c r="H116" s="107">
        <v>2.6</v>
      </c>
      <c r="I116" s="203">
        <f t="shared" si="4"/>
        <v>2.4074074074074074E-2</v>
      </c>
      <c r="J116" s="213">
        <f t="shared" si="3"/>
        <v>2.4074074074074074E-2</v>
      </c>
    </row>
    <row r="117" spans="1:10">
      <c r="A117" s="107">
        <v>1</v>
      </c>
      <c r="B117" s="107">
        <v>7</v>
      </c>
      <c r="C117" s="107">
        <v>6</v>
      </c>
      <c r="D117" s="107" t="s">
        <v>349</v>
      </c>
      <c r="E117" s="107" t="s">
        <v>350</v>
      </c>
      <c r="F117" s="107">
        <v>358</v>
      </c>
      <c r="G117" s="211"/>
      <c r="H117" s="107">
        <v>8.3000000000000007</v>
      </c>
      <c r="I117" s="203">
        <f t="shared" si="4"/>
        <v>2.3184357541899445E-2</v>
      </c>
      <c r="J117" s="213">
        <f t="shared" si="3"/>
        <v>2.3184357541899445E-2</v>
      </c>
    </row>
    <row r="118" spans="1:10">
      <c r="A118" s="107">
        <v>1</v>
      </c>
      <c r="B118" s="107">
        <v>7</v>
      </c>
      <c r="C118" s="107">
        <v>7</v>
      </c>
      <c r="D118" s="107" t="s">
        <v>373</v>
      </c>
      <c r="E118" s="107" t="s">
        <v>374</v>
      </c>
      <c r="F118" s="107">
        <v>390</v>
      </c>
      <c r="G118" s="211"/>
      <c r="H118" s="107">
        <v>5.78</v>
      </c>
      <c r="I118" s="203">
        <f t="shared" si="4"/>
        <v>1.4820512820512822E-2</v>
      </c>
      <c r="J118" s="213">
        <f t="shared" si="3"/>
        <v>1.4820512820512822E-2</v>
      </c>
    </row>
    <row r="119" spans="1:10">
      <c r="A119" s="107">
        <v>1</v>
      </c>
      <c r="B119" s="107">
        <v>7</v>
      </c>
      <c r="C119" s="107">
        <v>8</v>
      </c>
      <c r="D119" s="107" t="s">
        <v>371</v>
      </c>
      <c r="E119" s="107" t="s">
        <v>372</v>
      </c>
      <c r="F119" s="107">
        <v>680</v>
      </c>
      <c r="G119" s="211"/>
      <c r="H119" s="107">
        <v>10</v>
      </c>
      <c r="I119" s="203">
        <f t="shared" si="4"/>
        <v>1.4705882352941176E-2</v>
      </c>
      <c r="J119" s="213">
        <f t="shared" si="3"/>
        <v>1.4705882352941176E-2</v>
      </c>
    </row>
    <row r="120" spans="1:10">
      <c r="A120" s="107">
        <v>1</v>
      </c>
      <c r="B120" s="107">
        <v>7</v>
      </c>
      <c r="C120" s="107">
        <v>9</v>
      </c>
      <c r="D120" s="107" t="s">
        <v>357</v>
      </c>
      <c r="E120" s="107" t="s">
        <v>358</v>
      </c>
      <c r="F120" s="107">
        <v>685</v>
      </c>
      <c r="G120" s="211"/>
      <c r="H120" s="107">
        <v>19.16</v>
      </c>
      <c r="I120" s="203">
        <f t="shared" si="4"/>
        <v>2.7970802919708028E-2</v>
      </c>
      <c r="J120" s="213">
        <f t="shared" si="3"/>
        <v>2.7970802919708028E-2</v>
      </c>
    </row>
    <row r="121" spans="1:10">
      <c r="A121" s="107">
        <v>1</v>
      </c>
      <c r="B121" s="107">
        <v>7</v>
      </c>
      <c r="C121" s="107">
        <v>10</v>
      </c>
      <c r="D121" s="107" t="s">
        <v>363</v>
      </c>
      <c r="E121" s="107" t="s">
        <v>364</v>
      </c>
      <c r="F121" s="107">
        <v>344</v>
      </c>
      <c r="G121" s="211"/>
      <c r="H121" s="107">
        <v>3.43</v>
      </c>
      <c r="I121" s="203">
        <f t="shared" si="4"/>
        <v>9.9709302325581405E-3</v>
      </c>
      <c r="J121" s="213">
        <f t="shared" si="3"/>
        <v>9.9709302325581405E-3</v>
      </c>
    </row>
    <row r="122" spans="1:10">
      <c r="A122" s="107">
        <v>1</v>
      </c>
      <c r="B122" s="107">
        <v>7</v>
      </c>
      <c r="C122" s="107">
        <v>11</v>
      </c>
      <c r="D122" s="107" t="s">
        <v>379</v>
      </c>
      <c r="E122" s="107" t="s">
        <v>380</v>
      </c>
      <c r="F122" s="107">
        <v>340</v>
      </c>
      <c r="G122" s="211"/>
      <c r="H122" s="107">
        <v>3.06</v>
      </c>
      <c r="I122" s="203">
        <f t="shared" si="4"/>
        <v>8.9999999999999993E-3</v>
      </c>
      <c r="J122" s="213">
        <f t="shared" si="3"/>
        <v>8.9999999999999993E-3</v>
      </c>
    </row>
    <row r="123" spans="1:10">
      <c r="A123" s="107">
        <v>1</v>
      </c>
      <c r="B123" s="107">
        <v>7</v>
      </c>
      <c r="C123" s="107">
        <v>12</v>
      </c>
      <c r="D123" s="107" t="s">
        <v>361</v>
      </c>
      <c r="E123" s="107" t="s">
        <v>362</v>
      </c>
      <c r="F123" s="107">
        <v>480</v>
      </c>
      <c r="G123" s="211"/>
      <c r="H123" s="107">
        <v>10.51</v>
      </c>
      <c r="I123" s="203">
        <f t="shared" si="4"/>
        <v>2.1895833333333333E-2</v>
      </c>
      <c r="J123" s="213">
        <f t="shared" si="3"/>
        <v>2.1895833333333333E-2</v>
      </c>
    </row>
    <row r="124" spans="1:10">
      <c r="A124" s="107">
        <v>1</v>
      </c>
      <c r="B124" s="107">
        <v>7</v>
      </c>
      <c r="C124" s="107">
        <v>13</v>
      </c>
      <c r="D124" s="107" t="s">
        <v>367</v>
      </c>
      <c r="E124" s="107" t="s">
        <v>368</v>
      </c>
      <c r="F124" s="107">
        <v>18</v>
      </c>
      <c r="G124" s="211"/>
      <c r="H124" s="107">
        <v>0.14000000000000001</v>
      </c>
      <c r="I124" s="203">
        <f t="shared" si="4"/>
        <v>7.7777777777777784E-3</v>
      </c>
      <c r="J124" s="213">
        <f t="shared" si="3"/>
        <v>7.7777777777777784E-3</v>
      </c>
    </row>
    <row r="125" spans="1:10">
      <c r="A125" s="107">
        <v>1</v>
      </c>
      <c r="B125" s="107">
        <v>7</v>
      </c>
      <c r="C125" s="107">
        <v>14</v>
      </c>
      <c r="D125" s="107" t="s">
        <v>359</v>
      </c>
      <c r="E125" s="107" t="s">
        <v>360</v>
      </c>
      <c r="F125" s="107">
        <v>260</v>
      </c>
      <c r="G125" s="211"/>
      <c r="H125" s="107">
        <v>1.67</v>
      </c>
      <c r="I125" s="203">
        <f t="shared" si="4"/>
        <v>6.4230769230769228E-3</v>
      </c>
      <c r="J125" s="213">
        <f t="shared" si="3"/>
        <v>6.4230769230769228E-3</v>
      </c>
    </row>
    <row r="126" spans="1:10">
      <c r="A126" s="107">
        <v>1</v>
      </c>
      <c r="B126" s="107">
        <v>7</v>
      </c>
      <c r="C126" s="107">
        <v>15</v>
      </c>
      <c r="D126" s="107" t="s">
        <v>351</v>
      </c>
      <c r="E126" s="107" t="s">
        <v>352</v>
      </c>
      <c r="F126" s="107">
        <v>930</v>
      </c>
      <c r="G126" s="211"/>
      <c r="H126" s="107">
        <v>11.78</v>
      </c>
      <c r="I126" s="203">
        <f t="shared" si="4"/>
        <v>1.2666666666666666E-2</v>
      </c>
      <c r="J126" s="213">
        <f t="shared" si="3"/>
        <v>1.2666666666666666E-2</v>
      </c>
    </row>
    <row r="127" spans="1:10">
      <c r="A127" s="107">
        <v>1</v>
      </c>
      <c r="B127" s="107">
        <v>7</v>
      </c>
      <c r="C127" s="107">
        <v>16</v>
      </c>
      <c r="D127" s="107" t="s">
        <v>369</v>
      </c>
      <c r="E127" s="107" t="s">
        <v>370</v>
      </c>
      <c r="F127" s="107">
        <v>535</v>
      </c>
      <c r="G127" s="211"/>
      <c r="H127" s="107">
        <v>5.15</v>
      </c>
      <c r="I127" s="203">
        <f t="shared" si="4"/>
        <v>9.6261682242990664E-3</v>
      </c>
      <c r="J127" s="213">
        <f t="shared" si="3"/>
        <v>9.6261682242990664E-3</v>
      </c>
    </row>
    <row r="128" spans="1:10">
      <c r="A128" s="107">
        <v>1</v>
      </c>
      <c r="B128" s="107">
        <v>7</v>
      </c>
      <c r="C128" s="107">
        <v>17</v>
      </c>
      <c r="D128" s="107" t="s">
        <v>365</v>
      </c>
      <c r="E128" s="107" t="s">
        <v>366</v>
      </c>
      <c r="F128" s="107">
        <v>283</v>
      </c>
      <c r="G128" s="211"/>
      <c r="H128" s="107">
        <v>4.3</v>
      </c>
      <c r="I128" s="203">
        <f t="shared" si="4"/>
        <v>1.519434628975265E-2</v>
      </c>
      <c r="J128" s="213">
        <f t="shared" si="3"/>
        <v>1.519434628975265E-2</v>
      </c>
    </row>
    <row r="129" spans="1:10">
      <c r="A129" s="107">
        <v>1</v>
      </c>
      <c r="B129" s="107">
        <v>7</v>
      </c>
      <c r="C129" s="107">
        <v>18</v>
      </c>
      <c r="D129" s="107" t="s">
        <v>375</v>
      </c>
      <c r="E129" s="107" t="s">
        <v>376</v>
      </c>
      <c r="F129" s="107">
        <v>1430</v>
      </c>
      <c r="G129" s="211"/>
      <c r="H129" s="107">
        <v>25.12</v>
      </c>
      <c r="I129" s="203">
        <f t="shared" si="4"/>
        <v>1.7566433566433566E-2</v>
      </c>
      <c r="J129" s="213">
        <f t="shared" si="3"/>
        <v>1.7566433566433566E-2</v>
      </c>
    </row>
    <row r="130" spans="1:10">
      <c r="A130" s="201">
        <v>1</v>
      </c>
      <c r="B130" s="201">
        <v>8</v>
      </c>
      <c r="C130" s="201">
        <v>1</v>
      </c>
      <c r="D130" s="201" t="s">
        <v>397</v>
      </c>
      <c r="E130" s="201" t="s">
        <v>398</v>
      </c>
      <c r="F130" s="201">
        <v>74</v>
      </c>
      <c r="G130" s="212"/>
      <c r="H130" s="201">
        <v>0.92</v>
      </c>
      <c r="I130" s="204">
        <f t="shared" si="4"/>
        <v>1.2432432432432434E-2</v>
      </c>
      <c r="J130" s="214">
        <f t="shared" si="3"/>
        <v>1.2432432432432434E-2</v>
      </c>
    </row>
    <row r="131" spans="1:10">
      <c r="A131" s="201">
        <v>1</v>
      </c>
      <c r="B131" s="201">
        <v>8</v>
      </c>
      <c r="C131" s="201">
        <v>2</v>
      </c>
      <c r="D131" s="201" t="s">
        <v>401</v>
      </c>
      <c r="E131" s="201" t="s">
        <v>402</v>
      </c>
      <c r="F131" s="201">
        <v>380</v>
      </c>
      <c r="G131" s="212"/>
      <c r="H131" s="201">
        <v>5.45</v>
      </c>
      <c r="I131" s="204">
        <f t="shared" si="4"/>
        <v>1.4342105263157896E-2</v>
      </c>
      <c r="J131" s="214">
        <f t="shared" si="3"/>
        <v>1.4342105263157896E-2</v>
      </c>
    </row>
    <row r="132" spans="1:10">
      <c r="A132" s="201">
        <v>1</v>
      </c>
      <c r="B132" s="201">
        <v>8</v>
      </c>
      <c r="C132" s="201">
        <v>3</v>
      </c>
      <c r="D132" s="201" t="s">
        <v>415</v>
      </c>
      <c r="E132" s="201" t="s">
        <v>416</v>
      </c>
      <c r="F132" s="201">
        <v>435</v>
      </c>
      <c r="G132" s="212"/>
      <c r="H132" s="201">
        <v>9.18</v>
      </c>
      <c r="I132" s="204">
        <f t="shared" ref="I132:I163" si="5">IF(F132="","",H132/F132)</f>
        <v>2.110344827586207E-2</v>
      </c>
      <c r="J132" s="214">
        <f t="shared" si="3"/>
        <v>2.110344827586207E-2</v>
      </c>
    </row>
    <row r="133" spans="1:10">
      <c r="A133" s="201">
        <v>1</v>
      </c>
      <c r="B133" s="201">
        <v>8</v>
      </c>
      <c r="C133" s="201">
        <v>4</v>
      </c>
      <c r="D133" s="201" t="s">
        <v>385</v>
      </c>
      <c r="E133" s="201" t="s">
        <v>386</v>
      </c>
      <c r="F133" s="201">
        <v>390</v>
      </c>
      <c r="G133" s="212"/>
      <c r="H133" s="201">
        <v>8.35</v>
      </c>
      <c r="I133" s="204">
        <f t="shared" si="5"/>
        <v>2.1410256410256408E-2</v>
      </c>
      <c r="J133" s="214">
        <f t="shared" ref="J133:J196" si="6">IF(G133="",I133,I133/(1-G133))</f>
        <v>2.1410256410256408E-2</v>
      </c>
    </row>
    <row r="134" spans="1:10">
      <c r="A134" s="201">
        <v>1</v>
      </c>
      <c r="B134" s="201">
        <v>8</v>
      </c>
      <c r="C134" s="201">
        <v>5</v>
      </c>
      <c r="D134" s="201" t="s">
        <v>405</v>
      </c>
      <c r="E134" s="201" t="s">
        <v>406</v>
      </c>
      <c r="F134" s="201">
        <v>170</v>
      </c>
      <c r="G134" s="212"/>
      <c r="H134" s="201">
        <v>3.16</v>
      </c>
      <c r="I134" s="204">
        <f t="shared" si="5"/>
        <v>1.8588235294117648E-2</v>
      </c>
      <c r="J134" s="214">
        <f t="shared" si="6"/>
        <v>1.8588235294117648E-2</v>
      </c>
    </row>
    <row r="135" spans="1:10">
      <c r="A135" s="201">
        <v>1</v>
      </c>
      <c r="B135" s="201">
        <v>8</v>
      </c>
      <c r="C135" s="201">
        <v>6</v>
      </c>
      <c r="D135" s="201" t="s">
        <v>381</v>
      </c>
      <c r="E135" s="201" t="s">
        <v>382</v>
      </c>
      <c r="F135" s="201">
        <v>588</v>
      </c>
      <c r="G135" s="212"/>
      <c r="H135" s="201">
        <v>12.54</v>
      </c>
      <c r="I135" s="204">
        <f t="shared" si="5"/>
        <v>2.1326530612244897E-2</v>
      </c>
      <c r="J135" s="214">
        <f t="shared" si="6"/>
        <v>2.1326530612244897E-2</v>
      </c>
    </row>
    <row r="136" spans="1:10">
      <c r="A136" s="201">
        <v>1</v>
      </c>
      <c r="B136" s="201">
        <v>8</v>
      </c>
      <c r="C136" s="201">
        <v>7</v>
      </c>
      <c r="D136" s="201" t="s">
        <v>391</v>
      </c>
      <c r="E136" s="201" t="s">
        <v>392</v>
      </c>
      <c r="F136" s="201">
        <v>125</v>
      </c>
      <c r="G136" s="212"/>
      <c r="H136" s="201">
        <v>2.48</v>
      </c>
      <c r="I136" s="204">
        <f t="shared" si="5"/>
        <v>1.984E-2</v>
      </c>
      <c r="J136" s="214">
        <f t="shared" si="6"/>
        <v>1.984E-2</v>
      </c>
    </row>
    <row r="137" spans="1:10">
      <c r="A137" s="201">
        <v>1</v>
      </c>
      <c r="B137" s="201">
        <v>8</v>
      </c>
      <c r="C137" s="201">
        <v>8</v>
      </c>
      <c r="D137" s="201" t="s">
        <v>411</v>
      </c>
      <c r="E137" s="201" t="s">
        <v>412</v>
      </c>
      <c r="F137" s="201">
        <v>315</v>
      </c>
      <c r="G137" s="212"/>
      <c r="H137" s="201">
        <v>6.36</v>
      </c>
      <c r="I137" s="204">
        <f t="shared" si="5"/>
        <v>2.0190476190476193E-2</v>
      </c>
      <c r="J137" s="214">
        <f t="shared" si="6"/>
        <v>2.0190476190476193E-2</v>
      </c>
    </row>
    <row r="138" spans="1:10">
      <c r="A138" s="201">
        <v>1</v>
      </c>
      <c r="B138" s="201">
        <v>8</v>
      </c>
      <c r="C138" s="201">
        <v>9</v>
      </c>
      <c r="D138" s="201" t="s">
        <v>393</v>
      </c>
      <c r="E138" s="201" t="s">
        <v>394</v>
      </c>
      <c r="F138" s="201">
        <v>530</v>
      </c>
      <c r="G138" s="212"/>
      <c r="H138" s="201">
        <v>19.5</v>
      </c>
      <c r="I138" s="204">
        <f t="shared" si="5"/>
        <v>3.6792452830188678E-2</v>
      </c>
      <c r="J138" s="214">
        <f t="shared" si="6"/>
        <v>3.6792452830188678E-2</v>
      </c>
    </row>
    <row r="139" spans="1:10">
      <c r="A139" s="201">
        <v>1</v>
      </c>
      <c r="B139" s="201">
        <v>8</v>
      </c>
      <c r="C139" s="201">
        <v>10</v>
      </c>
      <c r="D139" s="201" t="s">
        <v>409</v>
      </c>
      <c r="E139" s="201" t="s">
        <v>410</v>
      </c>
      <c r="F139" s="201">
        <v>164</v>
      </c>
      <c r="G139" s="212"/>
      <c r="H139" s="201">
        <v>2.6</v>
      </c>
      <c r="I139" s="204">
        <f t="shared" si="5"/>
        <v>1.5853658536585366E-2</v>
      </c>
      <c r="J139" s="214">
        <f t="shared" si="6"/>
        <v>1.5853658536585366E-2</v>
      </c>
    </row>
    <row r="140" spans="1:10">
      <c r="A140" s="201">
        <v>1</v>
      </c>
      <c r="B140" s="201">
        <v>8</v>
      </c>
      <c r="C140" s="201">
        <v>11</v>
      </c>
      <c r="D140" s="201" t="s">
        <v>387</v>
      </c>
      <c r="E140" s="201" t="s">
        <v>388</v>
      </c>
      <c r="F140" s="201">
        <v>155</v>
      </c>
      <c r="G140" s="212"/>
      <c r="H140" s="201">
        <v>2.04</v>
      </c>
      <c r="I140" s="204">
        <f t="shared" si="5"/>
        <v>1.3161290322580645E-2</v>
      </c>
      <c r="J140" s="214">
        <f t="shared" si="6"/>
        <v>1.3161290322580645E-2</v>
      </c>
    </row>
    <row r="141" spans="1:10">
      <c r="A141" s="201">
        <v>1</v>
      </c>
      <c r="B141" s="201">
        <v>8</v>
      </c>
      <c r="C141" s="201">
        <v>12</v>
      </c>
      <c r="D141" s="201" t="s">
        <v>395</v>
      </c>
      <c r="E141" s="201" t="s">
        <v>396</v>
      </c>
      <c r="F141" s="201">
        <v>170</v>
      </c>
      <c r="G141" s="212"/>
      <c r="H141" s="201">
        <v>3.08</v>
      </c>
      <c r="I141" s="204">
        <f t="shared" si="5"/>
        <v>1.811764705882353E-2</v>
      </c>
      <c r="J141" s="214">
        <f t="shared" si="6"/>
        <v>1.811764705882353E-2</v>
      </c>
    </row>
    <row r="142" spans="1:10">
      <c r="A142" s="201">
        <v>1</v>
      </c>
      <c r="B142" s="201">
        <v>8</v>
      </c>
      <c r="C142" s="201">
        <v>13</v>
      </c>
      <c r="D142" s="201" t="s">
        <v>413</v>
      </c>
      <c r="E142" s="201" t="s">
        <v>414</v>
      </c>
      <c r="F142" s="201">
        <v>330</v>
      </c>
      <c r="G142" s="212"/>
      <c r="H142" s="201">
        <v>5.92</v>
      </c>
      <c r="I142" s="204">
        <f t="shared" si="5"/>
        <v>1.7939393939393939E-2</v>
      </c>
      <c r="J142" s="214">
        <f t="shared" si="6"/>
        <v>1.7939393939393939E-2</v>
      </c>
    </row>
    <row r="143" spans="1:10">
      <c r="A143" s="201">
        <v>1</v>
      </c>
      <c r="B143" s="201">
        <v>8</v>
      </c>
      <c r="C143" s="201">
        <v>14</v>
      </c>
      <c r="D143" s="201" t="s">
        <v>407</v>
      </c>
      <c r="E143" s="201" t="s">
        <v>408</v>
      </c>
      <c r="F143" s="201">
        <v>665</v>
      </c>
      <c r="G143" s="212"/>
      <c r="H143" s="201">
        <v>16.920000000000002</v>
      </c>
      <c r="I143" s="204">
        <f t="shared" si="5"/>
        <v>2.5443609022556393E-2</v>
      </c>
      <c r="J143" s="214">
        <f t="shared" si="6"/>
        <v>2.5443609022556393E-2</v>
      </c>
    </row>
    <row r="144" spans="1:10">
      <c r="A144" s="201">
        <v>1</v>
      </c>
      <c r="B144" s="201">
        <v>8</v>
      </c>
      <c r="C144" s="201">
        <v>15</v>
      </c>
      <c r="D144" s="201" t="s">
        <v>383</v>
      </c>
      <c r="E144" s="201" t="s">
        <v>384</v>
      </c>
      <c r="F144" s="201">
        <v>660</v>
      </c>
      <c r="G144" s="212"/>
      <c r="H144" s="201">
        <v>13.46</v>
      </c>
      <c r="I144" s="204">
        <f t="shared" si="5"/>
        <v>2.0393939393939395E-2</v>
      </c>
      <c r="J144" s="214">
        <f t="shared" si="6"/>
        <v>2.0393939393939395E-2</v>
      </c>
    </row>
    <row r="145" spans="1:10">
      <c r="A145" s="201">
        <v>1</v>
      </c>
      <c r="B145" s="201">
        <v>8</v>
      </c>
      <c r="C145" s="201">
        <v>16</v>
      </c>
      <c r="D145" s="201" t="s">
        <v>403</v>
      </c>
      <c r="E145" s="201" t="s">
        <v>404</v>
      </c>
      <c r="F145" s="201">
        <v>540</v>
      </c>
      <c r="G145" s="212"/>
      <c r="H145" s="201">
        <v>11.17</v>
      </c>
      <c r="I145" s="204">
        <f t="shared" si="5"/>
        <v>2.0685185185185185E-2</v>
      </c>
      <c r="J145" s="214">
        <f t="shared" si="6"/>
        <v>2.0685185185185185E-2</v>
      </c>
    </row>
    <row r="146" spans="1:10">
      <c r="A146" s="201">
        <v>1</v>
      </c>
      <c r="B146" s="201">
        <v>8</v>
      </c>
      <c r="C146" s="201">
        <v>17</v>
      </c>
      <c r="D146" s="201" t="s">
        <v>399</v>
      </c>
      <c r="E146" s="201" t="s">
        <v>400</v>
      </c>
      <c r="F146" s="201">
        <v>182</v>
      </c>
      <c r="G146" s="212"/>
      <c r="H146" s="201">
        <v>3.12</v>
      </c>
      <c r="I146" s="204">
        <f t="shared" si="5"/>
        <v>1.7142857142857144E-2</v>
      </c>
      <c r="J146" s="214">
        <f t="shared" si="6"/>
        <v>1.7142857142857144E-2</v>
      </c>
    </row>
    <row r="147" spans="1:10">
      <c r="A147" s="201">
        <v>1</v>
      </c>
      <c r="B147" s="201">
        <v>8</v>
      </c>
      <c r="C147" s="201">
        <v>18</v>
      </c>
      <c r="D147" s="201" t="s">
        <v>389</v>
      </c>
      <c r="E147" s="201" t="s">
        <v>390</v>
      </c>
      <c r="F147" s="201">
        <v>185</v>
      </c>
      <c r="G147" s="212"/>
      <c r="H147" s="201">
        <v>2.96</v>
      </c>
      <c r="I147" s="204">
        <f t="shared" si="5"/>
        <v>1.6E-2</v>
      </c>
      <c r="J147" s="214">
        <f t="shared" si="6"/>
        <v>1.6E-2</v>
      </c>
    </row>
    <row r="148" spans="1:10">
      <c r="A148" s="107">
        <v>1</v>
      </c>
      <c r="B148" s="107">
        <v>9</v>
      </c>
      <c r="C148" s="107">
        <v>1</v>
      </c>
      <c r="D148" s="107" t="s">
        <v>431</v>
      </c>
      <c r="E148" s="107" t="s">
        <v>432</v>
      </c>
      <c r="F148" s="107">
        <v>0</v>
      </c>
      <c r="G148" s="211"/>
      <c r="H148" s="107">
        <v>0</v>
      </c>
      <c r="I148" s="203" t="e">
        <f t="shared" si="5"/>
        <v>#DIV/0!</v>
      </c>
      <c r="J148" s="213" t="e">
        <f t="shared" si="6"/>
        <v>#DIV/0!</v>
      </c>
    </row>
    <row r="149" spans="1:10">
      <c r="A149" s="107">
        <v>1</v>
      </c>
      <c r="B149" s="107">
        <v>9</v>
      </c>
      <c r="C149" s="107">
        <v>2</v>
      </c>
      <c r="D149" s="107" t="s">
        <v>417</v>
      </c>
      <c r="E149" s="107" t="s">
        <v>418</v>
      </c>
      <c r="F149" s="107">
        <v>105</v>
      </c>
      <c r="G149" s="211"/>
      <c r="H149" s="107">
        <v>0.93</v>
      </c>
      <c r="I149" s="203">
        <f t="shared" si="5"/>
        <v>8.8571428571428568E-3</v>
      </c>
      <c r="J149" s="213">
        <f t="shared" si="6"/>
        <v>8.8571428571428568E-3</v>
      </c>
    </row>
    <row r="150" spans="1:10">
      <c r="A150" s="107">
        <v>1</v>
      </c>
      <c r="B150" s="107">
        <v>9</v>
      </c>
      <c r="C150" s="107">
        <v>3</v>
      </c>
      <c r="D150" s="107" t="s">
        <v>441</v>
      </c>
      <c r="E150" s="107" t="s">
        <v>442</v>
      </c>
      <c r="F150" s="107">
        <v>335</v>
      </c>
      <c r="G150" s="211"/>
      <c r="H150" s="107">
        <v>8.86</v>
      </c>
      <c r="I150" s="203">
        <f t="shared" si="5"/>
        <v>2.6447761194029848E-2</v>
      </c>
      <c r="J150" s="213">
        <f t="shared" si="6"/>
        <v>2.6447761194029848E-2</v>
      </c>
    </row>
    <row r="151" spans="1:10">
      <c r="A151" s="107">
        <v>1</v>
      </c>
      <c r="B151" s="107">
        <v>9</v>
      </c>
      <c r="C151" s="107">
        <v>4</v>
      </c>
      <c r="D151" s="107" t="s">
        <v>437</v>
      </c>
      <c r="E151" s="107" t="s">
        <v>438</v>
      </c>
      <c r="F151" s="107">
        <v>444</v>
      </c>
      <c r="G151" s="211"/>
      <c r="H151" s="107">
        <v>9.77</v>
      </c>
      <c r="I151" s="203">
        <f t="shared" si="5"/>
        <v>2.2004504504504505E-2</v>
      </c>
      <c r="J151" s="213">
        <f t="shared" si="6"/>
        <v>2.2004504504504505E-2</v>
      </c>
    </row>
    <row r="152" spans="1:10">
      <c r="A152" s="107">
        <v>1</v>
      </c>
      <c r="B152" s="107">
        <v>9</v>
      </c>
      <c r="C152" s="107">
        <v>5</v>
      </c>
      <c r="D152" s="107" t="s">
        <v>419</v>
      </c>
      <c r="E152" s="107" t="s">
        <v>420</v>
      </c>
      <c r="F152" s="107">
        <v>170</v>
      </c>
      <c r="G152" s="211"/>
      <c r="H152" s="107">
        <v>1.86</v>
      </c>
      <c r="I152" s="203">
        <f t="shared" si="5"/>
        <v>1.0941176470588235E-2</v>
      </c>
      <c r="J152" s="213">
        <f t="shared" si="6"/>
        <v>1.0941176470588235E-2</v>
      </c>
    </row>
    <row r="153" spans="1:10">
      <c r="A153" s="107">
        <v>1</v>
      </c>
      <c r="B153" s="107">
        <v>9</v>
      </c>
      <c r="C153" s="107">
        <v>6</v>
      </c>
      <c r="D153" s="107" t="s">
        <v>435</v>
      </c>
      <c r="E153" s="107" t="s">
        <v>436</v>
      </c>
      <c r="F153" s="107">
        <v>630</v>
      </c>
      <c r="G153" s="211"/>
      <c r="H153" s="107">
        <v>13.67</v>
      </c>
      <c r="I153" s="203">
        <f t="shared" si="5"/>
        <v>2.1698412698412699E-2</v>
      </c>
      <c r="J153" s="213">
        <f t="shared" si="6"/>
        <v>2.1698412698412699E-2</v>
      </c>
    </row>
    <row r="154" spans="1:10">
      <c r="A154" s="107">
        <v>1</v>
      </c>
      <c r="B154" s="107">
        <v>9</v>
      </c>
      <c r="C154" s="107">
        <v>7</v>
      </c>
      <c r="D154" s="107" t="s">
        <v>423</v>
      </c>
      <c r="E154" s="107" t="s">
        <v>424</v>
      </c>
      <c r="F154" s="107">
        <v>60</v>
      </c>
      <c r="G154" s="211"/>
      <c r="H154" s="107">
        <v>0.52</v>
      </c>
      <c r="I154" s="203">
        <f t="shared" si="5"/>
        <v>8.6666666666666663E-3</v>
      </c>
      <c r="J154" s="213">
        <f t="shared" si="6"/>
        <v>8.6666666666666663E-3</v>
      </c>
    </row>
    <row r="155" spans="1:10">
      <c r="A155" s="107">
        <v>1</v>
      </c>
      <c r="B155" s="107">
        <v>9</v>
      </c>
      <c r="C155" s="107">
        <v>8</v>
      </c>
      <c r="D155" s="107" t="s">
        <v>445</v>
      </c>
      <c r="E155" s="107" t="s">
        <v>446</v>
      </c>
      <c r="F155" s="107">
        <v>338</v>
      </c>
      <c r="G155" s="211"/>
      <c r="H155" s="107">
        <v>8.11</v>
      </c>
      <c r="I155" s="203">
        <f t="shared" si="5"/>
        <v>2.3994082840236686E-2</v>
      </c>
      <c r="J155" s="213">
        <f t="shared" si="6"/>
        <v>2.3994082840236686E-2</v>
      </c>
    </row>
    <row r="156" spans="1:10">
      <c r="A156" s="107">
        <v>1</v>
      </c>
      <c r="B156" s="107">
        <v>9</v>
      </c>
      <c r="C156" s="107">
        <v>9</v>
      </c>
      <c r="D156" s="107" t="s">
        <v>439</v>
      </c>
      <c r="E156" s="107" t="s">
        <v>440</v>
      </c>
      <c r="F156" s="107">
        <v>600</v>
      </c>
      <c r="G156" s="211"/>
      <c r="H156" s="107">
        <v>12.53</v>
      </c>
      <c r="I156" s="203">
        <f t="shared" si="5"/>
        <v>2.0883333333333334E-2</v>
      </c>
      <c r="J156" s="213">
        <f t="shared" si="6"/>
        <v>2.0883333333333334E-2</v>
      </c>
    </row>
    <row r="157" spans="1:10">
      <c r="A157" s="107">
        <v>1</v>
      </c>
      <c r="B157" s="107">
        <v>9</v>
      </c>
      <c r="C157" s="107">
        <v>10</v>
      </c>
      <c r="D157" s="107" t="s">
        <v>421</v>
      </c>
      <c r="E157" s="107" t="s">
        <v>422</v>
      </c>
      <c r="F157" s="107">
        <v>47</v>
      </c>
      <c r="G157" s="211"/>
      <c r="H157" s="107">
        <v>0.28000000000000003</v>
      </c>
      <c r="I157" s="203">
        <f t="shared" si="5"/>
        <v>5.9574468085106386E-3</v>
      </c>
      <c r="J157" s="213">
        <f t="shared" si="6"/>
        <v>5.9574468085106386E-3</v>
      </c>
    </row>
    <row r="158" spans="1:10">
      <c r="A158" s="107">
        <v>1</v>
      </c>
      <c r="B158" s="107">
        <v>9</v>
      </c>
      <c r="C158" s="107">
        <v>11</v>
      </c>
      <c r="D158" s="107" t="s">
        <v>447</v>
      </c>
      <c r="E158" s="107" t="s">
        <v>448</v>
      </c>
      <c r="F158" s="107">
        <v>298</v>
      </c>
      <c r="G158" s="211"/>
      <c r="H158" s="107">
        <v>7.41</v>
      </c>
      <c r="I158" s="203">
        <f t="shared" si="5"/>
        <v>2.4865771812080537E-2</v>
      </c>
      <c r="J158" s="213">
        <f t="shared" si="6"/>
        <v>2.4865771812080537E-2</v>
      </c>
    </row>
    <row r="159" spans="1:10">
      <c r="A159" s="107">
        <v>1</v>
      </c>
      <c r="B159" s="107">
        <v>9</v>
      </c>
      <c r="C159" s="107">
        <v>12</v>
      </c>
      <c r="D159" s="107" t="s">
        <v>443</v>
      </c>
      <c r="E159" s="107" t="s">
        <v>444</v>
      </c>
      <c r="F159" s="107">
        <v>675</v>
      </c>
      <c r="G159" s="211"/>
      <c r="H159" s="107">
        <v>17.170000000000002</v>
      </c>
      <c r="I159" s="203">
        <f t="shared" si="5"/>
        <v>2.5437037037037039E-2</v>
      </c>
      <c r="J159" s="213">
        <f t="shared" si="6"/>
        <v>2.5437037037037039E-2</v>
      </c>
    </row>
    <row r="160" spans="1:10">
      <c r="A160" s="107">
        <v>1</v>
      </c>
      <c r="B160" s="107">
        <v>9</v>
      </c>
      <c r="C160" s="107">
        <v>13</v>
      </c>
      <c r="D160" s="107" t="s">
        <v>425</v>
      </c>
      <c r="E160" s="107" t="s">
        <v>426</v>
      </c>
      <c r="F160" s="107">
        <v>47</v>
      </c>
      <c r="G160" s="211"/>
      <c r="H160" s="107">
        <v>0.51</v>
      </c>
      <c r="I160" s="203">
        <f t="shared" si="5"/>
        <v>1.0851063829787235E-2</v>
      </c>
      <c r="J160" s="213">
        <f t="shared" si="6"/>
        <v>1.0851063829787235E-2</v>
      </c>
    </row>
    <row r="161" spans="1:10">
      <c r="A161" s="107">
        <v>1</v>
      </c>
      <c r="B161" s="107">
        <v>9</v>
      </c>
      <c r="C161" s="107">
        <v>14</v>
      </c>
      <c r="D161" s="107" t="s">
        <v>451</v>
      </c>
      <c r="E161" s="107" t="s">
        <v>452</v>
      </c>
      <c r="F161" s="107">
        <v>152</v>
      </c>
      <c r="G161" s="211"/>
      <c r="H161" s="107">
        <v>3.61</v>
      </c>
      <c r="I161" s="203">
        <f t="shared" si="5"/>
        <v>2.375E-2</v>
      </c>
      <c r="J161" s="213">
        <f t="shared" si="6"/>
        <v>2.375E-2</v>
      </c>
    </row>
    <row r="162" spans="1:10">
      <c r="A162" s="107">
        <v>1</v>
      </c>
      <c r="B162" s="107">
        <v>9</v>
      </c>
      <c r="C162" s="107">
        <v>15</v>
      </c>
      <c r="D162" s="107" t="s">
        <v>427</v>
      </c>
      <c r="E162" s="107" t="s">
        <v>428</v>
      </c>
      <c r="F162" s="107">
        <v>390</v>
      </c>
      <c r="G162" s="211"/>
      <c r="H162" s="107">
        <v>6.11</v>
      </c>
      <c r="I162" s="203">
        <f t="shared" si="5"/>
        <v>1.5666666666666669E-2</v>
      </c>
      <c r="J162" s="213">
        <f t="shared" si="6"/>
        <v>1.5666666666666669E-2</v>
      </c>
    </row>
    <row r="163" spans="1:10">
      <c r="A163" s="107">
        <v>1</v>
      </c>
      <c r="B163" s="107">
        <v>9</v>
      </c>
      <c r="C163" s="107">
        <v>16</v>
      </c>
      <c r="D163" s="107" t="s">
        <v>429</v>
      </c>
      <c r="E163" s="107" t="s">
        <v>430</v>
      </c>
      <c r="F163" s="107">
        <v>343</v>
      </c>
      <c r="G163" s="211"/>
      <c r="H163" s="107">
        <v>7.36</v>
      </c>
      <c r="I163" s="203">
        <f t="shared" si="5"/>
        <v>2.1457725947521867E-2</v>
      </c>
      <c r="J163" s="213">
        <f t="shared" si="6"/>
        <v>2.1457725947521867E-2</v>
      </c>
    </row>
    <row r="164" spans="1:10">
      <c r="A164" s="107">
        <v>1</v>
      </c>
      <c r="B164" s="107">
        <v>9</v>
      </c>
      <c r="C164" s="107">
        <v>17</v>
      </c>
      <c r="D164" s="107" t="s">
        <v>449</v>
      </c>
      <c r="E164" s="107" t="s">
        <v>450</v>
      </c>
      <c r="F164" s="107">
        <v>251</v>
      </c>
      <c r="G164" s="211"/>
      <c r="H164" s="107">
        <v>4.91</v>
      </c>
      <c r="I164" s="203">
        <f t="shared" ref="I164:I195" si="7">IF(F164="","",H164/F164)</f>
        <v>1.9561752988047808E-2</v>
      </c>
      <c r="J164" s="213">
        <f t="shared" si="6"/>
        <v>1.9561752988047808E-2</v>
      </c>
    </row>
    <row r="165" spans="1:10">
      <c r="A165" s="107">
        <v>1</v>
      </c>
      <c r="B165" s="107">
        <v>9</v>
      </c>
      <c r="C165" s="107">
        <v>18</v>
      </c>
      <c r="D165" s="107" t="s">
        <v>433</v>
      </c>
      <c r="E165" s="107" t="s">
        <v>434</v>
      </c>
      <c r="F165" s="107">
        <v>329</v>
      </c>
      <c r="G165" s="211"/>
      <c r="H165" s="107">
        <v>7.53</v>
      </c>
      <c r="I165" s="203">
        <f t="shared" si="7"/>
        <v>2.2887537993920973E-2</v>
      </c>
      <c r="J165" s="213">
        <f t="shared" si="6"/>
        <v>2.2887537993920973E-2</v>
      </c>
    </row>
    <row r="166" spans="1:10">
      <c r="A166" s="201">
        <v>1</v>
      </c>
      <c r="B166" s="201">
        <v>10</v>
      </c>
      <c r="C166" s="201">
        <v>1</v>
      </c>
      <c r="D166" s="201" t="s">
        <v>477</v>
      </c>
      <c r="E166" s="201" t="s">
        <v>478</v>
      </c>
      <c r="F166" s="201">
        <v>385</v>
      </c>
      <c r="G166" s="212"/>
      <c r="H166" s="201">
        <v>10.19</v>
      </c>
      <c r="I166" s="204">
        <f t="shared" si="7"/>
        <v>2.6467532467532466E-2</v>
      </c>
      <c r="J166" s="214">
        <f t="shared" si="6"/>
        <v>2.6467532467532466E-2</v>
      </c>
    </row>
    <row r="167" spans="1:10">
      <c r="A167" s="201">
        <v>1</v>
      </c>
      <c r="B167" s="201">
        <v>10</v>
      </c>
      <c r="C167" s="201">
        <v>2</v>
      </c>
      <c r="D167" s="201" t="s">
        <v>453</v>
      </c>
      <c r="E167" s="201" t="s">
        <v>454</v>
      </c>
      <c r="F167" s="201">
        <v>50</v>
      </c>
      <c r="G167" s="212"/>
      <c r="H167" s="201">
        <v>0.31</v>
      </c>
      <c r="I167" s="204">
        <f t="shared" si="7"/>
        <v>6.1999999999999998E-3</v>
      </c>
      <c r="J167" s="214">
        <f t="shared" si="6"/>
        <v>6.1999999999999998E-3</v>
      </c>
    </row>
    <row r="168" spans="1:10">
      <c r="A168" s="201">
        <v>1</v>
      </c>
      <c r="B168" s="201">
        <v>10</v>
      </c>
      <c r="C168" s="201">
        <v>3</v>
      </c>
      <c r="D168" s="201" t="s">
        <v>465</v>
      </c>
      <c r="E168" s="201" t="s">
        <v>466</v>
      </c>
      <c r="F168" s="201">
        <v>450</v>
      </c>
      <c r="G168" s="212"/>
      <c r="H168" s="201">
        <v>12.13</v>
      </c>
      <c r="I168" s="204">
        <f t="shared" si="7"/>
        <v>2.6955555555555559E-2</v>
      </c>
      <c r="J168" s="214">
        <f t="shared" si="6"/>
        <v>2.6955555555555559E-2</v>
      </c>
    </row>
    <row r="169" spans="1:10">
      <c r="A169" s="201">
        <v>1</v>
      </c>
      <c r="B169" s="201">
        <v>10</v>
      </c>
      <c r="C169" s="201">
        <v>4</v>
      </c>
      <c r="D169" s="201" t="s">
        <v>483</v>
      </c>
      <c r="E169" s="201" t="s">
        <v>484</v>
      </c>
      <c r="F169" s="201">
        <v>0</v>
      </c>
      <c r="G169" s="212"/>
      <c r="H169" s="201">
        <v>0</v>
      </c>
      <c r="I169" s="204" t="e">
        <f t="shared" si="7"/>
        <v>#DIV/0!</v>
      </c>
      <c r="J169" s="214" t="e">
        <f t="shared" si="6"/>
        <v>#DIV/0!</v>
      </c>
    </row>
    <row r="170" spans="1:10">
      <c r="A170" s="201">
        <v>1</v>
      </c>
      <c r="B170" s="201">
        <v>10</v>
      </c>
      <c r="C170" s="201">
        <v>5</v>
      </c>
      <c r="D170" s="201" t="s">
        <v>467</v>
      </c>
      <c r="E170" s="201" t="s">
        <v>468</v>
      </c>
      <c r="F170" s="201">
        <v>235</v>
      </c>
      <c r="G170" s="212"/>
      <c r="H170" s="201">
        <v>4.49</v>
      </c>
      <c r="I170" s="204">
        <f t="shared" si="7"/>
        <v>1.9106382978723406E-2</v>
      </c>
      <c r="J170" s="214">
        <f t="shared" si="6"/>
        <v>1.9106382978723406E-2</v>
      </c>
    </row>
    <row r="171" spans="1:10">
      <c r="A171" s="201">
        <v>1</v>
      </c>
      <c r="B171" s="201">
        <v>10</v>
      </c>
      <c r="C171" s="201">
        <v>6</v>
      </c>
      <c r="D171" s="201" t="s">
        <v>459</v>
      </c>
      <c r="E171" s="201" t="s">
        <v>460</v>
      </c>
      <c r="F171" s="201">
        <v>182</v>
      </c>
      <c r="G171" s="212"/>
      <c r="H171" s="201">
        <v>5.7</v>
      </c>
      <c r="I171" s="204">
        <f t="shared" si="7"/>
        <v>3.1318681318681318E-2</v>
      </c>
      <c r="J171" s="214">
        <f t="shared" si="6"/>
        <v>3.1318681318681318E-2</v>
      </c>
    </row>
    <row r="172" spans="1:10">
      <c r="A172" s="201">
        <v>1</v>
      </c>
      <c r="B172" s="201">
        <v>10</v>
      </c>
      <c r="C172" s="201">
        <v>7</v>
      </c>
      <c r="D172" s="201" t="s">
        <v>469</v>
      </c>
      <c r="E172" s="201" t="s">
        <v>470</v>
      </c>
      <c r="F172" s="201">
        <v>750</v>
      </c>
      <c r="G172" s="212"/>
      <c r="H172" s="201">
        <v>12.77</v>
      </c>
      <c r="I172" s="204">
        <f t="shared" si="7"/>
        <v>1.7026666666666666E-2</v>
      </c>
      <c r="J172" s="214">
        <f t="shared" si="6"/>
        <v>1.7026666666666666E-2</v>
      </c>
    </row>
    <row r="173" spans="1:10">
      <c r="A173" s="201">
        <v>1</v>
      </c>
      <c r="B173" s="201">
        <v>10</v>
      </c>
      <c r="C173" s="201">
        <v>8</v>
      </c>
      <c r="D173" s="201" t="s">
        <v>461</v>
      </c>
      <c r="E173" s="201" t="s">
        <v>462</v>
      </c>
      <c r="F173" s="201">
        <v>905</v>
      </c>
      <c r="G173" s="212"/>
      <c r="H173" s="201">
        <v>21.5</v>
      </c>
      <c r="I173" s="204">
        <f t="shared" si="7"/>
        <v>2.3756906077348067E-2</v>
      </c>
      <c r="J173" s="214">
        <f t="shared" si="6"/>
        <v>2.3756906077348067E-2</v>
      </c>
    </row>
    <row r="174" spans="1:10">
      <c r="A174" s="201">
        <v>1</v>
      </c>
      <c r="B174" s="201">
        <v>10</v>
      </c>
      <c r="C174" s="201">
        <v>9</v>
      </c>
      <c r="D174" s="201" t="s">
        <v>487</v>
      </c>
      <c r="E174" s="201" t="s">
        <v>488</v>
      </c>
      <c r="F174" s="201">
        <v>635</v>
      </c>
      <c r="G174" s="212"/>
      <c r="H174" s="201">
        <v>13.49</v>
      </c>
      <c r="I174" s="204">
        <f t="shared" si="7"/>
        <v>2.1244094488188977E-2</v>
      </c>
      <c r="J174" s="214">
        <f t="shared" si="6"/>
        <v>2.1244094488188977E-2</v>
      </c>
    </row>
    <row r="175" spans="1:10">
      <c r="A175" s="201">
        <v>1</v>
      </c>
      <c r="B175" s="201">
        <v>10</v>
      </c>
      <c r="C175" s="201">
        <v>10</v>
      </c>
      <c r="D175" s="201" t="s">
        <v>473</v>
      </c>
      <c r="E175" s="201" t="s">
        <v>474</v>
      </c>
      <c r="F175" s="201">
        <v>112</v>
      </c>
      <c r="G175" s="212"/>
      <c r="H175" s="201">
        <v>1.63</v>
      </c>
      <c r="I175" s="204">
        <f t="shared" si="7"/>
        <v>1.4553571428571428E-2</v>
      </c>
      <c r="J175" s="214">
        <f t="shared" si="6"/>
        <v>1.4553571428571428E-2</v>
      </c>
    </row>
    <row r="176" spans="1:10">
      <c r="A176" s="201">
        <v>1</v>
      </c>
      <c r="B176" s="201">
        <v>10</v>
      </c>
      <c r="C176" s="201">
        <v>11</v>
      </c>
      <c r="D176" s="201" t="s">
        <v>479</v>
      </c>
      <c r="E176" s="201" t="s">
        <v>480</v>
      </c>
      <c r="F176" s="201">
        <v>85</v>
      </c>
      <c r="G176" s="212"/>
      <c r="H176" s="201">
        <v>0.74</v>
      </c>
      <c r="I176" s="204">
        <f t="shared" si="7"/>
        <v>8.7058823529411761E-3</v>
      </c>
      <c r="J176" s="214">
        <f t="shared" si="6"/>
        <v>8.7058823529411761E-3</v>
      </c>
    </row>
    <row r="177" spans="1:10">
      <c r="A177" s="201">
        <v>1</v>
      </c>
      <c r="B177" s="201">
        <v>10</v>
      </c>
      <c r="C177" s="201">
        <v>12</v>
      </c>
      <c r="D177" s="201" t="s">
        <v>457</v>
      </c>
      <c r="E177" s="201" t="s">
        <v>458</v>
      </c>
      <c r="F177" s="201">
        <v>405</v>
      </c>
      <c r="G177" s="212"/>
      <c r="H177" s="201">
        <v>9.77</v>
      </c>
      <c r="I177" s="204">
        <f t="shared" si="7"/>
        <v>2.4123456790123454E-2</v>
      </c>
      <c r="J177" s="214">
        <f t="shared" si="6"/>
        <v>2.4123456790123454E-2</v>
      </c>
    </row>
    <row r="178" spans="1:10">
      <c r="A178" s="201">
        <v>1</v>
      </c>
      <c r="B178" s="201">
        <v>10</v>
      </c>
      <c r="C178" s="201">
        <v>13</v>
      </c>
      <c r="D178" s="201" t="s">
        <v>481</v>
      </c>
      <c r="E178" s="201" t="s">
        <v>482</v>
      </c>
      <c r="F178" s="201">
        <v>980</v>
      </c>
      <c r="G178" s="212"/>
      <c r="H178" s="201">
        <v>19.850000000000001</v>
      </c>
      <c r="I178" s="204">
        <f t="shared" si="7"/>
        <v>2.0255102040816327E-2</v>
      </c>
      <c r="J178" s="214">
        <f t="shared" si="6"/>
        <v>2.0255102040816327E-2</v>
      </c>
    </row>
    <row r="179" spans="1:10">
      <c r="A179" s="201">
        <v>1</v>
      </c>
      <c r="B179" s="201">
        <v>10</v>
      </c>
      <c r="C179" s="201">
        <v>14</v>
      </c>
      <c r="D179" s="201" t="s">
        <v>475</v>
      </c>
      <c r="E179" s="201" t="s">
        <v>476</v>
      </c>
      <c r="F179" s="201">
        <v>700</v>
      </c>
      <c r="G179" s="212"/>
      <c r="H179" s="201">
        <v>10.87</v>
      </c>
      <c r="I179" s="204">
        <f t="shared" si="7"/>
        <v>1.5528571428571428E-2</v>
      </c>
      <c r="J179" s="214">
        <f t="shared" si="6"/>
        <v>1.5528571428571428E-2</v>
      </c>
    </row>
    <row r="180" spans="1:10">
      <c r="A180" s="201">
        <v>1</v>
      </c>
      <c r="B180" s="201">
        <v>10</v>
      </c>
      <c r="C180" s="201">
        <v>15</v>
      </c>
      <c r="D180" s="201" t="s">
        <v>485</v>
      </c>
      <c r="E180" s="201" t="s">
        <v>486</v>
      </c>
      <c r="F180" s="201">
        <v>305</v>
      </c>
      <c r="G180" s="212"/>
      <c r="H180" s="201">
        <v>5.59</v>
      </c>
      <c r="I180" s="204">
        <f t="shared" si="7"/>
        <v>1.8327868852459017E-2</v>
      </c>
      <c r="J180" s="214">
        <f t="shared" si="6"/>
        <v>1.8327868852459017E-2</v>
      </c>
    </row>
    <row r="181" spans="1:10">
      <c r="A181" s="201">
        <v>1</v>
      </c>
      <c r="B181" s="201">
        <v>10</v>
      </c>
      <c r="C181" s="201">
        <v>16</v>
      </c>
      <c r="D181" s="201" t="s">
        <v>463</v>
      </c>
      <c r="E181" s="201" t="s">
        <v>464</v>
      </c>
      <c r="F181" s="201">
        <v>105</v>
      </c>
      <c r="G181" s="212"/>
      <c r="H181" s="201">
        <v>1.1000000000000001</v>
      </c>
      <c r="I181" s="204">
        <f t="shared" si="7"/>
        <v>1.0476190476190477E-2</v>
      </c>
      <c r="J181" s="214">
        <f t="shared" si="6"/>
        <v>1.0476190476190477E-2</v>
      </c>
    </row>
    <row r="182" spans="1:10">
      <c r="A182" s="201">
        <v>1</v>
      </c>
      <c r="B182" s="201">
        <v>10</v>
      </c>
      <c r="C182" s="201">
        <v>17</v>
      </c>
      <c r="D182" s="201" t="s">
        <v>471</v>
      </c>
      <c r="E182" s="201" t="s">
        <v>472</v>
      </c>
      <c r="F182" s="201">
        <v>420</v>
      </c>
      <c r="G182" s="212"/>
      <c r="H182" s="201">
        <v>9.14</v>
      </c>
      <c r="I182" s="204">
        <f t="shared" si="7"/>
        <v>2.1761904761904764E-2</v>
      </c>
      <c r="J182" s="214">
        <f t="shared" si="6"/>
        <v>2.1761904761904764E-2</v>
      </c>
    </row>
    <row r="183" spans="1:10">
      <c r="A183" s="201">
        <v>1</v>
      </c>
      <c r="B183" s="201">
        <v>10</v>
      </c>
      <c r="C183" s="201">
        <v>18</v>
      </c>
      <c r="D183" s="201" t="s">
        <v>455</v>
      </c>
      <c r="E183" s="201" t="s">
        <v>456</v>
      </c>
      <c r="F183" s="201">
        <v>960</v>
      </c>
      <c r="G183" s="212"/>
      <c r="H183" s="201">
        <v>17.27</v>
      </c>
      <c r="I183" s="204">
        <f t="shared" si="7"/>
        <v>1.7989583333333333E-2</v>
      </c>
      <c r="J183" s="214">
        <f t="shared" si="6"/>
        <v>1.7989583333333333E-2</v>
      </c>
    </row>
    <row r="184" spans="1:10">
      <c r="A184" s="107">
        <v>1</v>
      </c>
      <c r="B184" s="107">
        <v>11</v>
      </c>
      <c r="C184" s="107">
        <v>1</v>
      </c>
      <c r="D184" s="107" t="s">
        <v>506</v>
      </c>
      <c r="E184" s="107" t="s">
        <v>507</v>
      </c>
      <c r="F184" s="107">
        <v>424</v>
      </c>
      <c r="G184" s="211"/>
      <c r="H184" s="107">
        <v>15.14</v>
      </c>
      <c r="I184" s="203">
        <f t="shared" si="7"/>
        <v>3.5707547169811324E-2</v>
      </c>
      <c r="J184" s="213">
        <f t="shared" si="6"/>
        <v>3.5707547169811324E-2</v>
      </c>
    </row>
    <row r="185" spans="1:10">
      <c r="A185" s="107">
        <v>1</v>
      </c>
      <c r="B185" s="107">
        <v>11</v>
      </c>
      <c r="C185" s="107">
        <v>2</v>
      </c>
      <c r="D185" s="107" t="s">
        <v>508</v>
      </c>
      <c r="E185" s="107" t="s">
        <v>509</v>
      </c>
      <c r="F185" s="107">
        <v>104</v>
      </c>
      <c r="G185" s="211"/>
      <c r="H185" s="107">
        <v>3.03</v>
      </c>
      <c r="I185" s="203">
        <f t="shared" si="7"/>
        <v>2.9134615384615384E-2</v>
      </c>
      <c r="J185" s="213">
        <f t="shared" si="6"/>
        <v>2.9134615384615384E-2</v>
      </c>
    </row>
    <row r="186" spans="1:10">
      <c r="A186" s="107">
        <v>1</v>
      </c>
      <c r="B186" s="107">
        <v>11</v>
      </c>
      <c r="C186" s="107">
        <v>3</v>
      </c>
      <c r="D186" s="107" t="s">
        <v>500</v>
      </c>
      <c r="E186" s="107" t="s">
        <v>501</v>
      </c>
      <c r="F186" s="107">
        <v>733</v>
      </c>
      <c r="G186" s="211"/>
      <c r="H186" s="107">
        <v>21.1</v>
      </c>
      <c r="I186" s="203">
        <f t="shared" si="7"/>
        <v>2.8785811732605731E-2</v>
      </c>
      <c r="J186" s="213">
        <f t="shared" si="6"/>
        <v>2.8785811732605731E-2</v>
      </c>
    </row>
    <row r="187" spans="1:10">
      <c r="A187" s="107">
        <v>1</v>
      </c>
      <c r="B187" s="107">
        <v>11</v>
      </c>
      <c r="C187" s="107">
        <v>4</v>
      </c>
      <c r="D187" s="107" t="s">
        <v>491</v>
      </c>
      <c r="E187" s="107" t="s">
        <v>492</v>
      </c>
      <c r="F187" s="107">
        <v>166</v>
      </c>
      <c r="G187" s="211"/>
      <c r="H187" s="107">
        <v>5.76</v>
      </c>
      <c r="I187" s="203">
        <f t="shared" si="7"/>
        <v>3.4698795180722893E-2</v>
      </c>
      <c r="J187" s="213">
        <f t="shared" si="6"/>
        <v>3.4698795180722893E-2</v>
      </c>
    </row>
    <row r="188" spans="1:10">
      <c r="A188" s="107">
        <v>1</v>
      </c>
      <c r="B188" s="107">
        <v>11</v>
      </c>
      <c r="C188" s="107">
        <v>5</v>
      </c>
      <c r="D188" s="107" t="s">
        <v>493</v>
      </c>
      <c r="E188" s="107" t="s">
        <v>494</v>
      </c>
      <c r="F188" s="107">
        <v>162</v>
      </c>
      <c r="G188" s="211"/>
      <c r="H188" s="107">
        <v>4.4400000000000004</v>
      </c>
      <c r="I188" s="203">
        <f t="shared" si="7"/>
        <v>2.7407407407407408E-2</v>
      </c>
      <c r="J188" s="213">
        <f t="shared" si="6"/>
        <v>2.7407407407407408E-2</v>
      </c>
    </row>
    <row r="189" spans="1:10">
      <c r="A189" s="107">
        <v>1</v>
      </c>
      <c r="B189" s="107">
        <v>11</v>
      </c>
      <c r="C189" s="107">
        <v>6</v>
      </c>
      <c r="D189" s="107" t="s">
        <v>504</v>
      </c>
      <c r="E189" s="107" t="s">
        <v>505</v>
      </c>
      <c r="F189" s="107">
        <v>88</v>
      </c>
      <c r="G189" s="211"/>
      <c r="H189" s="107">
        <v>1.56</v>
      </c>
      <c r="I189" s="203">
        <f t="shared" si="7"/>
        <v>1.7727272727272727E-2</v>
      </c>
      <c r="J189" s="213">
        <f t="shared" si="6"/>
        <v>1.7727272727272727E-2</v>
      </c>
    </row>
    <row r="190" spans="1:10">
      <c r="A190" s="107">
        <v>1</v>
      </c>
      <c r="B190" s="107">
        <v>11</v>
      </c>
      <c r="C190" s="107">
        <v>7</v>
      </c>
      <c r="D190" s="107" t="s">
        <v>517</v>
      </c>
      <c r="E190" s="107" t="s">
        <v>518</v>
      </c>
      <c r="F190" s="107">
        <v>612</v>
      </c>
      <c r="G190" s="211"/>
      <c r="H190" s="107">
        <v>13.23</v>
      </c>
      <c r="I190" s="203">
        <f t="shared" si="7"/>
        <v>2.161764705882353E-2</v>
      </c>
      <c r="J190" s="213">
        <f t="shared" si="6"/>
        <v>2.161764705882353E-2</v>
      </c>
    </row>
    <row r="191" spans="1:10">
      <c r="A191" s="107">
        <v>1</v>
      </c>
      <c r="B191" s="107">
        <v>11</v>
      </c>
      <c r="C191" s="107">
        <v>8</v>
      </c>
      <c r="D191" s="107" t="s">
        <v>511</v>
      </c>
      <c r="E191" s="107" t="s">
        <v>512</v>
      </c>
      <c r="F191" s="107">
        <v>449</v>
      </c>
      <c r="G191" s="211"/>
      <c r="H191" s="107">
        <v>15.41</v>
      </c>
      <c r="I191" s="203">
        <f t="shared" si="7"/>
        <v>3.4320712694877506E-2</v>
      </c>
      <c r="J191" s="213">
        <f t="shared" si="6"/>
        <v>3.4320712694877506E-2</v>
      </c>
    </row>
    <row r="192" spans="1:10">
      <c r="A192" s="107">
        <v>1</v>
      </c>
      <c r="B192" s="107">
        <v>11</v>
      </c>
      <c r="C192" s="107">
        <v>9</v>
      </c>
      <c r="D192" s="107" t="s">
        <v>519</v>
      </c>
      <c r="E192" s="107" t="s">
        <v>503</v>
      </c>
      <c r="F192" s="107">
        <v>146</v>
      </c>
      <c r="G192" s="211"/>
      <c r="H192" s="107">
        <v>4.6900000000000004</v>
      </c>
      <c r="I192" s="203">
        <f t="shared" si="7"/>
        <v>3.2123287671232882E-2</v>
      </c>
      <c r="J192" s="213">
        <f t="shared" si="6"/>
        <v>3.2123287671232882E-2</v>
      </c>
    </row>
    <row r="193" spans="1:10">
      <c r="A193" s="107">
        <v>1</v>
      </c>
      <c r="B193" s="107">
        <v>11</v>
      </c>
      <c r="C193" s="107">
        <v>10</v>
      </c>
      <c r="D193" s="107" t="s">
        <v>502</v>
      </c>
      <c r="E193" s="107" t="s">
        <v>503</v>
      </c>
      <c r="F193" s="107">
        <v>336</v>
      </c>
      <c r="G193" s="211"/>
      <c r="H193" s="107">
        <v>9.52</v>
      </c>
      <c r="I193" s="203">
        <f t="shared" si="7"/>
        <v>2.8333333333333332E-2</v>
      </c>
      <c r="J193" s="213">
        <f t="shared" si="6"/>
        <v>2.8333333333333332E-2</v>
      </c>
    </row>
    <row r="194" spans="1:10">
      <c r="A194" s="107">
        <v>1</v>
      </c>
      <c r="B194" s="107">
        <v>11</v>
      </c>
      <c r="C194" s="107">
        <v>11</v>
      </c>
      <c r="D194" s="107" t="s">
        <v>495</v>
      </c>
      <c r="E194" s="107" t="s">
        <v>496</v>
      </c>
      <c r="F194" s="107">
        <v>285</v>
      </c>
      <c r="G194" s="211"/>
      <c r="H194" s="107">
        <v>10.39</v>
      </c>
      <c r="I194" s="203">
        <f t="shared" si="7"/>
        <v>3.6456140350877193E-2</v>
      </c>
      <c r="J194" s="213">
        <f t="shared" si="6"/>
        <v>3.6456140350877193E-2</v>
      </c>
    </row>
    <row r="195" spans="1:10">
      <c r="A195" s="107">
        <v>1</v>
      </c>
      <c r="B195" s="107">
        <v>11</v>
      </c>
      <c r="C195" s="107">
        <v>12</v>
      </c>
      <c r="D195" s="107" t="s">
        <v>516</v>
      </c>
      <c r="E195" s="107" t="s">
        <v>503</v>
      </c>
      <c r="F195" s="107">
        <v>531</v>
      </c>
      <c r="G195" s="211"/>
      <c r="H195" s="107">
        <v>17.34</v>
      </c>
      <c r="I195" s="203">
        <f t="shared" si="7"/>
        <v>3.2655367231638414E-2</v>
      </c>
      <c r="J195" s="213">
        <f t="shared" si="6"/>
        <v>3.2655367231638414E-2</v>
      </c>
    </row>
    <row r="196" spans="1:10">
      <c r="A196" s="107">
        <v>1</v>
      </c>
      <c r="B196" s="107">
        <v>11</v>
      </c>
      <c r="C196" s="107">
        <v>13</v>
      </c>
      <c r="D196" s="107" t="s">
        <v>514</v>
      </c>
      <c r="E196" s="107" t="s">
        <v>515</v>
      </c>
      <c r="F196" s="107">
        <v>586</v>
      </c>
      <c r="G196" s="211"/>
      <c r="H196" s="107">
        <v>12.49</v>
      </c>
      <c r="I196" s="203">
        <f t="shared" ref="I196:I199" si="8">IF(F196="","",H196/F196)</f>
        <v>2.1313993174061435E-2</v>
      </c>
      <c r="J196" s="213">
        <f t="shared" si="6"/>
        <v>2.1313993174061435E-2</v>
      </c>
    </row>
    <row r="197" spans="1:10">
      <c r="A197" s="107">
        <v>1</v>
      </c>
      <c r="B197" s="107">
        <v>11</v>
      </c>
      <c r="C197" s="107">
        <v>14</v>
      </c>
      <c r="D197" s="107" t="s">
        <v>510</v>
      </c>
      <c r="E197" s="107" t="s">
        <v>503</v>
      </c>
      <c r="F197" s="107">
        <v>524</v>
      </c>
      <c r="G197" s="211"/>
      <c r="H197" s="107">
        <v>16.43</v>
      </c>
      <c r="I197" s="203">
        <f t="shared" si="8"/>
        <v>3.1354961832061067E-2</v>
      </c>
      <c r="J197" s="213">
        <f t="shared" ref="J197:J260" si="9">IF(G197="",I197,I197/(1-G197))</f>
        <v>3.1354961832061067E-2</v>
      </c>
    </row>
    <row r="198" spans="1:10">
      <c r="A198" s="107">
        <v>1</v>
      </c>
      <c r="B198" s="107">
        <v>11</v>
      </c>
      <c r="C198" s="107">
        <v>15</v>
      </c>
      <c r="D198" s="107" t="s">
        <v>489</v>
      </c>
      <c r="E198" s="107" t="s">
        <v>490</v>
      </c>
      <c r="F198" s="107">
        <v>706</v>
      </c>
      <c r="G198" s="211"/>
      <c r="H198" s="107">
        <v>21.62</v>
      </c>
      <c r="I198" s="203">
        <f t="shared" si="8"/>
        <v>3.0623229461756375E-2</v>
      </c>
      <c r="J198" s="213">
        <f t="shared" si="9"/>
        <v>3.0623229461756375E-2</v>
      </c>
    </row>
    <row r="199" spans="1:10">
      <c r="A199" s="107">
        <v>1</v>
      </c>
      <c r="B199" s="107">
        <v>11</v>
      </c>
      <c r="C199" s="107">
        <v>16</v>
      </c>
      <c r="D199" s="107" t="s">
        <v>498</v>
      </c>
      <c r="E199" s="107" t="s">
        <v>499</v>
      </c>
      <c r="F199" s="107">
        <v>740</v>
      </c>
      <c r="G199" s="211"/>
      <c r="H199" s="107">
        <v>20.27</v>
      </c>
      <c r="I199" s="203">
        <f t="shared" si="8"/>
        <v>2.7391891891891892E-2</v>
      </c>
      <c r="J199" s="213">
        <f t="shared" si="9"/>
        <v>2.7391891891891892E-2</v>
      </c>
    </row>
    <row r="200" spans="1:10">
      <c r="A200" s="107">
        <v>1</v>
      </c>
      <c r="B200" s="107">
        <v>11</v>
      </c>
      <c r="C200" s="107">
        <v>17</v>
      </c>
      <c r="D200" s="107" t="s">
        <v>497</v>
      </c>
      <c r="E200" s="107" t="s">
        <v>496</v>
      </c>
      <c r="F200" s="107">
        <v>0</v>
      </c>
      <c r="G200" s="211"/>
      <c r="H200" s="107">
        <v>0</v>
      </c>
      <c r="I200" s="203">
        <v>0</v>
      </c>
      <c r="J200" s="213">
        <f t="shared" si="9"/>
        <v>0</v>
      </c>
    </row>
    <row r="201" spans="1:10">
      <c r="A201" s="107">
        <v>1</v>
      </c>
      <c r="B201" s="107">
        <v>11</v>
      </c>
      <c r="C201" s="107">
        <v>18</v>
      </c>
      <c r="D201" s="107" t="s">
        <v>513</v>
      </c>
      <c r="E201" s="107" t="s">
        <v>505</v>
      </c>
      <c r="F201" s="107">
        <v>368</v>
      </c>
      <c r="G201" s="211"/>
      <c r="H201" s="107">
        <v>12.82</v>
      </c>
      <c r="I201" s="203">
        <f t="shared" ref="I201:I264" si="10">IF(F201="","",H201/F201)</f>
        <v>3.4836956521739133E-2</v>
      </c>
      <c r="J201" s="213">
        <f t="shared" si="9"/>
        <v>3.4836956521739133E-2</v>
      </c>
    </row>
    <row r="202" spans="1:10">
      <c r="A202" s="201">
        <v>1</v>
      </c>
      <c r="B202" s="201">
        <v>12</v>
      </c>
      <c r="C202" s="201">
        <v>1</v>
      </c>
      <c r="D202" s="201" t="s">
        <v>526</v>
      </c>
      <c r="E202" s="201" t="s">
        <v>527</v>
      </c>
      <c r="F202" s="201">
        <v>360</v>
      </c>
      <c r="G202" s="212"/>
      <c r="H202" s="201">
        <v>6.14</v>
      </c>
      <c r="I202" s="204">
        <f t="shared" si="10"/>
        <v>1.7055555555555553E-2</v>
      </c>
      <c r="J202" s="214">
        <f t="shared" si="9"/>
        <v>1.7055555555555553E-2</v>
      </c>
    </row>
    <row r="203" spans="1:10">
      <c r="A203" s="201">
        <v>1</v>
      </c>
      <c r="B203" s="201">
        <v>12</v>
      </c>
      <c r="C203" s="201">
        <v>2</v>
      </c>
      <c r="D203" s="201" t="s">
        <v>540</v>
      </c>
      <c r="E203" s="201" t="s">
        <v>541</v>
      </c>
      <c r="F203" s="201">
        <v>480</v>
      </c>
      <c r="G203" s="212"/>
      <c r="H203" s="201">
        <v>14.49</v>
      </c>
      <c r="I203" s="204">
        <f t="shared" si="10"/>
        <v>3.0187499999999999E-2</v>
      </c>
      <c r="J203" s="214">
        <f t="shared" si="9"/>
        <v>3.0187499999999999E-2</v>
      </c>
    </row>
    <row r="204" spans="1:10">
      <c r="A204" s="201">
        <v>1</v>
      </c>
      <c r="B204" s="201">
        <v>12</v>
      </c>
      <c r="C204" s="201">
        <v>3</v>
      </c>
      <c r="D204" s="201" t="s">
        <v>529</v>
      </c>
      <c r="E204" s="201" t="s">
        <v>503</v>
      </c>
      <c r="F204" s="201">
        <v>912</v>
      </c>
      <c r="G204" s="212"/>
      <c r="H204" s="201">
        <v>20.83</v>
      </c>
      <c r="I204" s="204">
        <f t="shared" si="10"/>
        <v>2.2839912280701754E-2</v>
      </c>
      <c r="J204" s="214">
        <f t="shared" si="9"/>
        <v>2.2839912280701754E-2</v>
      </c>
    </row>
    <row r="205" spans="1:10">
      <c r="A205" s="201">
        <v>1</v>
      </c>
      <c r="B205" s="201">
        <v>12</v>
      </c>
      <c r="C205" s="201">
        <v>4</v>
      </c>
      <c r="D205" s="201" t="s">
        <v>542</v>
      </c>
      <c r="E205" s="201" t="s">
        <v>539</v>
      </c>
      <c r="F205" s="201">
        <v>510</v>
      </c>
      <c r="G205" s="212"/>
      <c r="H205" s="201">
        <v>19.84</v>
      </c>
      <c r="I205" s="204">
        <f t="shared" si="10"/>
        <v>3.8901960784313724E-2</v>
      </c>
      <c r="J205" s="214">
        <f t="shared" si="9"/>
        <v>3.8901960784313724E-2</v>
      </c>
    </row>
    <row r="206" spans="1:10">
      <c r="A206" s="201">
        <v>1</v>
      </c>
      <c r="B206" s="201">
        <v>12</v>
      </c>
      <c r="C206" s="201">
        <v>5</v>
      </c>
      <c r="D206" s="201" t="s">
        <v>538</v>
      </c>
      <c r="E206" s="201" t="s">
        <v>539</v>
      </c>
      <c r="F206" s="201">
        <v>344</v>
      </c>
      <c r="G206" s="212"/>
      <c r="H206" s="201">
        <v>12.09</v>
      </c>
      <c r="I206" s="204">
        <f t="shared" si="10"/>
        <v>3.5145348837209302E-2</v>
      </c>
      <c r="J206" s="214">
        <f t="shared" si="9"/>
        <v>3.5145348837209302E-2</v>
      </c>
    </row>
    <row r="207" spans="1:10">
      <c r="A207" s="201">
        <v>1</v>
      </c>
      <c r="B207" s="201">
        <v>12</v>
      </c>
      <c r="C207" s="201">
        <v>6</v>
      </c>
      <c r="D207" s="201" t="s">
        <v>522</v>
      </c>
      <c r="E207" s="201" t="s">
        <v>503</v>
      </c>
      <c r="F207" s="201">
        <v>312</v>
      </c>
      <c r="G207" s="212"/>
      <c r="H207" s="201">
        <v>4.3099999999999996</v>
      </c>
      <c r="I207" s="204">
        <f t="shared" si="10"/>
        <v>1.3814102564102563E-2</v>
      </c>
      <c r="J207" s="214">
        <f t="shared" si="9"/>
        <v>1.3814102564102563E-2</v>
      </c>
    </row>
    <row r="208" spans="1:10">
      <c r="A208" s="201">
        <v>1</v>
      </c>
      <c r="B208" s="201">
        <v>12</v>
      </c>
      <c r="C208" s="201">
        <v>7</v>
      </c>
      <c r="D208" s="201" t="s">
        <v>531</v>
      </c>
      <c r="E208" s="201" t="s">
        <v>503</v>
      </c>
      <c r="F208" s="201">
        <v>328</v>
      </c>
      <c r="G208" s="212"/>
      <c r="H208" s="201">
        <v>8.01</v>
      </c>
      <c r="I208" s="204">
        <f t="shared" si="10"/>
        <v>2.4420731707317074E-2</v>
      </c>
      <c r="J208" s="214">
        <f t="shared" si="9"/>
        <v>2.4420731707317074E-2</v>
      </c>
    </row>
    <row r="209" spans="1:10">
      <c r="A209" s="201">
        <v>1</v>
      </c>
      <c r="B209" s="201">
        <v>12</v>
      </c>
      <c r="C209" s="201">
        <v>8</v>
      </c>
      <c r="D209" s="201" t="s">
        <v>533</v>
      </c>
      <c r="E209" s="201" t="s">
        <v>534</v>
      </c>
      <c r="F209" s="201">
        <v>113</v>
      </c>
      <c r="G209" s="212"/>
      <c r="H209" s="201">
        <v>3.16</v>
      </c>
      <c r="I209" s="204">
        <f t="shared" si="10"/>
        <v>2.7964601769911505E-2</v>
      </c>
      <c r="J209" s="214">
        <f t="shared" si="9"/>
        <v>2.7964601769911505E-2</v>
      </c>
    </row>
    <row r="210" spans="1:10">
      <c r="A210" s="201">
        <v>1</v>
      </c>
      <c r="B210" s="201">
        <v>12</v>
      </c>
      <c r="C210" s="201">
        <v>9</v>
      </c>
      <c r="D210" s="201" t="s">
        <v>530</v>
      </c>
      <c r="E210" s="201" t="s">
        <v>518</v>
      </c>
      <c r="F210" s="201">
        <v>140</v>
      </c>
      <c r="G210" s="212"/>
      <c r="H210" s="201">
        <v>6.54</v>
      </c>
      <c r="I210" s="204">
        <f t="shared" si="10"/>
        <v>4.6714285714285715E-2</v>
      </c>
      <c r="J210" s="214">
        <f t="shared" si="9"/>
        <v>4.6714285714285715E-2</v>
      </c>
    </row>
    <row r="211" spans="1:10">
      <c r="A211" s="201">
        <v>1</v>
      </c>
      <c r="B211" s="201">
        <v>12</v>
      </c>
      <c r="C211" s="201">
        <v>10</v>
      </c>
      <c r="D211" s="201" t="s">
        <v>525</v>
      </c>
      <c r="E211" s="201" t="s">
        <v>503</v>
      </c>
      <c r="F211" s="201">
        <v>147</v>
      </c>
      <c r="G211" s="212"/>
      <c r="H211" s="201">
        <v>4.9400000000000004</v>
      </c>
      <c r="I211" s="204">
        <f t="shared" si="10"/>
        <v>3.3605442176870753E-2</v>
      </c>
      <c r="J211" s="214">
        <f t="shared" si="9"/>
        <v>3.3605442176870753E-2</v>
      </c>
    </row>
    <row r="212" spans="1:10">
      <c r="A212" s="201">
        <v>1</v>
      </c>
      <c r="B212" s="201">
        <v>12</v>
      </c>
      <c r="C212" s="201">
        <v>11</v>
      </c>
      <c r="D212" s="201" t="s">
        <v>524</v>
      </c>
      <c r="E212" s="201" t="s">
        <v>503</v>
      </c>
      <c r="F212" s="201">
        <v>400</v>
      </c>
      <c r="G212" s="212"/>
      <c r="H212" s="201">
        <v>10.32</v>
      </c>
      <c r="I212" s="204">
        <f t="shared" si="10"/>
        <v>2.58E-2</v>
      </c>
      <c r="J212" s="214">
        <f t="shared" si="9"/>
        <v>2.58E-2</v>
      </c>
    </row>
    <row r="213" spans="1:10">
      <c r="A213" s="201">
        <v>1</v>
      </c>
      <c r="B213" s="201">
        <v>12</v>
      </c>
      <c r="C213" s="201">
        <v>12</v>
      </c>
      <c r="D213" s="201" t="s">
        <v>532</v>
      </c>
      <c r="E213" s="201" t="s">
        <v>503</v>
      </c>
      <c r="F213" s="201">
        <v>214</v>
      </c>
      <c r="G213" s="212"/>
      <c r="H213" s="201">
        <v>3.82</v>
      </c>
      <c r="I213" s="204">
        <f t="shared" si="10"/>
        <v>1.7850467289719625E-2</v>
      </c>
      <c r="J213" s="214">
        <f t="shared" si="9"/>
        <v>1.7850467289719625E-2</v>
      </c>
    </row>
    <row r="214" spans="1:10">
      <c r="A214" s="201">
        <v>1</v>
      </c>
      <c r="B214" s="201">
        <v>12</v>
      </c>
      <c r="C214" s="201">
        <v>13</v>
      </c>
      <c r="D214" s="201" t="s">
        <v>523</v>
      </c>
      <c r="E214" s="201" t="s">
        <v>503</v>
      </c>
      <c r="F214" s="201">
        <v>117</v>
      </c>
      <c r="G214" s="212"/>
      <c r="H214" s="201">
        <v>2.95</v>
      </c>
      <c r="I214" s="204">
        <f t="shared" si="10"/>
        <v>2.5213675213675214E-2</v>
      </c>
      <c r="J214" s="214">
        <f t="shared" si="9"/>
        <v>2.5213675213675214E-2</v>
      </c>
    </row>
    <row r="215" spans="1:10">
      <c r="A215" s="201">
        <v>1</v>
      </c>
      <c r="B215" s="201">
        <v>12</v>
      </c>
      <c r="C215" s="201">
        <v>14</v>
      </c>
      <c r="D215" s="201" t="s">
        <v>521</v>
      </c>
      <c r="E215" s="201" t="s">
        <v>503</v>
      </c>
      <c r="F215" s="201">
        <v>146</v>
      </c>
      <c r="G215" s="212"/>
      <c r="H215" s="201">
        <v>3.66</v>
      </c>
      <c r="I215" s="204">
        <f t="shared" si="10"/>
        <v>2.5068493150684934E-2</v>
      </c>
      <c r="J215" s="214">
        <f t="shared" si="9"/>
        <v>2.5068493150684934E-2</v>
      </c>
    </row>
    <row r="216" spans="1:10">
      <c r="A216" s="201">
        <v>1</v>
      </c>
      <c r="B216" s="201">
        <v>12</v>
      </c>
      <c r="C216" s="201">
        <v>15</v>
      </c>
      <c r="D216" s="201" t="s">
        <v>528</v>
      </c>
      <c r="E216" s="201" t="s">
        <v>503</v>
      </c>
      <c r="F216" s="201">
        <v>463</v>
      </c>
      <c r="G216" s="212"/>
      <c r="H216" s="201">
        <v>7.55</v>
      </c>
      <c r="I216" s="204">
        <f t="shared" si="10"/>
        <v>1.630669546436285E-2</v>
      </c>
      <c r="J216" s="214">
        <f t="shared" si="9"/>
        <v>1.630669546436285E-2</v>
      </c>
    </row>
    <row r="217" spans="1:10">
      <c r="A217" s="201">
        <v>1</v>
      </c>
      <c r="B217" s="201">
        <v>12</v>
      </c>
      <c r="C217" s="201">
        <v>16</v>
      </c>
      <c r="D217" s="201" t="s">
        <v>535</v>
      </c>
      <c r="E217" s="201" t="s">
        <v>536</v>
      </c>
      <c r="F217" s="201">
        <v>0</v>
      </c>
      <c r="G217" s="212"/>
      <c r="H217" s="201">
        <v>0</v>
      </c>
      <c r="I217" s="204" t="e">
        <f t="shared" si="10"/>
        <v>#DIV/0!</v>
      </c>
      <c r="J217" s="214" t="e">
        <f t="shared" si="9"/>
        <v>#DIV/0!</v>
      </c>
    </row>
    <row r="218" spans="1:10">
      <c r="A218" s="201">
        <v>1</v>
      </c>
      <c r="B218" s="201">
        <v>12</v>
      </c>
      <c r="C218" s="201">
        <v>17</v>
      </c>
      <c r="D218" s="201" t="s">
        <v>520</v>
      </c>
      <c r="E218" s="201" t="s">
        <v>503</v>
      </c>
      <c r="F218" s="201">
        <v>518</v>
      </c>
      <c r="G218" s="212"/>
      <c r="H218" s="201">
        <v>15.23</v>
      </c>
      <c r="I218" s="204">
        <f t="shared" si="10"/>
        <v>2.9401544401544404E-2</v>
      </c>
      <c r="J218" s="214">
        <f t="shared" si="9"/>
        <v>2.9401544401544404E-2</v>
      </c>
    </row>
    <row r="219" spans="1:10">
      <c r="A219" s="201">
        <v>1</v>
      </c>
      <c r="B219" s="201">
        <v>12</v>
      </c>
      <c r="C219" s="201">
        <v>18</v>
      </c>
      <c r="D219" s="201" t="s">
        <v>537</v>
      </c>
      <c r="E219" s="201" t="s">
        <v>534</v>
      </c>
      <c r="F219" s="201">
        <v>186</v>
      </c>
      <c r="G219" s="212"/>
      <c r="H219" s="201">
        <v>6.9</v>
      </c>
      <c r="I219" s="204">
        <f t="shared" si="10"/>
        <v>3.7096774193548392E-2</v>
      </c>
      <c r="J219" s="214">
        <f t="shared" si="9"/>
        <v>3.7096774193548392E-2</v>
      </c>
    </row>
    <row r="220" spans="1:10">
      <c r="A220" s="107">
        <v>1</v>
      </c>
      <c r="B220" s="107">
        <v>13</v>
      </c>
      <c r="C220" s="107">
        <v>1</v>
      </c>
      <c r="D220" s="107" t="s">
        <v>543</v>
      </c>
      <c r="E220" s="107" t="s">
        <v>539</v>
      </c>
      <c r="F220" s="107">
        <v>740</v>
      </c>
      <c r="G220" s="211"/>
      <c r="H220" s="107">
        <v>11.92</v>
      </c>
      <c r="I220" s="203">
        <f t="shared" si="10"/>
        <v>1.6108108108108109E-2</v>
      </c>
      <c r="J220" s="213">
        <f t="shared" si="9"/>
        <v>1.6108108108108109E-2</v>
      </c>
    </row>
    <row r="221" spans="1:10">
      <c r="A221" s="107">
        <v>1</v>
      </c>
      <c r="B221" s="107">
        <v>13</v>
      </c>
      <c r="C221" s="107">
        <v>2</v>
      </c>
      <c r="D221" s="107" t="s">
        <v>566</v>
      </c>
      <c r="E221" s="107" t="s">
        <v>567</v>
      </c>
      <c r="F221" s="107">
        <v>430</v>
      </c>
      <c r="G221" s="211"/>
      <c r="H221" s="107">
        <v>16.77</v>
      </c>
      <c r="I221" s="203">
        <f t="shared" si="10"/>
        <v>3.9E-2</v>
      </c>
      <c r="J221" s="213">
        <f t="shared" si="9"/>
        <v>3.9E-2</v>
      </c>
    </row>
    <row r="222" spans="1:10">
      <c r="A222" s="107">
        <v>1</v>
      </c>
      <c r="B222" s="107">
        <v>13</v>
      </c>
      <c r="C222" s="107">
        <v>3</v>
      </c>
      <c r="D222" s="107" t="s">
        <v>546</v>
      </c>
      <c r="E222" s="107" t="s">
        <v>547</v>
      </c>
      <c r="F222" s="107">
        <v>370</v>
      </c>
      <c r="G222" s="211"/>
      <c r="H222" s="107">
        <v>10.42</v>
      </c>
      <c r="I222" s="203">
        <f t="shared" si="10"/>
        <v>2.8162162162162163E-2</v>
      </c>
      <c r="J222" s="213">
        <f t="shared" si="9"/>
        <v>2.8162162162162163E-2</v>
      </c>
    </row>
    <row r="223" spans="1:10">
      <c r="A223" s="107">
        <v>1</v>
      </c>
      <c r="B223" s="107">
        <v>13</v>
      </c>
      <c r="C223" s="107">
        <v>4</v>
      </c>
      <c r="D223" s="107" t="s">
        <v>544</v>
      </c>
      <c r="E223" s="107" t="s">
        <v>545</v>
      </c>
      <c r="F223" s="107">
        <v>240</v>
      </c>
      <c r="G223" s="211"/>
      <c r="H223" s="107">
        <v>8.7200000000000006</v>
      </c>
      <c r="I223" s="203">
        <f t="shared" si="10"/>
        <v>3.6333333333333336E-2</v>
      </c>
      <c r="J223" s="213">
        <f t="shared" si="9"/>
        <v>3.6333333333333336E-2</v>
      </c>
    </row>
    <row r="224" spans="1:10">
      <c r="A224" s="107">
        <v>1</v>
      </c>
      <c r="B224" s="107">
        <v>13</v>
      </c>
      <c r="C224" s="107">
        <v>5</v>
      </c>
      <c r="D224" s="107" t="s">
        <v>572</v>
      </c>
      <c r="E224" s="107" t="s">
        <v>573</v>
      </c>
      <c r="F224" s="107">
        <v>190</v>
      </c>
      <c r="G224" s="211"/>
      <c r="H224" s="107">
        <v>8.02</v>
      </c>
      <c r="I224" s="203">
        <f t="shared" si="10"/>
        <v>4.2210526315789469E-2</v>
      </c>
      <c r="J224" s="213">
        <f t="shared" si="9"/>
        <v>4.2210526315789469E-2</v>
      </c>
    </row>
    <row r="225" spans="1:10">
      <c r="A225" s="107">
        <v>1</v>
      </c>
      <c r="B225" s="107">
        <v>13</v>
      </c>
      <c r="C225" s="107">
        <v>6</v>
      </c>
      <c r="D225" s="107" t="s">
        <v>553</v>
      </c>
      <c r="E225" s="107" t="s">
        <v>547</v>
      </c>
      <c r="F225" s="107">
        <v>700</v>
      </c>
      <c r="G225" s="211"/>
      <c r="H225" s="107">
        <v>20.07</v>
      </c>
      <c r="I225" s="203">
        <f t="shared" si="10"/>
        <v>2.8671428571428573E-2</v>
      </c>
      <c r="J225" s="213">
        <f t="shared" si="9"/>
        <v>2.8671428571428573E-2</v>
      </c>
    </row>
    <row r="226" spans="1:10">
      <c r="A226" s="107">
        <v>1</v>
      </c>
      <c r="B226" s="107">
        <v>13</v>
      </c>
      <c r="C226" s="107">
        <v>7</v>
      </c>
      <c r="D226" s="107" t="s">
        <v>570</v>
      </c>
      <c r="E226" s="107" t="s">
        <v>571</v>
      </c>
      <c r="F226" s="107">
        <v>106</v>
      </c>
      <c r="G226" s="211"/>
      <c r="H226" s="107">
        <v>1.28</v>
      </c>
      <c r="I226" s="203">
        <f t="shared" si="10"/>
        <v>1.2075471698113207E-2</v>
      </c>
      <c r="J226" s="213">
        <f t="shared" si="9"/>
        <v>1.2075471698113207E-2</v>
      </c>
    </row>
    <row r="227" spans="1:10">
      <c r="A227" s="107">
        <v>1</v>
      </c>
      <c r="B227" s="107">
        <v>13</v>
      </c>
      <c r="C227" s="107">
        <v>8</v>
      </c>
      <c r="D227" s="107" t="s">
        <v>548</v>
      </c>
      <c r="E227" s="107" t="s">
        <v>549</v>
      </c>
      <c r="F227" s="107">
        <v>670</v>
      </c>
      <c r="G227" s="211"/>
      <c r="H227" s="107">
        <v>22.79</v>
      </c>
      <c r="I227" s="203">
        <f t="shared" si="10"/>
        <v>3.401492537313433E-2</v>
      </c>
      <c r="J227" s="213">
        <f t="shared" si="9"/>
        <v>3.401492537313433E-2</v>
      </c>
    </row>
    <row r="228" spans="1:10">
      <c r="A228" s="107">
        <v>1</v>
      </c>
      <c r="B228" s="107">
        <v>13</v>
      </c>
      <c r="C228" s="107">
        <v>9</v>
      </c>
      <c r="D228" s="107" t="s">
        <v>574</v>
      </c>
      <c r="E228" s="107" t="s">
        <v>575</v>
      </c>
      <c r="F228" s="107">
        <v>230</v>
      </c>
      <c r="G228" s="211"/>
      <c r="H228" s="107">
        <v>6.46</v>
      </c>
      <c r="I228" s="203">
        <f t="shared" si="10"/>
        <v>2.8086956521739131E-2</v>
      </c>
      <c r="J228" s="213">
        <f t="shared" si="9"/>
        <v>2.8086956521739131E-2</v>
      </c>
    </row>
    <row r="229" spans="1:10">
      <c r="A229" s="107">
        <v>1</v>
      </c>
      <c r="B229" s="107">
        <v>13</v>
      </c>
      <c r="C229" s="107">
        <v>10</v>
      </c>
      <c r="D229" s="107" t="s">
        <v>568</v>
      </c>
      <c r="E229" s="107" t="s">
        <v>569</v>
      </c>
      <c r="F229" s="107">
        <v>142</v>
      </c>
      <c r="G229" s="211"/>
      <c r="H229" s="107">
        <v>4.01</v>
      </c>
      <c r="I229" s="203">
        <f t="shared" si="10"/>
        <v>2.8239436619718308E-2</v>
      </c>
      <c r="J229" s="213">
        <f t="shared" si="9"/>
        <v>2.8239436619718308E-2</v>
      </c>
    </row>
    <row r="230" spans="1:10">
      <c r="A230" s="107">
        <v>1</v>
      </c>
      <c r="B230" s="107">
        <v>13</v>
      </c>
      <c r="C230" s="107">
        <v>11</v>
      </c>
      <c r="D230" s="107" t="s">
        <v>554</v>
      </c>
      <c r="E230" s="107" t="s">
        <v>555</v>
      </c>
      <c r="F230" s="107">
        <v>38</v>
      </c>
      <c r="G230" s="211"/>
      <c r="H230" s="107">
        <v>0.41</v>
      </c>
      <c r="I230" s="203">
        <f t="shared" si="10"/>
        <v>1.0789473684210526E-2</v>
      </c>
      <c r="J230" s="213">
        <f t="shared" si="9"/>
        <v>1.0789473684210526E-2</v>
      </c>
    </row>
    <row r="231" spans="1:10">
      <c r="A231" s="107">
        <v>1</v>
      </c>
      <c r="B231" s="107">
        <v>13</v>
      </c>
      <c r="C231" s="107">
        <v>12</v>
      </c>
      <c r="D231" s="107" t="s">
        <v>550</v>
      </c>
      <c r="E231" s="107" t="s">
        <v>551</v>
      </c>
      <c r="F231" s="107">
        <v>685</v>
      </c>
      <c r="G231" s="211"/>
      <c r="H231" s="107">
        <v>18.100000000000001</v>
      </c>
      <c r="I231" s="203">
        <f t="shared" si="10"/>
        <v>2.6423357664233579E-2</v>
      </c>
      <c r="J231" s="213">
        <f t="shared" si="9"/>
        <v>2.6423357664233579E-2</v>
      </c>
    </row>
    <row r="232" spans="1:10">
      <c r="A232" s="107">
        <v>1</v>
      </c>
      <c r="B232" s="107">
        <v>13</v>
      </c>
      <c r="C232" s="107">
        <v>13</v>
      </c>
      <c r="D232" s="107" t="s">
        <v>562</v>
      </c>
      <c r="E232" s="107" t="s">
        <v>563</v>
      </c>
      <c r="F232" s="107">
        <v>60</v>
      </c>
      <c r="G232" s="211"/>
      <c r="H232" s="107">
        <v>1.08</v>
      </c>
      <c r="I232" s="203">
        <f t="shared" si="10"/>
        <v>1.8000000000000002E-2</v>
      </c>
      <c r="J232" s="213">
        <f t="shared" si="9"/>
        <v>1.8000000000000002E-2</v>
      </c>
    </row>
    <row r="233" spans="1:10">
      <c r="A233" s="107">
        <v>1</v>
      </c>
      <c r="B233" s="107">
        <v>13</v>
      </c>
      <c r="C233" s="107">
        <v>14</v>
      </c>
      <c r="D233" s="107" t="s">
        <v>564</v>
      </c>
      <c r="E233" s="107" t="s">
        <v>565</v>
      </c>
      <c r="F233" s="107">
        <v>183</v>
      </c>
      <c r="G233" s="211"/>
      <c r="H233" s="107">
        <v>6.22</v>
      </c>
      <c r="I233" s="203">
        <f t="shared" si="10"/>
        <v>3.3989071038251363E-2</v>
      </c>
      <c r="J233" s="213">
        <f t="shared" si="9"/>
        <v>3.3989071038251363E-2</v>
      </c>
    </row>
    <row r="234" spans="1:10">
      <c r="A234" s="107">
        <v>1</v>
      </c>
      <c r="B234" s="107">
        <v>13</v>
      </c>
      <c r="C234" s="107">
        <v>15</v>
      </c>
      <c r="D234" s="107" t="s">
        <v>552</v>
      </c>
      <c r="E234" s="107" t="s">
        <v>547</v>
      </c>
      <c r="F234" s="107">
        <v>495</v>
      </c>
      <c r="G234" s="211"/>
      <c r="H234" s="107">
        <v>15.23</v>
      </c>
      <c r="I234" s="203">
        <f t="shared" si="10"/>
        <v>3.076767676767677E-2</v>
      </c>
      <c r="J234" s="213">
        <f t="shared" si="9"/>
        <v>3.076767676767677E-2</v>
      </c>
    </row>
    <row r="235" spans="1:10">
      <c r="A235" s="107">
        <v>1</v>
      </c>
      <c r="B235" s="107">
        <v>13</v>
      </c>
      <c r="C235" s="107">
        <v>16</v>
      </c>
      <c r="D235" s="107" t="s">
        <v>560</v>
      </c>
      <c r="E235" s="107" t="s">
        <v>561</v>
      </c>
      <c r="F235" s="107">
        <v>163</v>
      </c>
      <c r="G235" s="211"/>
      <c r="H235" s="107">
        <v>4.71</v>
      </c>
      <c r="I235" s="203">
        <f t="shared" si="10"/>
        <v>2.8895705521472394E-2</v>
      </c>
      <c r="J235" s="213">
        <f t="shared" si="9"/>
        <v>2.8895705521472394E-2</v>
      </c>
    </row>
    <row r="236" spans="1:10">
      <c r="A236" s="107">
        <v>1</v>
      </c>
      <c r="B236" s="107">
        <v>13</v>
      </c>
      <c r="C236" s="107">
        <v>17</v>
      </c>
      <c r="D236" s="107" t="s">
        <v>558</v>
      </c>
      <c r="E236" s="107" t="s">
        <v>559</v>
      </c>
      <c r="F236" s="107">
        <v>245</v>
      </c>
      <c r="G236" s="211"/>
      <c r="H236" s="107">
        <v>3.67</v>
      </c>
      <c r="I236" s="203">
        <f t="shared" si="10"/>
        <v>1.4979591836734694E-2</v>
      </c>
      <c r="J236" s="213">
        <f t="shared" si="9"/>
        <v>1.4979591836734694E-2</v>
      </c>
    </row>
    <row r="237" spans="1:10">
      <c r="A237" s="107">
        <v>1</v>
      </c>
      <c r="B237" s="107">
        <v>13</v>
      </c>
      <c r="C237" s="107">
        <v>18</v>
      </c>
      <c r="D237" s="107" t="s">
        <v>556</v>
      </c>
      <c r="E237" s="107" t="s">
        <v>557</v>
      </c>
      <c r="F237" s="107">
        <v>80</v>
      </c>
      <c r="G237" s="211"/>
      <c r="H237" s="107">
        <v>1.23</v>
      </c>
      <c r="I237" s="203">
        <f t="shared" si="10"/>
        <v>1.5375E-2</v>
      </c>
      <c r="J237" s="213">
        <f t="shared" si="9"/>
        <v>1.5375E-2</v>
      </c>
    </row>
    <row r="238" spans="1:10">
      <c r="A238" s="201">
        <v>1</v>
      </c>
      <c r="B238" s="201">
        <v>14</v>
      </c>
      <c r="C238" s="201">
        <v>1</v>
      </c>
      <c r="D238" s="201" t="s">
        <v>576</v>
      </c>
      <c r="E238" s="201" t="s">
        <v>577</v>
      </c>
      <c r="F238" s="201">
        <v>135</v>
      </c>
      <c r="G238" s="212"/>
      <c r="H238" s="201">
        <v>3.64</v>
      </c>
      <c r="I238" s="204">
        <f t="shared" si="10"/>
        <v>2.6962962962962963E-2</v>
      </c>
      <c r="J238" s="214">
        <f t="shared" si="9"/>
        <v>2.6962962962962963E-2</v>
      </c>
    </row>
    <row r="239" spans="1:10">
      <c r="A239" s="201">
        <v>1</v>
      </c>
      <c r="B239" s="201">
        <v>14</v>
      </c>
      <c r="C239" s="201">
        <v>2</v>
      </c>
      <c r="D239" s="201" t="s">
        <v>604</v>
      </c>
      <c r="E239" s="201" t="s">
        <v>605</v>
      </c>
      <c r="F239" s="201">
        <v>320</v>
      </c>
      <c r="G239" s="212"/>
      <c r="H239" s="201">
        <v>3.69</v>
      </c>
      <c r="I239" s="204">
        <f t="shared" si="10"/>
        <v>1.153125E-2</v>
      </c>
      <c r="J239" s="214">
        <f t="shared" si="9"/>
        <v>1.153125E-2</v>
      </c>
    </row>
    <row r="240" spans="1:10">
      <c r="A240" s="201">
        <v>1</v>
      </c>
      <c r="B240" s="201">
        <v>14</v>
      </c>
      <c r="C240" s="201">
        <v>3</v>
      </c>
      <c r="D240" s="201" t="s">
        <v>592</v>
      </c>
      <c r="E240" s="201" t="s">
        <v>593</v>
      </c>
      <c r="F240" s="201">
        <v>145</v>
      </c>
      <c r="G240" s="212"/>
      <c r="H240" s="201">
        <v>1.21</v>
      </c>
      <c r="I240" s="204">
        <f t="shared" si="10"/>
        <v>8.3448275862068964E-3</v>
      </c>
      <c r="J240" s="214">
        <f t="shared" si="9"/>
        <v>8.3448275862068964E-3</v>
      </c>
    </row>
    <row r="241" spans="1:10">
      <c r="A241" s="201">
        <v>1</v>
      </c>
      <c r="B241" s="201">
        <v>14</v>
      </c>
      <c r="C241" s="201">
        <v>4</v>
      </c>
      <c r="D241" s="201" t="s">
        <v>586</v>
      </c>
      <c r="E241" s="201" t="s">
        <v>587</v>
      </c>
      <c r="F241" s="201">
        <v>115</v>
      </c>
      <c r="G241" s="212"/>
      <c r="H241" s="201">
        <v>3.58</v>
      </c>
      <c r="I241" s="204">
        <f t="shared" si="10"/>
        <v>3.1130434782608695E-2</v>
      </c>
      <c r="J241" s="214">
        <f t="shared" si="9"/>
        <v>3.1130434782608695E-2</v>
      </c>
    </row>
    <row r="242" spans="1:10">
      <c r="A242" s="201">
        <v>1</v>
      </c>
      <c r="B242" s="201">
        <v>14</v>
      </c>
      <c r="C242" s="201">
        <v>5</v>
      </c>
      <c r="D242" s="201" t="s">
        <v>598</v>
      </c>
      <c r="E242" s="201" t="s">
        <v>599</v>
      </c>
      <c r="F242" s="201">
        <v>670</v>
      </c>
      <c r="G242" s="212"/>
      <c r="H242" s="201">
        <v>10</v>
      </c>
      <c r="I242" s="204">
        <f t="shared" si="10"/>
        <v>1.4925373134328358E-2</v>
      </c>
      <c r="J242" s="214">
        <f t="shared" si="9"/>
        <v>1.4925373134328358E-2</v>
      </c>
    </row>
    <row r="243" spans="1:10">
      <c r="A243" s="201">
        <v>1</v>
      </c>
      <c r="B243" s="201">
        <v>14</v>
      </c>
      <c r="C243" s="201">
        <v>6</v>
      </c>
      <c r="D243" s="201" t="s">
        <v>608</v>
      </c>
      <c r="E243" s="201" t="s">
        <v>609</v>
      </c>
      <c r="F243" s="201">
        <v>350</v>
      </c>
      <c r="G243" s="212"/>
      <c r="H243" s="201">
        <v>7.6</v>
      </c>
      <c r="I243" s="204">
        <f t="shared" si="10"/>
        <v>2.1714285714285714E-2</v>
      </c>
      <c r="J243" s="214">
        <f t="shared" si="9"/>
        <v>2.1714285714285714E-2</v>
      </c>
    </row>
    <row r="244" spans="1:10">
      <c r="A244" s="201">
        <v>1</v>
      </c>
      <c r="B244" s="201">
        <v>14</v>
      </c>
      <c r="C244" s="201">
        <v>7</v>
      </c>
      <c r="D244" s="201" t="s">
        <v>600</v>
      </c>
      <c r="E244" s="201" t="s">
        <v>601</v>
      </c>
      <c r="F244" s="201">
        <v>0</v>
      </c>
      <c r="G244" s="212"/>
      <c r="H244" s="201">
        <v>0</v>
      </c>
      <c r="I244" s="204" t="e">
        <f t="shared" si="10"/>
        <v>#DIV/0!</v>
      </c>
      <c r="J244" s="214" t="e">
        <f t="shared" si="9"/>
        <v>#DIV/0!</v>
      </c>
    </row>
    <row r="245" spans="1:10">
      <c r="A245" s="201">
        <v>1</v>
      </c>
      <c r="B245" s="201">
        <v>14</v>
      </c>
      <c r="C245" s="201">
        <v>8</v>
      </c>
      <c r="D245" s="201" t="s">
        <v>606</v>
      </c>
      <c r="E245" s="201" t="s">
        <v>607</v>
      </c>
      <c r="F245" s="201">
        <v>0</v>
      </c>
      <c r="G245" s="212"/>
      <c r="H245" s="201">
        <v>0</v>
      </c>
      <c r="I245" s="204" t="e">
        <f t="shared" si="10"/>
        <v>#DIV/0!</v>
      </c>
      <c r="J245" s="214" t="e">
        <f t="shared" si="9"/>
        <v>#DIV/0!</v>
      </c>
    </row>
    <row r="246" spans="1:10">
      <c r="A246" s="201">
        <v>1</v>
      </c>
      <c r="B246" s="201">
        <v>14</v>
      </c>
      <c r="C246" s="201">
        <v>9</v>
      </c>
      <c r="D246" s="201" t="s">
        <v>602</v>
      </c>
      <c r="E246" s="201" t="s">
        <v>603</v>
      </c>
      <c r="F246" s="201">
        <v>580</v>
      </c>
      <c r="G246" s="212"/>
      <c r="H246" s="201">
        <v>15.16</v>
      </c>
      <c r="I246" s="204">
        <f t="shared" si="10"/>
        <v>2.613793103448276E-2</v>
      </c>
      <c r="J246" s="214">
        <f t="shared" si="9"/>
        <v>2.613793103448276E-2</v>
      </c>
    </row>
    <row r="247" spans="1:10">
      <c r="A247" s="201">
        <v>1</v>
      </c>
      <c r="B247" s="201">
        <v>14</v>
      </c>
      <c r="C247" s="201">
        <v>10</v>
      </c>
      <c r="D247" s="201" t="s">
        <v>582</v>
      </c>
      <c r="E247" s="201" t="s">
        <v>583</v>
      </c>
      <c r="F247" s="201">
        <v>665</v>
      </c>
      <c r="G247" s="212"/>
      <c r="H247" s="201">
        <v>14.09</v>
      </c>
      <c r="I247" s="204">
        <f t="shared" si="10"/>
        <v>2.118796992481203E-2</v>
      </c>
      <c r="J247" s="214">
        <f t="shared" si="9"/>
        <v>2.118796992481203E-2</v>
      </c>
    </row>
    <row r="248" spans="1:10">
      <c r="A248" s="201">
        <v>1</v>
      </c>
      <c r="B248" s="201">
        <v>14</v>
      </c>
      <c r="C248" s="201">
        <v>11</v>
      </c>
      <c r="D248" s="201" t="s">
        <v>588</v>
      </c>
      <c r="E248" s="201" t="s">
        <v>589</v>
      </c>
      <c r="F248" s="201">
        <v>535</v>
      </c>
      <c r="G248" s="212"/>
      <c r="H248" s="201">
        <v>14.05</v>
      </c>
      <c r="I248" s="204">
        <f t="shared" si="10"/>
        <v>2.6261682242990657E-2</v>
      </c>
      <c r="J248" s="214">
        <f t="shared" si="9"/>
        <v>2.6261682242990657E-2</v>
      </c>
    </row>
    <row r="249" spans="1:10">
      <c r="A249" s="201">
        <v>1</v>
      </c>
      <c r="B249" s="201">
        <v>14</v>
      </c>
      <c r="C249" s="201">
        <v>12</v>
      </c>
      <c r="D249" s="201" t="s">
        <v>594</v>
      </c>
      <c r="E249" s="201" t="s">
        <v>595</v>
      </c>
      <c r="F249" s="201">
        <v>335</v>
      </c>
      <c r="G249" s="212"/>
      <c r="H249" s="201">
        <v>6.51</v>
      </c>
      <c r="I249" s="204">
        <f t="shared" si="10"/>
        <v>1.9432835820895521E-2</v>
      </c>
      <c r="J249" s="214">
        <f t="shared" si="9"/>
        <v>1.9432835820895521E-2</v>
      </c>
    </row>
    <row r="250" spans="1:10">
      <c r="A250" s="201">
        <v>1</v>
      </c>
      <c r="B250" s="201">
        <v>14</v>
      </c>
      <c r="C250" s="201">
        <v>13</v>
      </c>
      <c r="D250" s="201" t="s">
        <v>590</v>
      </c>
      <c r="E250" s="201" t="s">
        <v>591</v>
      </c>
      <c r="F250" s="201">
        <v>215</v>
      </c>
      <c r="G250" s="212"/>
      <c r="H250" s="201">
        <v>3.86</v>
      </c>
      <c r="I250" s="204">
        <f t="shared" si="10"/>
        <v>1.7953488372093023E-2</v>
      </c>
      <c r="J250" s="214">
        <f t="shared" si="9"/>
        <v>1.7953488372093023E-2</v>
      </c>
    </row>
    <row r="251" spans="1:10">
      <c r="A251" s="201">
        <v>1</v>
      </c>
      <c r="B251" s="201">
        <v>14</v>
      </c>
      <c r="C251" s="201">
        <v>14</v>
      </c>
      <c r="D251" s="201" t="s">
        <v>578</v>
      </c>
      <c r="E251" s="201" t="s">
        <v>579</v>
      </c>
      <c r="F251" s="201">
        <v>330</v>
      </c>
      <c r="G251" s="212"/>
      <c r="H251" s="201">
        <v>8.3000000000000007</v>
      </c>
      <c r="I251" s="204">
        <f t="shared" si="10"/>
        <v>2.5151515151515154E-2</v>
      </c>
      <c r="J251" s="214">
        <f t="shared" si="9"/>
        <v>2.5151515151515154E-2</v>
      </c>
    </row>
    <row r="252" spans="1:10">
      <c r="A252" s="201">
        <v>1</v>
      </c>
      <c r="B252" s="201">
        <v>14</v>
      </c>
      <c r="C252" s="201">
        <v>15</v>
      </c>
      <c r="D252" s="201" t="s">
        <v>596</v>
      </c>
      <c r="E252" s="201" t="s">
        <v>597</v>
      </c>
      <c r="F252" s="201">
        <v>460</v>
      </c>
      <c r="G252" s="212"/>
      <c r="H252" s="201">
        <v>14.34</v>
      </c>
      <c r="I252" s="204">
        <f t="shared" si="10"/>
        <v>3.117391304347826E-2</v>
      </c>
      <c r="J252" s="214">
        <f t="shared" si="9"/>
        <v>3.117391304347826E-2</v>
      </c>
    </row>
    <row r="253" spans="1:10">
      <c r="A253" s="201">
        <v>1</v>
      </c>
      <c r="B253" s="201">
        <v>14</v>
      </c>
      <c r="C253" s="201">
        <v>16</v>
      </c>
      <c r="D253" s="201" t="s">
        <v>610</v>
      </c>
      <c r="E253" s="201" t="s">
        <v>611</v>
      </c>
      <c r="F253" s="201">
        <v>0</v>
      </c>
      <c r="G253" s="212"/>
      <c r="H253" s="201">
        <v>0</v>
      </c>
      <c r="I253" s="204" t="e">
        <f t="shared" si="10"/>
        <v>#DIV/0!</v>
      </c>
      <c r="J253" s="214" t="e">
        <f t="shared" si="9"/>
        <v>#DIV/0!</v>
      </c>
    </row>
    <row r="254" spans="1:10">
      <c r="A254" s="201">
        <v>1</v>
      </c>
      <c r="B254" s="201">
        <v>14</v>
      </c>
      <c r="C254" s="201">
        <v>17</v>
      </c>
      <c r="D254" s="201" t="s">
        <v>580</v>
      </c>
      <c r="E254" s="201" t="s">
        <v>581</v>
      </c>
      <c r="F254" s="201">
        <v>125</v>
      </c>
      <c r="G254" s="212"/>
      <c r="H254" s="201">
        <v>2.48</v>
      </c>
      <c r="I254" s="204">
        <f t="shared" si="10"/>
        <v>1.984E-2</v>
      </c>
      <c r="J254" s="214">
        <f t="shared" si="9"/>
        <v>1.984E-2</v>
      </c>
    </row>
    <row r="255" spans="1:10">
      <c r="A255" s="201">
        <v>1</v>
      </c>
      <c r="B255" s="201">
        <v>14</v>
      </c>
      <c r="C255" s="201">
        <v>18</v>
      </c>
      <c r="D255" s="201" t="s">
        <v>584</v>
      </c>
      <c r="E255" s="201" t="s">
        <v>585</v>
      </c>
      <c r="F255" s="201">
        <v>318</v>
      </c>
      <c r="G255" s="212"/>
      <c r="H255" s="201">
        <v>4.5199999999999996</v>
      </c>
      <c r="I255" s="204">
        <f t="shared" si="10"/>
        <v>1.4213836477987419E-2</v>
      </c>
      <c r="J255" s="214">
        <f t="shared" si="9"/>
        <v>1.4213836477987419E-2</v>
      </c>
    </row>
    <row r="256" spans="1:10">
      <c r="A256" s="107">
        <v>1</v>
      </c>
      <c r="B256" s="107">
        <v>15</v>
      </c>
      <c r="C256" s="107">
        <v>1</v>
      </c>
      <c r="D256" s="107" t="s">
        <v>630</v>
      </c>
      <c r="E256" s="107" t="s">
        <v>631</v>
      </c>
      <c r="F256" s="107">
        <v>14</v>
      </c>
      <c r="G256" s="211"/>
      <c r="H256" s="107">
        <v>0.2</v>
      </c>
      <c r="I256" s="203">
        <f t="shared" si="10"/>
        <v>1.4285714285714287E-2</v>
      </c>
      <c r="J256" s="213">
        <f t="shared" si="9"/>
        <v>1.4285714285714287E-2</v>
      </c>
    </row>
    <row r="257" spans="1:10">
      <c r="A257" s="107">
        <v>1</v>
      </c>
      <c r="B257" s="107">
        <v>15</v>
      </c>
      <c r="C257" s="107">
        <v>2</v>
      </c>
      <c r="D257" s="107" t="s">
        <v>638</v>
      </c>
      <c r="E257" s="107" t="s">
        <v>639</v>
      </c>
      <c r="F257" s="107">
        <v>42</v>
      </c>
      <c r="G257" s="211"/>
      <c r="H257" s="107">
        <v>2.76</v>
      </c>
      <c r="I257" s="203">
        <f t="shared" si="10"/>
        <v>6.5714285714285711E-2</v>
      </c>
      <c r="J257" s="213">
        <f t="shared" si="9"/>
        <v>6.5714285714285711E-2</v>
      </c>
    </row>
    <row r="258" spans="1:10">
      <c r="A258" s="107">
        <v>1</v>
      </c>
      <c r="B258" s="107">
        <v>15</v>
      </c>
      <c r="C258" s="107">
        <v>3</v>
      </c>
      <c r="D258" s="107" t="s">
        <v>642</v>
      </c>
      <c r="E258" s="107" t="s">
        <v>643</v>
      </c>
      <c r="F258" s="107">
        <v>333</v>
      </c>
      <c r="G258" s="211"/>
      <c r="H258" s="107">
        <v>2.42</v>
      </c>
      <c r="I258" s="203">
        <f t="shared" si="10"/>
        <v>7.2672672672672673E-3</v>
      </c>
      <c r="J258" s="213">
        <f t="shared" si="9"/>
        <v>7.2672672672672673E-3</v>
      </c>
    </row>
    <row r="259" spans="1:10">
      <c r="A259" s="107">
        <v>1</v>
      </c>
      <c r="B259" s="107">
        <v>15</v>
      </c>
      <c r="C259" s="107">
        <v>4</v>
      </c>
      <c r="D259" s="107" t="s">
        <v>632</v>
      </c>
      <c r="E259" s="107" t="s">
        <v>633</v>
      </c>
      <c r="F259" s="107">
        <v>12</v>
      </c>
      <c r="G259" s="211"/>
      <c r="H259" s="107">
        <v>0.4</v>
      </c>
      <c r="I259" s="203">
        <f t="shared" si="10"/>
        <v>3.3333333333333333E-2</v>
      </c>
      <c r="J259" s="213">
        <f t="shared" si="9"/>
        <v>3.3333333333333333E-2</v>
      </c>
    </row>
    <row r="260" spans="1:10">
      <c r="A260" s="107">
        <v>1</v>
      </c>
      <c r="B260" s="107">
        <v>15</v>
      </c>
      <c r="C260" s="107">
        <v>5</v>
      </c>
      <c r="D260" s="107" t="s">
        <v>636</v>
      </c>
      <c r="E260" s="107" t="s">
        <v>637</v>
      </c>
      <c r="F260" s="107">
        <v>160</v>
      </c>
      <c r="G260" s="211"/>
      <c r="H260" s="107">
        <v>0.38</v>
      </c>
      <c r="I260" s="203">
        <f t="shared" si="10"/>
        <v>2.3749999999999999E-3</v>
      </c>
      <c r="J260" s="213">
        <f t="shared" si="9"/>
        <v>2.3749999999999999E-3</v>
      </c>
    </row>
    <row r="261" spans="1:10">
      <c r="A261" s="107">
        <v>1</v>
      </c>
      <c r="B261" s="107">
        <v>15</v>
      </c>
      <c r="C261" s="107">
        <v>6</v>
      </c>
      <c r="D261" s="107" t="s">
        <v>618</v>
      </c>
      <c r="E261" s="107" t="s">
        <v>619</v>
      </c>
      <c r="F261" s="107">
        <v>900</v>
      </c>
      <c r="G261" s="211"/>
      <c r="H261" s="107">
        <v>18.82</v>
      </c>
      <c r="I261" s="203">
        <f t="shared" si="10"/>
        <v>2.0911111111111113E-2</v>
      </c>
      <c r="J261" s="213">
        <f t="shared" ref="J261:J324" si="11">IF(G261="",I261,I261/(1-G261))</f>
        <v>2.0911111111111113E-2</v>
      </c>
    </row>
    <row r="262" spans="1:10">
      <c r="A262" s="107">
        <v>1</v>
      </c>
      <c r="B262" s="107">
        <v>15</v>
      </c>
      <c r="C262" s="107">
        <v>7</v>
      </c>
      <c r="D262" s="107" t="s">
        <v>628</v>
      </c>
      <c r="E262" s="107" t="s">
        <v>629</v>
      </c>
      <c r="F262" s="107">
        <v>0</v>
      </c>
      <c r="G262" s="211"/>
      <c r="H262" s="107">
        <v>0</v>
      </c>
      <c r="I262" s="203" t="e">
        <f t="shared" si="10"/>
        <v>#DIV/0!</v>
      </c>
      <c r="J262" s="213" t="e">
        <f t="shared" si="11"/>
        <v>#DIV/0!</v>
      </c>
    </row>
    <row r="263" spans="1:10">
      <c r="A263" s="107">
        <v>1</v>
      </c>
      <c r="B263" s="107">
        <v>15</v>
      </c>
      <c r="C263" s="107">
        <v>8</v>
      </c>
      <c r="D263" s="107" t="s">
        <v>626</v>
      </c>
      <c r="E263" s="107" t="s">
        <v>627</v>
      </c>
      <c r="F263" s="107">
        <v>275</v>
      </c>
      <c r="G263" s="211"/>
      <c r="H263" s="107">
        <v>5.87</v>
      </c>
      <c r="I263" s="203">
        <f t="shared" si="10"/>
        <v>2.1345454545454546E-2</v>
      </c>
      <c r="J263" s="213">
        <f t="shared" si="11"/>
        <v>2.1345454545454546E-2</v>
      </c>
    </row>
    <row r="264" spans="1:10">
      <c r="A264" s="107">
        <v>1</v>
      </c>
      <c r="B264" s="107">
        <v>15</v>
      </c>
      <c r="C264" s="107">
        <v>9</v>
      </c>
      <c r="D264" s="107" t="s">
        <v>644</v>
      </c>
      <c r="E264" s="107" t="s">
        <v>645</v>
      </c>
      <c r="F264" s="107">
        <v>0</v>
      </c>
      <c r="G264" s="211"/>
      <c r="H264" s="107">
        <v>0</v>
      </c>
      <c r="I264" s="203" t="e">
        <f t="shared" si="10"/>
        <v>#DIV/0!</v>
      </c>
      <c r="J264" s="213" t="e">
        <f t="shared" si="11"/>
        <v>#DIV/0!</v>
      </c>
    </row>
    <row r="265" spans="1:10">
      <c r="A265" s="107">
        <v>1</v>
      </c>
      <c r="B265" s="107">
        <v>15</v>
      </c>
      <c r="C265" s="107">
        <v>10</v>
      </c>
      <c r="D265" s="107" t="s">
        <v>616</v>
      </c>
      <c r="E265" s="107" t="s">
        <v>617</v>
      </c>
      <c r="F265" s="107">
        <v>283</v>
      </c>
      <c r="G265" s="211"/>
      <c r="H265" s="107">
        <v>5.82</v>
      </c>
      <c r="I265" s="203">
        <f t="shared" ref="I265:I328" si="12">IF(F265="","",H265/F265)</f>
        <v>2.0565371024734984E-2</v>
      </c>
      <c r="J265" s="213">
        <f t="shared" si="11"/>
        <v>2.0565371024734984E-2</v>
      </c>
    </row>
    <row r="266" spans="1:10">
      <c r="A266" s="107">
        <v>1</v>
      </c>
      <c r="B266" s="107">
        <v>15</v>
      </c>
      <c r="C266" s="107">
        <v>11</v>
      </c>
      <c r="D266" s="107" t="s">
        <v>620</v>
      </c>
      <c r="E266" s="107" t="s">
        <v>621</v>
      </c>
      <c r="F266" s="107">
        <v>164</v>
      </c>
      <c r="G266" s="211"/>
      <c r="H266" s="107">
        <v>2.21</v>
      </c>
      <c r="I266" s="203">
        <f t="shared" si="12"/>
        <v>1.3475609756097561E-2</v>
      </c>
      <c r="J266" s="213">
        <f t="shared" si="11"/>
        <v>1.3475609756097561E-2</v>
      </c>
    </row>
    <row r="267" spans="1:10">
      <c r="A267" s="107">
        <v>1</v>
      </c>
      <c r="B267" s="107">
        <v>15</v>
      </c>
      <c r="C267" s="107">
        <v>12</v>
      </c>
      <c r="D267" s="107" t="s">
        <v>646</v>
      </c>
      <c r="E267" s="107" t="s">
        <v>647</v>
      </c>
      <c r="F267" s="107">
        <v>120</v>
      </c>
      <c r="G267" s="211"/>
      <c r="H267" s="107">
        <v>1.0900000000000001</v>
      </c>
      <c r="I267" s="203">
        <f t="shared" si="12"/>
        <v>9.0833333333333339E-3</v>
      </c>
      <c r="J267" s="213">
        <f t="shared" si="11"/>
        <v>9.0833333333333339E-3</v>
      </c>
    </row>
    <row r="268" spans="1:10">
      <c r="A268" s="107">
        <v>1</v>
      </c>
      <c r="B268" s="107">
        <v>15</v>
      </c>
      <c r="C268" s="107">
        <v>13</v>
      </c>
      <c r="D268" s="107" t="s">
        <v>624</v>
      </c>
      <c r="E268" s="107" t="s">
        <v>625</v>
      </c>
      <c r="F268" s="107">
        <v>0</v>
      </c>
      <c r="G268" s="211"/>
      <c r="H268" s="107">
        <v>0</v>
      </c>
      <c r="I268" s="203" t="e">
        <f t="shared" si="12"/>
        <v>#DIV/0!</v>
      </c>
      <c r="J268" s="213" t="e">
        <f t="shared" si="11"/>
        <v>#DIV/0!</v>
      </c>
    </row>
    <row r="269" spans="1:10">
      <c r="A269" s="107">
        <v>1</v>
      </c>
      <c r="B269" s="107">
        <v>15</v>
      </c>
      <c r="C269" s="107">
        <v>14</v>
      </c>
      <c r="D269" s="107" t="s">
        <v>640</v>
      </c>
      <c r="E269" s="107" t="s">
        <v>641</v>
      </c>
      <c r="F269" s="107">
        <v>100</v>
      </c>
      <c r="G269" s="211"/>
      <c r="H269" s="107">
        <v>1.1200000000000001</v>
      </c>
      <c r="I269" s="203">
        <f t="shared" si="12"/>
        <v>1.1200000000000002E-2</v>
      </c>
      <c r="J269" s="213">
        <f t="shared" si="11"/>
        <v>1.1200000000000002E-2</v>
      </c>
    </row>
    <row r="270" spans="1:10">
      <c r="A270" s="107">
        <v>1</v>
      </c>
      <c r="B270" s="107">
        <v>15</v>
      </c>
      <c r="C270" s="107">
        <v>15</v>
      </c>
      <c r="D270" s="107" t="s">
        <v>612</v>
      </c>
      <c r="E270" s="107" t="s">
        <v>613</v>
      </c>
      <c r="F270" s="107">
        <v>490</v>
      </c>
      <c r="G270" s="211"/>
      <c r="H270" s="107">
        <v>9.5399999999999991</v>
      </c>
      <c r="I270" s="203">
        <f t="shared" si="12"/>
        <v>1.9469387755102038E-2</v>
      </c>
      <c r="J270" s="213">
        <f t="shared" si="11"/>
        <v>1.9469387755102038E-2</v>
      </c>
    </row>
    <row r="271" spans="1:10">
      <c r="A271" s="107">
        <v>1</v>
      </c>
      <c r="B271" s="107">
        <v>15</v>
      </c>
      <c r="C271" s="107">
        <v>16</v>
      </c>
      <c r="D271" s="107" t="s">
        <v>614</v>
      </c>
      <c r="E271" s="107" t="s">
        <v>615</v>
      </c>
      <c r="F271" s="107">
        <v>50</v>
      </c>
      <c r="G271" s="211"/>
      <c r="H271" s="107">
        <v>0.22</v>
      </c>
      <c r="I271" s="203">
        <f t="shared" si="12"/>
        <v>4.4000000000000003E-3</v>
      </c>
      <c r="J271" s="213">
        <f t="shared" si="11"/>
        <v>4.4000000000000003E-3</v>
      </c>
    </row>
    <row r="272" spans="1:10">
      <c r="A272" s="107">
        <v>1</v>
      </c>
      <c r="B272" s="107">
        <v>15</v>
      </c>
      <c r="C272" s="107">
        <v>17</v>
      </c>
      <c r="D272" s="107" t="s">
        <v>634</v>
      </c>
      <c r="E272" s="107" t="s">
        <v>635</v>
      </c>
      <c r="F272" s="107">
        <v>520</v>
      </c>
      <c r="G272" s="211"/>
      <c r="H272" s="107">
        <v>9.51</v>
      </c>
      <c r="I272" s="203">
        <f t="shared" si="12"/>
        <v>1.8288461538461538E-2</v>
      </c>
      <c r="J272" s="213">
        <f t="shared" si="11"/>
        <v>1.8288461538461538E-2</v>
      </c>
    </row>
    <row r="273" spans="1:10">
      <c r="A273" s="107">
        <v>1</v>
      </c>
      <c r="B273" s="107">
        <v>15</v>
      </c>
      <c r="C273" s="107">
        <v>18</v>
      </c>
      <c r="D273" s="107" t="s">
        <v>622</v>
      </c>
      <c r="E273" s="107" t="s">
        <v>623</v>
      </c>
      <c r="F273" s="107">
        <v>309</v>
      </c>
      <c r="G273" s="211"/>
      <c r="H273" s="107">
        <v>1.55</v>
      </c>
      <c r="I273" s="203">
        <f t="shared" si="12"/>
        <v>5.016181229773463E-3</v>
      </c>
      <c r="J273" s="213">
        <f t="shared" si="11"/>
        <v>5.016181229773463E-3</v>
      </c>
    </row>
    <row r="274" spans="1:10">
      <c r="A274" s="201">
        <v>1</v>
      </c>
      <c r="B274" s="201">
        <v>16</v>
      </c>
      <c r="C274" s="201">
        <v>1</v>
      </c>
      <c r="D274" s="201" t="s">
        <v>658</v>
      </c>
      <c r="E274" s="201" t="s">
        <v>659</v>
      </c>
      <c r="F274" s="201">
        <v>221</v>
      </c>
      <c r="G274" s="212"/>
      <c r="H274" s="201">
        <v>1.8</v>
      </c>
      <c r="I274" s="204">
        <f t="shared" si="12"/>
        <v>8.1447963800904983E-3</v>
      </c>
      <c r="J274" s="214">
        <f t="shared" si="11"/>
        <v>8.1447963800904983E-3</v>
      </c>
    </row>
    <row r="275" spans="1:10">
      <c r="A275" s="201">
        <v>1</v>
      </c>
      <c r="B275" s="201">
        <v>16</v>
      </c>
      <c r="C275" s="201">
        <v>2</v>
      </c>
      <c r="D275" s="201" t="s">
        <v>648</v>
      </c>
      <c r="E275" s="201" t="s">
        <v>649</v>
      </c>
      <c r="F275" s="201">
        <v>291</v>
      </c>
      <c r="G275" s="212"/>
      <c r="H275" s="201">
        <v>2.69</v>
      </c>
      <c r="I275" s="204">
        <f t="shared" si="12"/>
        <v>9.2439862542955317E-3</v>
      </c>
      <c r="J275" s="214">
        <f t="shared" si="11"/>
        <v>9.2439862542955317E-3</v>
      </c>
    </row>
    <row r="276" spans="1:10">
      <c r="A276" s="201">
        <v>1</v>
      </c>
      <c r="B276" s="201">
        <v>16</v>
      </c>
      <c r="C276" s="201">
        <v>3</v>
      </c>
      <c r="D276" s="201" t="s">
        <v>682</v>
      </c>
      <c r="E276" s="201" t="s">
        <v>683</v>
      </c>
      <c r="F276" s="167"/>
      <c r="G276" s="212"/>
      <c r="H276" s="201">
        <v>2.97</v>
      </c>
      <c r="I276" s="204" t="str">
        <f t="shared" si="12"/>
        <v/>
      </c>
      <c r="J276" s="214" t="str">
        <f t="shared" si="11"/>
        <v/>
      </c>
    </row>
    <row r="277" spans="1:10">
      <c r="A277" s="201">
        <v>1</v>
      </c>
      <c r="B277" s="201">
        <v>16</v>
      </c>
      <c r="C277" s="201">
        <v>4</v>
      </c>
      <c r="D277" s="201" t="s">
        <v>656</v>
      </c>
      <c r="E277" s="201" t="s">
        <v>657</v>
      </c>
      <c r="F277" s="201">
        <v>745</v>
      </c>
      <c r="G277" s="212"/>
      <c r="H277" s="201">
        <v>9.94</v>
      </c>
      <c r="I277" s="204">
        <f t="shared" si="12"/>
        <v>1.334228187919463E-2</v>
      </c>
      <c r="J277" s="214">
        <f t="shared" si="11"/>
        <v>1.334228187919463E-2</v>
      </c>
    </row>
    <row r="278" spans="1:10">
      <c r="A278" s="201">
        <v>1</v>
      </c>
      <c r="B278" s="201">
        <v>16</v>
      </c>
      <c r="C278" s="201">
        <v>5</v>
      </c>
      <c r="D278" s="201" t="s">
        <v>664</v>
      </c>
      <c r="E278" s="201" t="s">
        <v>665</v>
      </c>
      <c r="F278" s="201">
        <v>43</v>
      </c>
      <c r="G278" s="212"/>
      <c r="H278" s="201">
        <v>0.09</v>
      </c>
      <c r="I278" s="204">
        <f t="shared" si="12"/>
        <v>2.0930232558139532E-3</v>
      </c>
      <c r="J278" s="214">
        <f t="shared" si="11"/>
        <v>2.0930232558139532E-3</v>
      </c>
    </row>
    <row r="279" spans="1:10">
      <c r="A279" s="201">
        <v>1</v>
      </c>
      <c r="B279" s="201">
        <v>16</v>
      </c>
      <c r="C279" s="201">
        <v>6</v>
      </c>
      <c r="D279" s="201" t="s">
        <v>680</v>
      </c>
      <c r="E279" s="201" t="s">
        <v>681</v>
      </c>
      <c r="F279" s="201">
        <v>758</v>
      </c>
      <c r="G279" s="212"/>
      <c r="H279" s="201">
        <v>10.46</v>
      </c>
      <c r="I279" s="204">
        <f t="shared" si="12"/>
        <v>1.3799472295514512E-2</v>
      </c>
      <c r="J279" s="214">
        <f t="shared" si="11"/>
        <v>1.3799472295514512E-2</v>
      </c>
    </row>
    <row r="280" spans="1:10">
      <c r="A280" s="201">
        <v>1</v>
      </c>
      <c r="B280" s="201">
        <v>16</v>
      </c>
      <c r="C280" s="201">
        <v>7</v>
      </c>
      <c r="D280" s="201" t="s">
        <v>672</v>
      </c>
      <c r="E280" s="201" t="s">
        <v>673</v>
      </c>
      <c r="F280" s="201">
        <v>400</v>
      </c>
      <c r="G280" s="212"/>
      <c r="H280" s="201">
        <v>4.99</v>
      </c>
      <c r="I280" s="204">
        <f t="shared" si="12"/>
        <v>1.2475E-2</v>
      </c>
      <c r="J280" s="214">
        <f t="shared" si="11"/>
        <v>1.2475E-2</v>
      </c>
    </row>
    <row r="281" spans="1:10">
      <c r="A281" s="201">
        <v>1</v>
      </c>
      <c r="B281" s="201">
        <v>16</v>
      </c>
      <c r="C281" s="201">
        <v>8</v>
      </c>
      <c r="D281" s="201" t="s">
        <v>666</v>
      </c>
      <c r="E281" s="201" t="s">
        <v>667</v>
      </c>
      <c r="F281" s="201">
        <v>22</v>
      </c>
      <c r="G281" s="212"/>
      <c r="H281" s="201">
        <v>0.54</v>
      </c>
      <c r="I281" s="204">
        <f t="shared" si="12"/>
        <v>2.4545454545454547E-2</v>
      </c>
      <c r="J281" s="214">
        <f t="shared" si="11"/>
        <v>2.4545454545454547E-2</v>
      </c>
    </row>
    <row r="282" spans="1:10">
      <c r="A282" s="201">
        <v>1</v>
      </c>
      <c r="B282" s="201">
        <v>16</v>
      </c>
      <c r="C282" s="201">
        <v>9</v>
      </c>
      <c r="D282" s="201" t="s">
        <v>652</v>
      </c>
      <c r="E282" s="201" t="s">
        <v>653</v>
      </c>
      <c r="F282" s="201">
        <v>907</v>
      </c>
      <c r="G282" s="212"/>
      <c r="H282" s="201">
        <v>2.68</v>
      </c>
      <c r="I282" s="204">
        <f t="shared" si="12"/>
        <v>2.9547960308710037E-3</v>
      </c>
      <c r="J282" s="214">
        <f t="shared" si="11"/>
        <v>2.9547960308710037E-3</v>
      </c>
    </row>
    <row r="283" spans="1:10">
      <c r="A283" s="201">
        <v>1</v>
      </c>
      <c r="B283" s="201">
        <v>16</v>
      </c>
      <c r="C283" s="201">
        <v>10</v>
      </c>
      <c r="D283" s="201" t="s">
        <v>660</v>
      </c>
      <c r="E283" s="201" t="s">
        <v>661</v>
      </c>
      <c r="F283" s="167"/>
      <c r="G283" s="212"/>
      <c r="H283" s="201">
        <v>11.67</v>
      </c>
      <c r="I283" s="204" t="str">
        <f t="shared" si="12"/>
        <v/>
      </c>
      <c r="J283" s="214" t="str">
        <f t="shared" si="11"/>
        <v/>
      </c>
    </row>
    <row r="284" spans="1:10">
      <c r="A284" s="201">
        <v>1</v>
      </c>
      <c r="B284" s="201">
        <v>16</v>
      </c>
      <c r="C284" s="201">
        <v>11</v>
      </c>
      <c r="D284" s="201" t="s">
        <v>654</v>
      </c>
      <c r="E284" s="201" t="s">
        <v>655</v>
      </c>
      <c r="F284" s="201">
        <v>540</v>
      </c>
      <c r="G284" s="212"/>
      <c r="H284" s="201">
        <v>9.2200000000000006</v>
      </c>
      <c r="I284" s="204">
        <f t="shared" si="12"/>
        <v>1.7074074074074075E-2</v>
      </c>
      <c r="J284" s="214">
        <f t="shared" si="11"/>
        <v>1.7074074074074075E-2</v>
      </c>
    </row>
    <row r="285" spans="1:10">
      <c r="A285" s="201">
        <v>1</v>
      </c>
      <c r="B285" s="201">
        <v>16</v>
      </c>
      <c r="C285" s="201">
        <v>12</v>
      </c>
      <c r="D285" s="201" t="s">
        <v>676</v>
      </c>
      <c r="E285" s="201" t="s">
        <v>677</v>
      </c>
      <c r="F285" s="201">
        <v>1232</v>
      </c>
      <c r="G285" s="212"/>
      <c r="H285" s="201">
        <v>13.56</v>
      </c>
      <c r="I285" s="204">
        <f t="shared" si="12"/>
        <v>1.1006493506493508E-2</v>
      </c>
      <c r="J285" s="214">
        <f t="shared" si="11"/>
        <v>1.1006493506493508E-2</v>
      </c>
    </row>
    <row r="286" spans="1:10">
      <c r="A286" s="201">
        <v>1</v>
      </c>
      <c r="B286" s="201">
        <v>16</v>
      </c>
      <c r="C286" s="201">
        <v>13</v>
      </c>
      <c r="D286" s="201" t="s">
        <v>668</v>
      </c>
      <c r="E286" s="201" t="s">
        <v>669</v>
      </c>
      <c r="F286" s="201">
        <v>1160</v>
      </c>
      <c r="G286" s="212"/>
      <c r="H286" s="201">
        <v>23.73</v>
      </c>
      <c r="I286" s="204">
        <f t="shared" si="12"/>
        <v>2.0456896551724137E-2</v>
      </c>
      <c r="J286" s="214">
        <f t="shared" si="11"/>
        <v>2.0456896551724137E-2</v>
      </c>
    </row>
    <row r="287" spans="1:10">
      <c r="A287" s="201">
        <v>1</v>
      </c>
      <c r="B287" s="201">
        <v>16</v>
      </c>
      <c r="C287" s="201">
        <v>14</v>
      </c>
      <c r="D287" s="201" t="s">
        <v>670</v>
      </c>
      <c r="E287" s="201" t="s">
        <v>671</v>
      </c>
      <c r="F287" s="201">
        <v>0</v>
      </c>
      <c r="G287" s="212"/>
      <c r="H287" s="201">
        <v>0</v>
      </c>
      <c r="I287" s="204" t="e">
        <f t="shared" si="12"/>
        <v>#DIV/0!</v>
      </c>
      <c r="J287" s="214" t="e">
        <f t="shared" si="11"/>
        <v>#DIV/0!</v>
      </c>
    </row>
    <row r="288" spans="1:10">
      <c r="A288" s="201">
        <v>1</v>
      </c>
      <c r="B288" s="201">
        <v>16</v>
      </c>
      <c r="C288" s="201">
        <v>15</v>
      </c>
      <c r="D288" s="201" t="s">
        <v>650</v>
      </c>
      <c r="E288" s="201" t="s">
        <v>651</v>
      </c>
      <c r="F288" s="201">
        <v>820</v>
      </c>
      <c r="G288" s="212"/>
      <c r="H288" s="201">
        <v>15.45</v>
      </c>
      <c r="I288" s="204">
        <f t="shared" si="12"/>
        <v>1.8841463414634146E-2</v>
      </c>
      <c r="J288" s="214">
        <f t="shared" si="11"/>
        <v>1.8841463414634146E-2</v>
      </c>
    </row>
    <row r="289" spans="1:10">
      <c r="A289" s="201">
        <v>1</v>
      </c>
      <c r="B289" s="201">
        <v>16</v>
      </c>
      <c r="C289" s="201">
        <v>16</v>
      </c>
      <c r="D289" s="201" t="s">
        <v>662</v>
      </c>
      <c r="E289" s="201" t="s">
        <v>663</v>
      </c>
      <c r="F289" s="201">
        <v>67</v>
      </c>
      <c r="G289" s="212"/>
      <c r="H289" s="201">
        <v>0.54</v>
      </c>
      <c r="I289" s="204">
        <f t="shared" si="12"/>
        <v>8.0597014925373137E-3</v>
      </c>
      <c r="J289" s="214">
        <f t="shared" si="11"/>
        <v>8.0597014925373137E-3</v>
      </c>
    </row>
    <row r="290" spans="1:10">
      <c r="A290" s="201">
        <v>1</v>
      </c>
      <c r="B290" s="201">
        <v>16</v>
      </c>
      <c r="C290" s="201">
        <v>17</v>
      </c>
      <c r="D290" s="201" t="s">
        <v>678</v>
      </c>
      <c r="E290" s="201" t="s">
        <v>679</v>
      </c>
      <c r="F290" s="201">
        <v>147</v>
      </c>
      <c r="G290" s="212"/>
      <c r="H290" s="201">
        <v>2.62</v>
      </c>
      <c r="I290" s="204">
        <f t="shared" si="12"/>
        <v>1.7823129251700681E-2</v>
      </c>
      <c r="J290" s="214">
        <f t="shared" si="11"/>
        <v>1.7823129251700681E-2</v>
      </c>
    </row>
    <row r="291" spans="1:10">
      <c r="A291" s="201">
        <v>1</v>
      </c>
      <c r="B291" s="201">
        <v>16</v>
      </c>
      <c r="C291" s="201">
        <v>18</v>
      </c>
      <c r="D291" s="201" t="s">
        <v>674</v>
      </c>
      <c r="E291" s="201" t="s">
        <v>675</v>
      </c>
      <c r="F291" s="201">
        <v>280</v>
      </c>
      <c r="G291" s="212"/>
      <c r="H291" s="201">
        <v>4.0199999999999996</v>
      </c>
      <c r="I291" s="204">
        <f t="shared" si="12"/>
        <v>1.4357142857142855E-2</v>
      </c>
      <c r="J291" s="214">
        <f t="shared" si="11"/>
        <v>1.4357142857142855E-2</v>
      </c>
    </row>
    <row r="292" spans="1:10">
      <c r="A292" s="107">
        <v>1</v>
      </c>
      <c r="B292" s="107">
        <v>17</v>
      </c>
      <c r="C292" s="107">
        <v>1</v>
      </c>
      <c r="D292" s="107" t="s">
        <v>696</v>
      </c>
      <c r="E292" s="107" t="s">
        <v>697</v>
      </c>
      <c r="F292" s="107">
        <v>260</v>
      </c>
      <c r="G292" s="211"/>
      <c r="H292" s="107">
        <v>3.42</v>
      </c>
      <c r="I292" s="203">
        <f t="shared" si="12"/>
        <v>1.3153846153846153E-2</v>
      </c>
      <c r="J292" s="213">
        <f t="shared" si="11"/>
        <v>1.3153846153846153E-2</v>
      </c>
    </row>
    <row r="293" spans="1:10">
      <c r="A293" s="107">
        <v>1</v>
      </c>
      <c r="B293" s="107">
        <v>17</v>
      </c>
      <c r="C293" s="107">
        <v>2</v>
      </c>
      <c r="D293" s="107" t="s">
        <v>709</v>
      </c>
      <c r="E293" s="107" t="s">
        <v>710</v>
      </c>
      <c r="F293" s="107">
        <v>360</v>
      </c>
      <c r="G293" s="211"/>
      <c r="H293" s="107">
        <v>8.9499999999999993</v>
      </c>
      <c r="I293" s="203">
        <f t="shared" si="12"/>
        <v>2.4861111111111108E-2</v>
      </c>
      <c r="J293" s="213">
        <f t="shared" si="11"/>
        <v>2.4861111111111108E-2</v>
      </c>
    </row>
    <row r="294" spans="1:10">
      <c r="A294" s="107">
        <v>1</v>
      </c>
      <c r="B294" s="107">
        <v>17</v>
      </c>
      <c r="C294" s="107">
        <v>3</v>
      </c>
      <c r="D294" s="107" t="s">
        <v>700</v>
      </c>
      <c r="E294" s="107" t="s">
        <v>701</v>
      </c>
      <c r="F294" s="107">
        <v>471</v>
      </c>
      <c r="G294" s="211"/>
      <c r="H294" s="107">
        <v>20.149999999999999</v>
      </c>
      <c r="I294" s="203">
        <f t="shared" si="12"/>
        <v>4.2781316348195327E-2</v>
      </c>
      <c r="J294" s="213">
        <f t="shared" si="11"/>
        <v>4.2781316348195327E-2</v>
      </c>
    </row>
    <row r="295" spans="1:10">
      <c r="A295" s="107">
        <v>1</v>
      </c>
      <c r="B295" s="107">
        <v>17</v>
      </c>
      <c r="C295" s="107">
        <v>4</v>
      </c>
      <c r="D295" s="107" t="s">
        <v>692</v>
      </c>
      <c r="E295" s="107" t="s">
        <v>693</v>
      </c>
      <c r="F295" s="107">
        <v>150</v>
      </c>
      <c r="G295" s="211"/>
      <c r="H295" s="107">
        <v>1.23</v>
      </c>
      <c r="I295" s="203">
        <f t="shared" si="12"/>
        <v>8.2000000000000007E-3</v>
      </c>
      <c r="J295" s="213">
        <f t="shared" si="11"/>
        <v>8.2000000000000007E-3</v>
      </c>
    </row>
    <row r="296" spans="1:10">
      <c r="A296" s="107">
        <v>1</v>
      </c>
      <c r="B296" s="107">
        <v>17</v>
      </c>
      <c r="C296" s="107">
        <v>5</v>
      </c>
      <c r="D296" s="107" t="s">
        <v>686</v>
      </c>
      <c r="E296" s="107" t="s">
        <v>687</v>
      </c>
      <c r="F296" s="107">
        <v>460</v>
      </c>
      <c r="G296" s="211"/>
      <c r="H296" s="107">
        <v>8.6999999999999993</v>
      </c>
      <c r="I296" s="203">
        <f t="shared" si="12"/>
        <v>1.8913043478260869E-2</v>
      </c>
      <c r="J296" s="213">
        <f t="shared" si="11"/>
        <v>1.8913043478260869E-2</v>
      </c>
    </row>
    <row r="297" spans="1:10">
      <c r="A297" s="107">
        <v>1</v>
      </c>
      <c r="B297" s="107">
        <v>17</v>
      </c>
      <c r="C297" s="107">
        <v>6</v>
      </c>
      <c r="D297" s="107" t="s">
        <v>704</v>
      </c>
      <c r="E297" s="107" t="s">
        <v>705</v>
      </c>
      <c r="F297" s="107">
        <v>290</v>
      </c>
      <c r="G297" s="211"/>
      <c r="H297" s="107">
        <v>7.6</v>
      </c>
      <c r="I297" s="203">
        <f t="shared" si="12"/>
        <v>2.6206896551724135E-2</v>
      </c>
      <c r="J297" s="213">
        <f t="shared" si="11"/>
        <v>2.6206896551724135E-2</v>
      </c>
    </row>
    <row r="298" spans="1:10">
      <c r="A298" s="107">
        <v>1</v>
      </c>
      <c r="B298" s="107">
        <v>17</v>
      </c>
      <c r="C298" s="107">
        <v>7</v>
      </c>
      <c r="D298" s="107" t="s">
        <v>690</v>
      </c>
      <c r="E298" s="107" t="s">
        <v>691</v>
      </c>
      <c r="F298" s="107">
        <v>220</v>
      </c>
      <c r="G298" s="211"/>
      <c r="H298" s="107">
        <v>1.05</v>
      </c>
      <c r="I298" s="203">
        <f t="shared" si="12"/>
        <v>4.7727272727272731E-3</v>
      </c>
      <c r="J298" s="213">
        <f t="shared" si="11"/>
        <v>4.7727272727272731E-3</v>
      </c>
    </row>
    <row r="299" spans="1:10">
      <c r="A299" s="107">
        <v>1</v>
      </c>
      <c r="B299" s="107">
        <v>17</v>
      </c>
      <c r="C299" s="107">
        <v>8</v>
      </c>
      <c r="D299" s="107" t="s">
        <v>698</v>
      </c>
      <c r="E299" s="107" t="s">
        <v>699</v>
      </c>
      <c r="F299" s="107">
        <v>142</v>
      </c>
      <c r="G299" s="211"/>
      <c r="H299" s="107">
        <v>4.24</v>
      </c>
      <c r="I299" s="203">
        <f t="shared" si="12"/>
        <v>2.9859154929577466E-2</v>
      </c>
      <c r="J299" s="213">
        <f t="shared" si="11"/>
        <v>2.9859154929577466E-2</v>
      </c>
    </row>
    <row r="300" spans="1:10">
      <c r="A300" s="107">
        <v>1</v>
      </c>
      <c r="B300" s="107">
        <v>17</v>
      </c>
      <c r="C300" s="107">
        <v>9</v>
      </c>
      <c r="D300" s="107" t="s">
        <v>717</v>
      </c>
      <c r="E300" s="107" t="s">
        <v>718</v>
      </c>
      <c r="F300" s="107">
        <v>490</v>
      </c>
      <c r="G300" s="211"/>
      <c r="H300" s="107">
        <v>10.5</v>
      </c>
      <c r="I300" s="203">
        <f t="shared" si="12"/>
        <v>2.1428571428571429E-2</v>
      </c>
      <c r="J300" s="213">
        <f t="shared" si="11"/>
        <v>2.1428571428571429E-2</v>
      </c>
    </row>
    <row r="301" spans="1:10">
      <c r="A301" s="107">
        <v>1</v>
      </c>
      <c r="B301" s="107">
        <v>17</v>
      </c>
      <c r="C301" s="107">
        <v>10</v>
      </c>
      <c r="D301" s="107" t="s">
        <v>707</v>
      </c>
      <c r="E301" s="107" t="s">
        <v>708</v>
      </c>
      <c r="F301" s="107">
        <v>216</v>
      </c>
      <c r="G301" s="211"/>
      <c r="H301" s="107">
        <v>2.0699999999999998</v>
      </c>
      <c r="I301" s="203">
        <f t="shared" si="12"/>
        <v>9.5833333333333326E-3</v>
      </c>
      <c r="J301" s="213">
        <f t="shared" si="11"/>
        <v>9.5833333333333326E-3</v>
      </c>
    </row>
    <row r="302" spans="1:10">
      <c r="A302" s="107">
        <v>1</v>
      </c>
      <c r="B302" s="107">
        <v>17</v>
      </c>
      <c r="C302" s="107">
        <v>11</v>
      </c>
      <c r="D302" s="107" t="s">
        <v>713</v>
      </c>
      <c r="E302" s="107" t="s">
        <v>714</v>
      </c>
      <c r="F302" s="107">
        <v>70</v>
      </c>
      <c r="G302" s="211"/>
      <c r="H302" s="107">
        <v>0.87</v>
      </c>
      <c r="I302" s="203">
        <f t="shared" si="12"/>
        <v>1.2428571428571428E-2</v>
      </c>
      <c r="J302" s="213">
        <f t="shared" si="11"/>
        <v>1.2428571428571428E-2</v>
      </c>
    </row>
    <row r="303" spans="1:10">
      <c r="A303" s="107">
        <v>1</v>
      </c>
      <c r="B303" s="107">
        <v>17</v>
      </c>
      <c r="C303" s="107">
        <v>12</v>
      </c>
      <c r="D303" s="107" t="s">
        <v>706</v>
      </c>
      <c r="E303" s="107" t="s">
        <v>137</v>
      </c>
      <c r="F303" s="107">
        <v>390</v>
      </c>
      <c r="G303" s="211"/>
      <c r="H303" s="107">
        <v>7.23</v>
      </c>
      <c r="I303" s="203">
        <f t="shared" si="12"/>
        <v>1.8538461538461538E-2</v>
      </c>
      <c r="J303" s="213">
        <f t="shared" si="11"/>
        <v>1.8538461538461538E-2</v>
      </c>
    </row>
    <row r="304" spans="1:10">
      <c r="A304" s="107">
        <v>1</v>
      </c>
      <c r="B304" s="107">
        <v>17</v>
      </c>
      <c r="C304" s="107">
        <v>13</v>
      </c>
      <c r="D304" s="107" t="s">
        <v>684</v>
      </c>
      <c r="E304" s="107" t="s">
        <v>685</v>
      </c>
      <c r="F304" s="107">
        <v>270</v>
      </c>
      <c r="G304" s="211"/>
      <c r="H304" s="107">
        <v>3.7</v>
      </c>
      <c r="I304" s="203">
        <f t="shared" si="12"/>
        <v>1.3703703703703704E-2</v>
      </c>
      <c r="J304" s="213">
        <f t="shared" si="11"/>
        <v>1.3703703703703704E-2</v>
      </c>
    </row>
    <row r="305" spans="1:10">
      <c r="A305" s="107">
        <v>1</v>
      </c>
      <c r="B305" s="107">
        <v>17</v>
      </c>
      <c r="C305" s="107">
        <v>14</v>
      </c>
      <c r="D305" s="107" t="s">
        <v>711</v>
      </c>
      <c r="E305" s="107" t="s">
        <v>712</v>
      </c>
      <c r="F305" s="107">
        <v>152</v>
      </c>
      <c r="G305" s="211"/>
      <c r="H305" s="107">
        <v>2.75</v>
      </c>
      <c r="I305" s="203">
        <f t="shared" si="12"/>
        <v>1.8092105263157895E-2</v>
      </c>
      <c r="J305" s="213">
        <f t="shared" si="11"/>
        <v>1.8092105263157895E-2</v>
      </c>
    </row>
    <row r="306" spans="1:10">
      <c r="A306" s="107">
        <v>1</v>
      </c>
      <c r="B306" s="107">
        <v>17</v>
      </c>
      <c r="C306" s="107">
        <v>15</v>
      </c>
      <c r="D306" s="107" t="s">
        <v>694</v>
      </c>
      <c r="E306" s="107" t="s">
        <v>695</v>
      </c>
      <c r="F306" s="107">
        <v>708</v>
      </c>
      <c r="G306" s="211"/>
      <c r="H306" s="107">
        <v>13.97</v>
      </c>
      <c r="I306" s="203">
        <f t="shared" si="12"/>
        <v>1.9731638418079098E-2</v>
      </c>
      <c r="J306" s="213">
        <f t="shared" si="11"/>
        <v>1.9731638418079098E-2</v>
      </c>
    </row>
    <row r="307" spans="1:10">
      <c r="A307" s="107">
        <v>1</v>
      </c>
      <c r="B307" s="107">
        <v>17</v>
      </c>
      <c r="C307" s="107">
        <v>16</v>
      </c>
      <c r="D307" s="107" t="s">
        <v>688</v>
      </c>
      <c r="E307" s="107" t="s">
        <v>689</v>
      </c>
      <c r="F307" s="107">
        <v>285</v>
      </c>
      <c r="G307" s="211"/>
      <c r="H307" s="107">
        <v>1.2</v>
      </c>
      <c r="I307" s="203">
        <f t="shared" si="12"/>
        <v>4.2105263157894736E-3</v>
      </c>
      <c r="J307" s="213">
        <f t="shared" si="11"/>
        <v>4.2105263157894736E-3</v>
      </c>
    </row>
    <row r="308" spans="1:10">
      <c r="A308" s="107">
        <v>1</v>
      </c>
      <c r="B308" s="107">
        <v>17</v>
      </c>
      <c r="C308" s="107">
        <v>17</v>
      </c>
      <c r="D308" s="107" t="s">
        <v>702</v>
      </c>
      <c r="E308" s="107" t="s">
        <v>703</v>
      </c>
      <c r="F308" s="107">
        <v>210</v>
      </c>
      <c r="G308" s="211"/>
      <c r="H308" s="107">
        <v>1.25</v>
      </c>
      <c r="I308" s="203">
        <f t="shared" si="12"/>
        <v>5.9523809523809521E-3</v>
      </c>
      <c r="J308" s="213">
        <f t="shared" si="11"/>
        <v>5.9523809523809521E-3</v>
      </c>
    </row>
    <row r="309" spans="1:10">
      <c r="A309" s="107">
        <v>1</v>
      </c>
      <c r="B309" s="107">
        <v>17</v>
      </c>
      <c r="C309" s="107">
        <v>18</v>
      </c>
      <c r="D309" s="107" t="s">
        <v>715</v>
      </c>
      <c r="E309" s="107" t="s">
        <v>716</v>
      </c>
      <c r="F309" s="107">
        <v>1420</v>
      </c>
      <c r="G309" s="211"/>
      <c r="H309" s="107">
        <v>35.5</v>
      </c>
      <c r="I309" s="203">
        <f t="shared" si="12"/>
        <v>2.5000000000000001E-2</v>
      </c>
      <c r="J309" s="213">
        <f t="shared" si="11"/>
        <v>2.5000000000000001E-2</v>
      </c>
    </row>
    <row r="310" spans="1:10">
      <c r="A310" s="201">
        <v>1</v>
      </c>
      <c r="B310" s="201">
        <v>18</v>
      </c>
      <c r="C310" s="201">
        <v>1</v>
      </c>
      <c r="D310" s="201" t="s">
        <v>719</v>
      </c>
      <c r="E310" s="201" t="s">
        <v>720</v>
      </c>
      <c r="F310" s="201">
        <v>520</v>
      </c>
      <c r="G310" s="212"/>
      <c r="H310" s="201">
        <v>4.04</v>
      </c>
      <c r="I310" s="204">
        <f t="shared" si="12"/>
        <v>7.7692307692307696E-3</v>
      </c>
      <c r="J310" s="214">
        <f t="shared" si="11"/>
        <v>7.7692307692307696E-3</v>
      </c>
    </row>
    <row r="311" spans="1:10">
      <c r="A311" s="201">
        <v>1</v>
      </c>
      <c r="B311" s="201">
        <v>18</v>
      </c>
      <c r="C311" s="201">
        <v>2</v>
      </c>
      <c r="D311" s="201" t="s">
        <v>749</v>
      </c>
      <c r="E311" s="201" t="s">
        <v>750</v>
      </c>
      <c r="F311" s="201">
        <v>263</v>
      </c>
      <c r="G311" s="212"/>
      <c r="H311" s="201">
        <v>2.27</v>
      </c>
      <c r="I311" s="204">
        <f t="shared" si="12"/>
        <v>8.6311787072243344E-3</v>
      </c>
      <c r="J311" s="214">
        <f t="shared" si="11"/>
        <v>8.6311787072243344E-3</v>
      </c>
    </row>
    <row r="312" spans="1:10">
      <c r="A312" s="201">
        <v>1</v>
      </c>
      <c r="B312" s="201">
        <v>18</v>
      </c>
      <c r="C312" s="201">
        <v>3</v>
      </c>
      <c r="D312" s="201" t="s">
        <v>751</v>
      </c>
      <c r="E312" s="201" t="s">
        <v>752</v>
      </c>
      <c r="F312" s="201">
        <v>1090</v>
      </c>
      <c r="G312" s="212"/>
      <c r="H312" s="201">
        <v>9.4499999999999993</v>
      </c>
      <c r="I312" s="204">
        <f t="shared" si="12"/>
        <v>8.6697247706422013E-3</v>
      </c>
      <c r="J312" s="214">
        <f t="shared" si="11"/>
        <v>8.6697247706422013E-3</v>
      </c>
    </row>
    <row r="313" spans="1:10">
      <c r="A313" s="201">
        <v>1</v>
      </c>
      <c r="B313" s="201">
        <v>18</v>
      </c>
      <c r="C313" s="201">
        <v>4</v>
      </c>
      <c r="D313" s="201" t="s">
        <v>741</v>
      </c>
      <c r="E313" s="201" t="s">
        <v>742</v>
      </c>
      <c r="F313" s="201">
        <v>319</v>
      </c>
      <c r="G313" s="212"/>
      <c r="H313" s="201">
        <v>2.73</v>
      </c>
      <c r="I313" s="204">
        <f t="shared" si="12"/>
        <v>8.5579937304075242E-3</v>
      </c>
      <c r="J313" s="214">
        <f t="shared" si="11"/>
        <v>8.5579937304075242E-3</v>
      </c>
    </row>
    <row r="314" spans="1:10">
      <c r="A314" s="201">
        <v>1</v>
      </c>
      <c r="B314" s="201">
        <v>18</v>
      </c>
      <c r="C314" s="201">
        <v>5</v>
      </c>
      <c r="D314" s="201" t="s">
        <v>731</v>
      </c>
      <c r="E314" s="201" t="s">
        <v>732</v>
      </c>
      <c r="F314" s="201">
        <v>260</v>
      </c>
      <c r="G314" s="212"/>
      <c r="H314" s="201">
        <v>3.49</v>
      </c>
      <c r="I314" s="204">
        <f t="shared" si="12"/>
        <v>1.3423076923076925E-2</v>
      </c>
      <c r="J314" s="214">
        <f t="shared" si="11"/>
        <v>1.3423076923076925E-2</v>
      </c>
    </row>
    <row r="315" spans="1:10">
      <c r="A315" s="201">
        <v>1</v>
      </c>
      <c r="B315" s="201">
        <v>18</v>
      </c>
      <c r="C315" s="201">
        <v>6</v>
      </c>
      <c r="D315" s="201" t="s">
        <v>723</v>
      </c>
      <c r="E315" s="201" t="s">
        <v>724</v>
      </c>
      <c r="F315" s="201">
        <v>102</v>
      </c>
      <c r="G315" s="212"/>
      <c r="H315" s="201">
        <v>1.59</v>
      </c>
      <c r="I315" s="204">
        <f t="shared" si="12"/>
        <v>1.5588235294117648E-2</v>
      </c>
      <c r="J315" s="214">
        <f t="shared" si="11"/>
        <v>1.5588235294117648E-2</v>
      </c>
    </row>
    <row r="316" spans="1:10">
      <c r="A316" s="201">
        <v>1</v>
      </c>
      <c r="B316" s="201">
        <v>18</v>
      </c>
      <c r="C316" s="201">
        <v>7</v>
      </c>
      <c r="D316" s="201" t="s">
        <v>743</v>
      </c>
      <c r="E316" s="201" t="s">
        <v>744</v>
      </c>
      <c r="F316" s="201">
        <v>60</v>
      </c>
      <c r="G316" s="212"/>
      <c r="H316" s="201">
        <v>0.81</v>
      </c>
      <c r="I316" s="204">
        <f t="shared" si="12"/>
        <v>1.3500000000000002E-2</v>
      </c>
      <c r="J316" s="214">
        <f t="shared" si="11"/>
        <v>1.3500000000000002E-2</v>
      </c>
    </row>
    <row r="317" spans="1:10">
      <c r="A317" s="201">
        <v>1</v>
      </c>
      <c r="B317" s="201">
        <v>18</v>
      </c>
      <c r="C317" s="201">
        <v>8</v>
      </c>
      <c r="D317" s="201" t="s">
        <v>747</v>
      </c>
      <c r="E317" s="201" t="s">
        <v>748</v>
      </c>
      <c r="F317" s="201">
        <v>860</v>
      </c>
      <c r="G317" s="212"/>
      <c r="H317" s="201">
        <v>8.2100000000000009</v>
      </c>
      <c r="I317" s="204">
        <f t="shared" si="12"/>
        <v>9.546511627906977E-3</v>
      </c>
      <c r="J317" s="214">
        <f t="shared" si="11"/>
        <v>9.546511627906977E-3</v>
      </c>
    </row>
    <row r="318" spans="1:10">
      <c r="A318" s="201">
        <v>1</v>
      </c>
      <c r="B318" s="201">
        <v>18</v>
      </c>
      <c r="C318" s="201">
        <v>9</v>
      </c>
      <c r="D318" s="201" t="s">
        <v>753</v>
      </c>
      <c r="E318" s="201" t="s">
        <v>754</v>
      </c>
      <c r="F318" s="201">
        <v>1290</v>
      </c>
      <c r="G318" s="212"/>
      <c r="H318" s="201">
        <v>22.21</v>
      </c>
      <c r="I318" s="204">
        <f t="shared" si="12"/>
        <v>1.7217054263565894E-2</v>
      </c>
      <c r="J318" s="214">
        <f t="shared" si="11"/>
        <v>1.7217054263565894E-2</v>
      </c>
    </row>
    <row r="319" spans="1:10">
      <c r="A319" s="201">
        <v>1</v>
      </c>
      <c r="B319" s="201">
        <v>18</v>
      </c>
      <c r="C319" s="201">
        <v>10</v>
      </c>
      <c r="D319" s="201" t="s">
        <v>725</v>
      </c>
      <c r="E319" s="201" t="s">
        <v>726</v>
      </c>
      <c r="F319" s="201">
        <v>213</v>
      </c>
      <c r="G319" s="212"/>
      <c r="H319" s="201">
        <v>3.21</v>
      </c>
      <c r="I319" s="204">
        <f t="shared" si="12"/>
        <v>1.5070422535211268E-2</v>
      </c>
      <c r="J319" s="214">
        <f t="shared" si="11"/>
        <v>1.5070422535211268E-2</v>
      </c>
    </row>
    <row r="320" spans="1:10">
      <c r="A320" s="201">
        <v>1</v>
      </c>
      <c r="B320" s="201">
        <v>18</v>
      </c>
      <c r="C320" s="201">
        <v>11</v>
      </c>
      <c r="D320" s="201" t="s">
        <v>733</v>
      </c>
      <c r="E320" s="201" t="s">
        <v>734</v>
      </c>
      <c r="F320" s="201">
        <v>752</v>
      </c>
      <c r="G320" s="212"/>
      <c r="H320" s="201">
        <v>14.6</v>
      </c>
      <c r="I320" s="204">
        <f t="shared" si="12"/>
        <v>1.9414893617021277E-2</v>
      </c>
      <c r="J320" s="214">
        <f t="shared" si="11"/>
        <v>1.9414893617021277E-2</v>
      </c>
    </row>
    <row r="321" spans="1:10">
      <c r="A321" s="201">
        <v>1</v>
      </c>
      <c r="B321" s="201">
        <v>18</v>
      </c>
      <c r="C321" s="201">
        <v>12</v>
      </c>
      <c r="D321" s="201" t="s">
        <v>737</v>
      </c>
      <c r="E321" s="201" t="s">
        <v>738</v>
      </c>
      <c r="F321" s="201">
        <v>466</v>
      </c>
      <c r="G321" s="212"/>
      <c r="H321" s="201">
        <v>8.02</v>
      </c>
      <c r="I321" s="204">
        <f t="shared" si="12"/>
        <v>1.7210300429184547E-2</v>
      </c>
      <c r="J321" s="214">
        <f t="shared" si="11"/>
        <v>1.7210300429184547E-2</v>
      </c>
    </row>
    <row r="322" spans="1:10">
      <c r="A322" s="201">
        <v>1</v>
      </c>
      <c r="B322" s="201">
        <v>18</v>
      </c>
      <c r="C322" s="201">
        <v>13</v>
      </c>
      <c r="D322" s="201" t="s">
        <v>727</v>
      </c>
      <c r="E322" s="201" t="s">
        <v>728</v>
      </c>
      <c r="F322" s="201">
        <v>359</v>
      </c>
      <c r="G322" s="212"/>
      <c r="H322" s="201">
        <v>5.66</v>
      </c>
      <c r="I322" s="204">
        <f t="shared" si="12"/>
        <v>1.5766016713091923E-2</v>
      </c>
      <c r="J322" s="214">
        <f t="shared" si="11"/>
        <v>1.5766016713091923E-2</v>
      </c>
    </row>
    <row r="323" spans="1:10">
      <c r="A323" s="201">
        <v>1</v>
      </c>
      <c r="B323" s="201">
        <v>18</v>
      </c>
      <c r="C323" s="201">
        <v>14</v>
      </c>
      <c r="D323" s="201" t="s">
        <v>729</v>
      </c>
      <c r="E323" s="201" t="s">
        <v>730</v>
      </c>
      <c r="F323" s="201">
        <v>240</v>
      </c>
      <c r="G323" s="212"/>
      <c r="H323" s="201">
        <v>5.53</v>
      </c>
      <c r="I323" s="204">
        <f t="shared" si="12"/>
        <v>2.3041666666666669E-2</v>
      </c>
      <c r="J323" s="214">
        <f t="shared" si="11"/>
        <v>2.3041666666666669E-2</v>
      </c>
    </row>
    <row r="324" spans="1:10">
      <c r="A324" s="201">
        <v>1</v>
      </c>
      <c r="B324" s="201">
        <v>18</v>
      </c>
      <c r="C324" s="201">
        <v>15</v>
      </c>
      <c r="D324" s="201" t="s">
        <v>735</v>
      </c>
      <c r="E324" s="201" t="s">
        <v>736</v>
      </c>
      <c r="F324" s="201">
        <v>1953</v>
      </c>
      <c r="G324" s="212"/>
      <c r="H324" s="201">
        <v>35.14</v>
      </c>
      <c r="I324" s="204">
        <f t="shared" si="12"/>
        <v>1.7992831541218637E-2</v>
      </c>
      <c r="J324" s="214">
        <f t="shared" si="11"/>
        <v>1.7992831541218637E-2</v>
      </c>
    </row>
    <row r="325" spans="1:10">
      <c r="A325" s="201">
        <v>1</v>
      </c>
      <c r="B325" s="201">
        <v>18</v>
      </c>
      <c r="C325" s="201">
        <v>16</v>
      </c>
      <c r="D325" s="201" t="s">
        <v>721</v>
      </c>
      <c r="E325" s="201" t="s">
        <v>722</v>
      </c>
      <c r="F325" s="201">
        <v>870</v>
      </c>
      <c r="G325" s="212"/>
      <c r="H325" s="201">
        <v>11.06</v>
      </c>
      <c r="I325" s="204">
        <f t="shared" si="12"/>
        <v>1.2712643678160921E-2</v>
      </c>
      <c r="J325" s="214">
        <f t="shared" ref="J325:J388" si="13">IF(G325="",I325,I325/(1-G325))</f>
        <v>1.2712643678160921E-2</v>
      </c>
    </row>
    <row r="326" spans="1:10">
      <c r="A326" s="201">
        <v>1</v>
      </c>
      <c r="B326" s="201">
        <v>18</v>
      </c>
      <c r="C326" s="201">
        <v>17</v>
      </c>
      <c r="D326" s="201" t="s">
        <v>739</v>
      </c>
      <c r="E326" s="201" t="s">
        <v>740</v>
      </c>
      <c r="F326" s="201">
        <v>930</v>
      </c>
      <c r="G326" s="212"/>
      <c r="H326" s="201">
        <v>9.16</v>
      </c>
      <c r="I326" s="204">
        <f t="shared" si="12"/>
        <v>9.8494623655913972E-3</v>
      </c>
      <c r="J326" s="214">
        <f t="shared" si="13"/>
        <v>9.8494623655913972E-3</v>
      </c>
    </row>
    <row r="327" spans="1:10">
      <c r="A327" s="201">
        <v>1</v>
      </c>
      <c r="B327" s="201">
        <v>18</v>
      </c>
      <c r="C327" s="201">
        <v>18</v>
      </c>
      <c r="D327" s="201" t="s">
        <v>745</v>
      </c>
      <c r="E327" s="201" t="s">
        <v>746</v>
      </c>
      <c r="F327" s="201">
        <v>900</v>
      </c>
      <c r="G327" s="212"/>
      <c r="H327" s="201">
        <v>13.31</v>
      </c>
      <c r="I327" s="204">
        <f t="shared" si="12"/>
        <v>1.478888888888889E-2</v>
      </c>
      <c r="J327" s="214">
        <f t="shared" si="13"/>
        <v>1.478888888888889E-2</v>
      </c>
    </row>
    <row r="328" spans="1:10">
      <c r="A328" s="107">
        <v>2</v>
      </c>
      <c r="B328" s="107">
        <v>19</v>
      </c>
      <c r="C328" s="107">
        <v>1</v>
      </c>
      <c r="D328" s="107" t="s">
        <v>598</v>
      </c>
      <c r="E328" s="107" t="s">
        <v>599</v>
      </c>
      <c r="F328" s="107">
        <v>444</v>
      </c>
      <c r="G328" s="211"/>
      <c r="H328" s="107">
        <v>8.44</v>
      </c>
      <c r="I328" s="203">
        <f t="shared" si="12"/>
        <v>1.9009009009009009E-2</v>
      </c>
      <c r="J328" s="213">
        <f t="shared" si="13"/>
        <v>1.9009009009009009E-2</v>
      </c>
    </row>
    <row r="329" spans="1:10">
      <c r="A329" s="107">
        <v>2</v>
      </c>
      <c r="B329" s="107">
        <v>19</v>
      </c>
      <c r="C329" s="107">
        <v>2</v>
      </c>
      <c r="D329" s="107" t="s">
        <v>178</v>
      </c>
      <c r="E329" s="107" t="s">
        <v>179</v>
      </c>
      <c r="F329" s="107">
        <v>0</v>
      </c>
      <c r="G329" s="211"/>
      <c r="H329" s="107">
        <v>0</v>
      </c>
      <c r="I329" s="203" t="e">
        <f t="shared" ref="I329:I392" si="14">IF(F329="","",H329/F329)</f>
        <v>#DIV/0!</v>
      </c>
      <c r="J329" s="213" t="e">
        <f t="shared" si="13"/>
        <v>#DIV/0!</v>
      </c>
    </row>
    <row r="330" spans="1:10">
      <c r="A330" s="107">
        <v>2</v>
      </c>
      <c r="B330" s="107">
        <v>19</v>
      </c>
      <c r="C330" s="107">
        <v>3</v>
      </c>
      <c r="D330" s="107" t="s">
        <v>751</v>
      </c>
      <c r="E330" s="107" t="s">
        <v>752</v>
      </c>
      <c r="F330" s="107">
        <v>490</v>
      </c>
      <c r="G330" s="211"/>
      <c r="H330" s="107">
        <v>15.78</v>
      </c>
      <c r="I330" s="203">
        <f t="shared" si="14"/>
        <v>3.2204081632653057E-2</v>
      </c>
      <c r="J330" s="213">
        <f t="shared" si="13"/>
        <v>3.2204081632653057E-2</v>
      </c>
    </row>
    <row r="331" spans="1:10">
      <c r="A331" s="107">
        <v>2</v>
      </c>
      <c r="B331" s="107">
        <v>19</v>
      </c>
      <c r="C331" s="107">
        <v>4</v>
      </c>
      <c r="D331" s="107" t="s">
        <v>477</v>
      </c>
      <c r="E331" s="107" t="s">
        <v>478</v>
      </c>
      <c r="F331" s="107">
        <v>205</v>
      </c>
      <c r="G331" s="211"/>
      <c r="H331" s="107">
        <v>4.75</v>
      </c>
      <c r="I331" s="203">
        <f t="shared" si="14"/>
        <v>2.3170731707317073E-2</v>
      </c>
      <c r="J331" s="213">
        <f t="shared" si="13"/>
        <v>2.3170731707317073E-2</v>
      </c>
    </row>
    <row r="332" spans="1:10">
      <c r="A332" s="107">
        <v>2</v>
      </c>
      <c r="B332" s="107">
        <v>19</v>
      </c>
      <c r="C332" s="107">
        <v>5</v>
      </c>
      <c r="D332" s="107" t="s">
        <v>285</v>
      </c>
      <c r="E332" s="107" t="s">
        <v>286</v>
      </c>
      <c r="F332" s="215">
        <v>0</v>
      </c>
      <c r="G332" s="211"/>
      <c r="H332" s="107">
        <v>8.14</v>
      </c>
      <c r="I332" s="203" t="e">
        <f t="shared" si="14"/>
        <v>#DIV/0!</v>
      </c>
      <c r="J332" s="213" t="e">
        <f t="shared" si="13"/>
        <v>#DIV/0!</v>
      </c>
    </row>
    <row r="333" spans="1:10">
      <c r="A333" s="107">
        <v>2</v>
      </c>
      <c r="B333" s="107">
        <v>19</v>
      </c>
      <c r="C333" s="107">
        <v>6</v>
      </c>
      <c r="D333" s="107" t="s">
        <v>562</v>
      </c>
      <c r="E333" s="107" t="s">
        <v>563</v>
      </c>
      <c r="F333" s="107">
        <v>142</v>
      </c>
      <c r="G333" s="211"/>
      <c r="H333" s="107">
        <v>6.01</v>
      </c>
      <c r="I333" s="203">
        <f t="shared" si="14"/>
        <v>4.2323943661971827E-2</v>
      </c>
      <c r="J333" s="213">
        <f t="shared" si="13"/>
        <v>4.2323943661971827E-2</v>
      </c>
    </row>
    <row r="334" spans="1:10">
      <c r="A334" s="107">
        <v>2</v>
      </c>
      <c r="B334" s="107">
        <v>19</v>
      </c>
      <c r="C334" s="107">
        <v>7</v>
      </c>
      <c r="D334" s="107" t="s">
        <v>417</v>
      </c>
      <c r="E334" s="107" t="s">
        <v>418</v>
      </c>
      <c r="F334" s="107">
        <v>187</v>
      </c>
      <c r="G334" s="211"/>
      <c r="H334" s="107">
        <v>4.6500000000000004</v>
      </c>
      <c r="I334" s="203">
        <f t="shared" si="14"/>
        <v>2.4866310160427809E-2</v>
      </c>
      <c r="J334" s="213">
        <f t="shared" si="13"/>
        <v>2.4866310160427809E-2</v>
      </c>
    </row>
    <row r="335" spans="1:10">
      <c r="A335" s="107">
        <v>2</v>
      </c>
      <c r="B335" s="107">
        <v>19</v>
      </c>
      <c r="C335" s="107">
        <v>8</v>
      </c>
      <c r="D335" s="107" t="s">
        <v>250</v>
      </c>
      <c r="E335" s="107" t="s">
        <v>251</v>
      </c>
      <c r="F335" s="107">
        <v>285</v>
      </c>
      <c r="G335" s="211"/>
      <c r="H335" s="107">
        <v>14.68</v>
      </c>
      <c r="I335" s="203">
        <f t="shared" si="14"/>
        <v>5.1508771929824559E-2</v>
      </c>
      <c r="J335" s="213">
        <f t="shared" si="13"/>
        <v>5.1508771929824559E-2</v>
      </c>
    </row>
    <row r="336" spans="1:10">
      <c r="A336" s="107">
        <v>2</v>
      </c>
      <c r="B336" s="107">
        <v>19</v>
      </c>
      <c r="C336" s="107">
        <v>9</v>
      </c>
      <c r="D336" s="107" t="s">
        <v>538</v>
      </c>
      <c r="E336" s="107" t="s">
        <v>539</v>
      </c>
      <c r="F336" s="107">
        <v>204</v>
      </c>
      <c r="G336" s="211"/>
      <c r="H336" s="107">
        <v>12.72</v>
      </c>
      <c r="I336" s="203">
        <f t="shared" si="14"/>
        <v>6.235294117647059E-2</v>
      </c>
      <c r="J336" s="213">
        <f t="shared" si="13"/>
        <v>6.235294117647059E-2</v>
      </c>
    </row>
    <row r="337" spans="1:10">
      <c r="A337" s="107">
        <v>2</v>
      </c>
      <c r="B337" s="107">
        <v>19</v>
      </c>
      <c r="C337" s="107">
        <v>10</v>
      </c>
      <c r="D337" s="107" t="s">
        <v>309</v>
      </c>
      <c r="E337" s="107" t="s">
        <v>310</v>
      </c>
      <c r="F337" s="107">
        <v>61</v>
      </c>
      <c r="G337" s="211"/>
      <c r="H337" s="107">
        <v>1.06</v>
      </c>
      <c r="I337" s="203">
        <f t="shared" si="14"/>
        <v>1.7377049180327869E-2</v>
      </c>
      <c r="J337" s="213">
        <f t="shared" si="13"/>
        <v>1.7377049180327869E-2</v>
      </c>
    </row>
    <row r="338" spans="1:10">
      <c r="A338" s="107">
        <v>2</v>
      </c>
      <c r="B338" s="107">
        <v>19</v>
      </c>
      <c r="C338" s="107">
        <v>11</v>
      </c>
      <c r="D338" s="107" t="s">
        <v>614</v>
      </c>
      <c r="E338" s="107" t="s">
        <v>615</v>
      </c>
      <c r="F338" s="107">
        <v>0</v>
      </c>
      <c r="G338" s="211"/>
      <c r="H338" s="107">
        <v>0</v>
      </c>
      <c r="I338" s="203" t="e">
        <f t="shared" si="14"/>
        <v>#DIV/0!</v>
      </c>
      <c r="J338" s="213" t="e">
        <f t="shared" si="13"/>
        <v>#DIV/0!</v>
      </c>
    </row>
    <row r="339" spans="1:10">
      <c r="A339" s="107">
        <v>2</v>
      </c>
      <c r="B339" s="107">
        <v>19</v>
      </c>
      <c r="C339" s="107">
        <v>12</v>
      </c>
      <c r="D339" s="107" t="s">
        <v>692</v>
      </c>
      <c r="E339" s="107" t="s">
        <v>693</v>
      </c>
      <c r="F339" s="107">
        <v>275</v>
      </c>
      <c r="G339" s="211"/>
      <c r="H339" s="107">
        <v>24.66</v>
      </c>
      <c r="I339" s="203">
        <f t="shared" si="14"/>
        <v>8.9672727272727279E-2</v>
      </c>
      <c r="J339" s="213">
        <f t="shared" si="13"/>
        <v>8.9672727272727279E-2</v>
      </c>
    </row>
    <row r="340" spans="1:10">
      <c r="A340" s="107">
        <v>2</v>
      </c>
      <c r="B340" s="107">
        <v>19</v>
      </c>
      <c r="C340" s="107">
        <v>13</v>
      </c>
      <c r="D340" s="107" t="s">
        <v>236</v>
      </c>
      <c r="E340" s="107" t="s">
        <v>237</v>
      </c>
      <c r="F340" s="107">
        <v>0</v>
      </c>
      <c r="G340" s="211"/>
      <c r="H340" s="107">
        <v>0</v>
      </c>
      <c r="I340" s="203" t="e">
        <f t="shared" si="14"/>
        <v>#DIV/0!</v>
      </c>
      <c r="J340" s="213" t="e">
        <f t="shared" si="13"/>
        <v>#DIV/0!</v>
      </c>
    </row>
    <row r="341" spans="1:10">
      <c r="A341" s="107">
        <v>2</v>
      </c>
      <c r="B341" s="107">
        <v>19</v>
      </c>
      <c r="C341" s="107">
        <v>14</v>
      </c>
      <c r="D341" s="107" t="s">
        <v>511</v>
      </c>
      <c r="E341" s="107" t="s">
        <v>512</v>
      </c>
      <c r="F341" s="107">
        <v>1020</v>
      </c>
      <c r="G341" s="211"/>
      <c r="H341" s="107">
        <v>21.03</v>
      </c>
      <c r="I341" s="203">
        <f t="shared" si="14"/>
        <v>2.0617647058823532E-2</v>
      </c>
      <c r="J341" s="213">
        <f t="shared" si="13"/>
        <v>2.0617647058823532E-2</v>
      </c>
    </row>
    <row r="342" spans="1:10">
      <c r="A342" s="107">
        <v>2</v>
      </c>
      <c r="B342" s="107">
        <v>19</v>
      </c>
      <c r="C342" s="107">
        <v>15</v>
      </c>
      <c r="D342" s="107" t="s">
        <v>407</v>
      </c>
      <c r="E342" s="107" t="s">
        <v>408</v>
      </c>
      <c r="F342" s="107">
        <v>457</v>
      </c>
      <c r="G342" s="211"/>
      <c r="H342" s="107">
        <v>10.73</v>
      </c>
      <c r="I342" s="203">
        <f t="shared" si="14"/>
        <v>2.3479212253829321E-2</v>
      </c>
      <c r="J342" s="213">
        <f t="shared" si="13"/>
        <v>2.3479212253829321E-2</v>
      </c>
    </row>
    <row r="343" spans="1:10">
      <c r="A343" s="107">
        <v>2</v>
      </c>
      <c r="B343" s="107">
        <v>19</v>
      </c>
      <c r="C343" s="107">
        <v>16</v>
      </c>
      <c r="D343" s="107" t="s">
        <v>664</v>
      </c>
      <c r="E343" s="107" t="s">
        <v>665</v>
      </c>
      <c r="F343" s="107">
        <v>140</v>
      </c>
      <c r="G343" s="211"/>
      <c r="H343" s="107">
        <v>2.82</v>
      </c>
      <c r="I343" s="203">
        <f t="shared" si="14"/>
        <v>2.0142857142857143E-2</v>
      </c>
      <c r="J343" s="213">
        <f t="shared" si="13"/>
        <v>2.0142857142857143E-2</v>
      </c>
    </row>
    <row r="344" spans="1:10">
      <c r="A344" s="107">
        <v>2</v>
      </c>
      <c r="B344" s="107">
        <v>19</v>
      </c>
      <c r="C344" s="107">
        <v>17</v>
      </c>
      <c r="D344" s="107" t="s">
        <v>345</v>
      </c>
      <c r="E344" s="107" t="s">
        <v>346</v>
      </c>
      <c r="F344" s="107">
        <v>890</v>
      </c>
      <c r="G344" s="211"/>
      <c r="H344" s="107">
        <v>28.04</v>
      </c>
      <c r="I344" s="203">
        <f t="shared" si="14"/>
        <v>3.1505617977528086E-2</v>
      </c>
      <c r="J344" s="213">
        <f t="shared" si="13"/>
        <v>3.1505617977528086E-2</v>
      </c>
    </row>
    <row r="345" spans="1:10">
      <c r="A345" s="107">
        <v>2</v>
      </c>
      <c r="B345" s="107">
        <v>19</v>
      </c>
      <c r="C345" s="107">
        <v>18</v>
      </c>
      <c r="D345" s="107" t="s">
        <v>160</v>
      </c>
      <c r="E345" s="107" t="s">
        <v>161</v>
      </c>
      <c r="F345" s="107">
        <v>960</v>
      </c>
      <c r="G345" s="211"/>
      <c r="H345" s="107">
        <v>27.27</v>
      </c>
      <c r="I345" s="203">
        <f t="shared" si="14"/>
        <v>2.8406250000000001E-2</v>
      </c>
      <c r="J345" s="213">
        <f t="shared" si="13"/>
        <v>2.8406250000000001E-2</v>
      </c>
    </row>
    <row r="346" spans="1:10">
      <c r="A346" s="201">
        <v>2</v>
      </c>
      <c r="B346" s="201">
        <v>20</v>
      </c>
      <c r="C346" s="201">
        <v>1</v>
      </c>
      <c r="D346" s="201" t="s">
        <v>214</v>
      </c>
      <c r="E346" s="201" t="s">
        <v>215</v>
      </c>
      <c r="F346" s="201">
        <v>240</v>
      </c>
      <c r="G346" s="212"/>
      <c r="H346" s="201">
        <v>5.0199999999999996</v>
      </c>
      <c r="I346" s="204">
        <f t="shared" si="14"/>
        <v>2.0916666666666663E-2</v>
      </c>
      <c r="J346" s="214">
        <f t="shared" si="13"/>
        <v>2.0916666666666663E-2</v>
      </c>
    </row>
    <row r="347" spans="1:10">
      <c r="A347" s="201">
        <v>2</v>
      </c>
      <c r="B347" s="201">
        <v>20</v>
      </c>
      <c r="C347" s="201">
        <v>2</v>
      </c>
      <c r="D347" s="201" t="s">
        <v>582</v>
      </c>
      <c r="E347" s="201" t="s">
        <v>583</v>
      </c>
      <c r="F347" s="201">
        <v>555</v>
      </c>
      <c r="G347" s="212"/>
      <c r="H347" s="201">
        <v>12.66</v>
      </c>
      <c r="I347" s="204">
        <f t="shared" si="14"/>
        <v>2.2810810810810812E-2</v>
      </c>
      <c r="J347" s="214">
        <f t="shared" si="13"/>
        <v>2.2810810810810812E-2</v>
      </c>
    </row>
    <row r="348" spans="1:10">
      <c r="A348" s="201">
        <v>2</v>
      </c>
      <c r="B348" s="201">
        <v>20</v>
      </c>
      <c r="C348" s="201">
        <v>3</v>
      </c>
      <c r="D348" s="201" t="s">
        <v>393</v>
      </c>
      <c r="E348" s="201" t="s">
        <v>394</v>
      </c>
      <c r="F348" s="201">
        <v>560</v>
      </c>
      <c r="G348" s="212"/>
      <c r="H348" s="201">
        <v>18.39</v>
      </c>
      <c r="I348" s="204">
        <f t="shared" si="14"/>
        <v>3.2839285714285717E-2</v>
      </c>
      <c r="J348" s="214">
        <f t="shared" si="13"/>
        <v>3.2839285714285717E-2</v>
      </c>
    </row>
    <row r="349" spans="1:10">
      <c r="A349" s="201">
        <v>2</v>
      </c>
      <c r="B349" s="201">
        <v>20</v>
      </c>
      <c r="C349" s="201">
        <v>4</v>
      </c>
      <c r="D349" s="201" t="s">
        <v>270</v>
      </c>
      <c r="E349" s="201" t="s">
        <v>163</v>
      </c>
      <c r="F349" s="201">
        <v>190</v>
      </c>
      <c r="G349" s="212"/>
      <c r="H349" s="201">
        <v>1.47</v>
      </c>
      <c r="I349" s="204">
        <f t="shared" si="14"/>
        <v>7.7368421052631574E-3</v>
      </c>
      <c r="J349" s="214">
        <f t="shared" si="13"/>
        <v>7.7368421052631574E-3</v>
      </c>
    </row>
    <row r="350" spans="1:10">
      <c r="A350" s="201">
        <v>2</v>
      </c>
      <c r="B350" s="201">
        <v>20</v>
      </c>
      <c r="C350" s="201">
        <v>5</v>
      </c>
      <c r="D350" s="201" t="s">
        <v>154</v>
      </c>
      <c r="E350" s="201" t="s">
        <v>155</v>
      </c>
      <c r="F350" s="201">
        <v>0</v>
      </c>
      <c r="G350" s="212"/>
      <c r="H350" s="201">
        <v>0</v>
      </c>
      <c r="I350" s="204" t="e">
        <f t="shared" si="14"/>
        <v>#DIV/0!</v>
      </c>
      <c r="J350" s="214" t="e">
        <f t="shared" si="13"/>
        <v>#DIV/0!</v>
      </c>
    </row>
    <row r="351" spans="1:10">
      <c r="A351" s="201">
        <v>2</v>
      </c>
      <c r="B351" s="201">
        <v>20</v>
      </c>
      <c r="C351" s="201">
        <v>6</v>
      </c>
      <c r="D351" s="201" t="s">
        <v>295</v>
      </c>
      <c r="E351" s="201" t="s">
        <v>296</v>
      </c>
      <c r="F351" s="201">
        <v>90</v>
      </c>
      <c r="G351" s="212"/>
      <c r="H351" s="201">
        <v>3</v>
      </c>
      <c r="I351" s="204">
        <f t="shared" si="14"/>
        <v>3.3333333333333333E-2</v>
      </c>
      <c r="J351" s="214">
        <f t="shared" si="13"/>
        <v>3.3333333333333333E-2</v>
      </c>
    </row>
    <row r="352" spans="1:10">
      <c r="A352" s="201">
        <v>2</v>
      </c>
      <c r="B352" s="201">
        <v>20</v>
      </c>
      <c r="C352" s="201">
        <v>7</v>
      </c>
      <c r="D352" s="201" t="s">
        <v>182</v>
      </c>
      <c r="E352" s="201" t="s">
        <v>183</v>
      </c>
      <c r="F352" s="201">
        <v>100</v>
      </c>
      <c r="G352" s="212"/>
      <c r="H352" s="201">
        <v>1.73</v>
      </c>
      <c r="I352" s="204">
        <f t="shared" si="14"/>
        <v>1.7299999999999999E-2</v>
      </c>
      <c r="J352" s="214">
        <f t="shared" si="13"/>
        <v>1.7299999999999999E-2</v>
      </c>
    </row>
    <row r="353" spans="1:10">
      <c r="A353" s="201">
        <v>2</v>
      </c>
      <c r="B353" s="201">
        <v>20</v>
      </c>
      <c r="C353" s="201">
        <v>8</v>
      </c>
      <c r="D353" s="201" t="s">
        <v>377</v>
      </c>
      <c r="E353" s="201" t="s">
        <v>378</v>
      </c>
      <c r="F353" s="201">
        <v>124</v>
      </c>
      <c r="G353" s="212"/>
      <c r="H353" s="201">
        <v>4.03</v>
      </c>
      <c r="I353" s="204">
        <f t="shared" si="14"/>
        <v>3.2500000000000001E-2</v>
      </c>
      <c r="J353" s="214">
        <f t="shared" si="13"/>
        <v>3.2500000000000001E-2</v>
      </c>
    </row>
    <row r="354" spans="1:10">
      <c r="A354" s="201">
        <v>2</v>
      </c>
      <c r="B354" s="201">
        <v>20</v>
      </c>
      <c r="C354" s="201">
        <v>9</v>
      </c>
      <c r="D354" s="201" t="s">
        <v>523</v>
      </c>
      <c r="E354" s="201" t="s">
        <v>503</v>
      </c>
      <c r="F354" s="201">
        <v>1330</v>
      </c>
      <c r="G354" s="212"/>
      <c r="H354" s="201">
        <v>23.04</v>
      </c>
      <c r="I354" s="204">
        <f t="shared" si="14"/>
        <v>1.7323308270676692E-2</v>
      </c>
      <c r="J354" s="214">
        <f t="shared" si="13"/>
        <v>1.7323308270676692E-2</v>
      </c>
    </row>
    <row r="355" spans="1:10">
      <c r="A355" s="201">
        <v>2</v>
      </c>
      <c r="B355" s="201">
        <v>20</v>
      </c>
      <c r="C355" s="201">
        <v>10</v>
      </c>
      <c r="D355" s="201" t="s">
        <v>713</v>
      </c>
      <c r="E355" s="201" t="s">
        <v>714</v>
      </c>
      <c r="F355" s="201">
        <v>130</v>
      </c>
      <c r="G355" s="212"/>
      <c r="H355" s="201">
        <v>2.46</v>
      </c>
      <c r="I355" s="204">
        <f t="shared" si="14"/>
        <v>1.8923076923076924E-2</v>
      </c>
      <c r="J355" s="214">
        <f t="shared" si="13"/>
        <v>1.8923076923076924E-2</v>
      </c>
    </row>
    <row r="356" spans="1:10">
      <c r="A356" s="201">
        <v>2</v>
      </c>
      <c r="B356" s="201">
        <v>20</v>
      </c>
      <c r="C356" s="201">
        <v>11</v>
      </c>
      <c r="D356" s="201" t="s">
        <v>510</v>
      </c>
      <c r="E356" s="201" t="s">
        <v>503</v>
      </c>
      <c r="F356" s="201">
        <v>163</v>
      </c>
      <c r="G356" s="212"/>
      <c r="H356" s="201">
        <v>5.55</v>
      </c>
      <c r="I356" s="204">
        <f t="shared" si="14"/>
        <v>3.4049079754601225E-2</v>
      </c>
      <c r="J356" s="214">
        <f t="shared" si="13"/>
        <v>3.4049079754601225E-2</v>
      </c>
    </row>
    <row r="357" spans="1:10">
      <c r="A357" s="201">
        <v>2</v>
      </c>
      <c r="B357" s="201">
        <v>20</v>
      </c>
      <c r="C357" s="201">
        <v>12</v>
      </c>
      <c r="D357" s="201" t="s">
        <v>723</v>
      </c>
      <c r="E357" s="201" t="s">
        <v>724</v>
      </c>
      <c r="F357" s="201">
        <v>650</v>
      </c>
      <c r="G357" s="212"/>
      <c r="H357" s="201">
        <v>14</v>
      </c>
      <c r="I357" s="204">
        <f t="shared" si="14"/>
        <v>2.1538461538461538E-2</v>
      </c>
      <c r="J357" s="214">
        <f t="shared" si="13"/>
        <v>2.1538461538461538E-2</v>
      </c>
    </row>
    <row r="358" spans="1:10">
      <c r="A358" s="201">
        <v>2</v>
      </c>
      <c r="B358" s="201">
        <v>20</v>
      </c>
      <c r="C358" s="201">
        <v>13</v>
      </c>
      <c r="D358" s="201" t="s">
        <v>321</v>
      </c>
      <c r="E358" s="201" t="s">
        <v>322</v>
      </c>
      <c r="F358" s="201">
        <v>70</v>
      </c>
      <c r="G358" s="212"/>
      <c r="H358" s="201">
        <v>0.28000000000000003</v>
      </c>
      <c r="I358" s="204">
        <f t="shared" si="14"/>
        <v>4.0000000000000001E-3</v>
      </c>
      <c r="J358" s="214">
        <f t="shared" si="13"/>
        <v>4.0000000000000001E-3</v>
      </c>
    </row>
    <row r="359" spans="1:10">
      <c r="A359" s="201">
        <v>2</v>
      </c>
      <c r="B359" s="201">
        <v>20</v>
      </c>
      <c r="C359" s="201">
        <v>14</v>
      </c>
      <c r="D359" s="201" t="s">
        <v>612</v>
      </c>
      <c r="E359" s="201" t="s">
        <v>613</v>
      </c>
      <c r="F359" s="201">
        <v>325</v>
      </c>
      <c r="G359" s="212"/>
      <c r="H359" s="201">
        <v>7.7</v>
      </c>
      <c r="I359" s="204">
        <f t="shared" si="14"/>
        <v>2.3692307692307693E-2</v>
      </c>
      <c r="J359" s="214">
        <f t="shared" si="13"/>
        <v>2.3692307692307693E-2</v>
      </c>
    </row>
    <row r="360" spans="1:10">
      <c r="A360" s="201">
        <v>2</v>
      </c>
      <c r="B360" s="201">
        <v>20</v>
      </c>
      <c r="C360" s="201">
        <v>15</v>
      </c>
      <c r="D360" s="201" t="s">
        <v>544</v>
      </c>
      <c r="E360" s="201" t="s">
        <v>545</v>
      </c>
      <c r="F360" s="201">
        <v>715</v>
      </c>
      <c r="G360" s="212"/>
      <c r="H360" s="201">
        <v>20.22</v>
      </c>
      <c r="I360" s="204">
        <f t="shared" si="14"/>
        <v>2.8279720279720279E-2</v>
      </c>
      <c r="J360" s="214">
        <f t="shared" si="13"/>
        <v>2.8279720279720279E-2</v>
      </c>
    </row>
    <row r="361" spans="1:10">
      <c r="A361" s="201">
        <v>2</v>
      </c>
      <c r="B361" s="201">
        <v>20</v>
      </c>
      <c r="C361" s="201">
        <v>16</v>
      </c>
      <c r="D361" s="201" t="s">
        <v>455</v>
      </c>
      <c r="E361" s="201" t="s">
        <v>456</v>
      </c>
      <c r="F361" s="201">
        <v>25</v>
      </c>
      <c r="G361" s="212"/>
      <c r="H361" s="201">
        <v>0.93</v>
      </c>
      <c r="I361" s="204">
        <f t="shared" si="14"/>
        <v>3.7200000000000004E-2</v>
      </c>
      <c r="J361" s="214">
        <f t="shared" si="13"/>
        <v>3.7200000000000004E-2</v>
      </c>
    </row>
    <row r="362" spans="1:10">
      <c r="A362" s="201">
        <v>2</v>
      </c>
      <c r="B362" s="201">
        <v>20</v>
      </c>
      <c r="C362" s="201">
        <v>17</v>
      </c>
      <c r="D362" s="201" t="s">
        <v>658</v>
      </c>
      <c r="E362" s="201" t="s">
        <v>659</v>
      </c>
      <c r="F362" s="201">
        <v>47</v>
      </c>
      <c r="G362" s="212"/>
      <c r="H362" s="201">
        <v>0.56000000000000005</v>
      </c>
      <c r="I362" s="204">
        <f t="shared" si="14"/>
        <v>1.1914893617021277E-2</v>
      </c>
      <c r="J362" s="214">
        <f t="shared" si="13"/>
        <v>1.1914893617021277E-2</v>
      </c>
    </row>
    <row r="363" spans="1:10">
      <c r="A363" s="201">
        <v>2</v>
      </c>
      <c r="B363" s="201">
        <v>20</v>
      </c>
      <c r="C363" s="201">
        <v>18</v>
      </c>
      <c r="D363" s="201" t="s">
        <v>437</v>
      </c>
      <c r="E363" s="201" t="s">
        <v>438</v>
      </c>
      <c r="F363" s="201">
        <v>290</v>
      </c>
      <c r="G363" s="212"/>
      <c r="H363" s="201">
        <v>10.76</v>
      </c>
      <c r="I363" s="204">
        <f t="shared" si="14"/>
        <v>3.7103448275862067E-2</v>
      </c>
      <c r="J363" s="214">
        <f t="shared" si="13"/>
        <v>3.7103448275862067E-2</v>
      </c>
    </row>
    <row r="364" spans="1:10">
      <c r="A364" s="107">
        <v>2</v>
      </c>
      <c r="B364" s="107">
        <v>21</v>
      </c>
      <c r="C364" s="107">
        <v>1</v>
      </c>
      <c r="D364" s="107" t="s">
        <v>421</v>
      </c>
      <c r="E364" s="107" t="s">
        <v>422</v>
      </c>
      <c r="F364" s="107">
        <v>134</v>
      </c>
      <c r="G364" s="211"/>
      <c r="H364" s="107">
        <v>3.05</v>
      </c>
      <c r="I364" s="203">
        <f t="shared" si="14"/>
        <v>2.2761194029850745E-2</v>
      </c>
      <c r="J364" s="213">
        <f t="shared" si="13"/>
        <v>2.2761194029850745E-2</v>
      </c>
    </row>
    <row r="365" spans="1:10">
      <c r="A365" s="107">
        <v>2</v>
      </c>
      <c r="B365" s="107">
        <v>21</v>
      </c>
      <c r="C365" s="107">
        <v>2</v>
      </c>
      <c r="D365" s="107" t="s">
        <v>620</v>
      </c>
      <c r="E365" s="107" t="s">
        <v>621</v>
      </c>
      <c r="F365" s="107">
        <v>680</v>
      </c>
      <c r="G365" s="211"/>
      <c r="H365" s="107">
        <v>15.71</v>
      </c>
      <c r="I365" s="203">
        <f t="shared" si="14"/>
        <v>2.310294117647059E-2</v>
      </c>
      <c r="J365" s="213">
        <f t="shared" si="13"/>
        <v>2.310294117647059E-2</v>
      </c>
    </row>
    <row r="366" spans="1:10">
      <c r="A366" s="107">
        <v>2</v>
      </c>
      <c r="B366" s="107">
        <v>21</v>
      </c>
      <c r="C366" s="107">
        <v>3</v>
      </c>
      <c r="D366" s="107" t="s">
        <v>684</v>
      </c>
      <c r="E366" s="107" t="s">
        <v>685</v>
      </c>
      <c r="F366" s="107">
        <v>690</v>
      </c>
      <c r="G366" s="211"/>
      <c r="H366" s="107">
        <v>14.83</v>
      </c>
      <c r="I366" s="203">
        <f t="shared" si="14"/>
        <v>2.1492753623188407E-2</v>
      </c>
      <c r="J366" s="213">
        <f t="shared" si="13"/>
        <v>2.1492753623188407E-2</v>
      </c>
    </row>
    <row r="367" spans="1:10">
      <c r="A367" s="107">
        <v>2</v>
      </c>
      <c r="B367" s="107">
        <v>21</v>
      </c>
      <c r="C367" s="107">
        <v>4</v>
      </c>
      <c r="D367" s="107" t="s">
        <v>453</v>
      </c>
      <c r="E367" s="107" t="s">
        <v>454</v>
      </c>
      <c r="F367" s="107">
        <v>11</v>
      </c>
      <c r="G367" s="211"/>
      <c r="H367" s="107">
        <v>0.01</v>
      </c>
      <c r="I367" s="203">
        <f t="shared" si="14"/>
        <v>9.0909090909090909E-4</v>
      </c>
      <c r="J367" s="213">
        <f t="shared" si="13"/>
        <v>9.0909090909090909E-4</v>
      </c>
    </row>
    <row r="368" spans="1:10">
      <c r="A368" s="107">
        <v>2</v>
      </c>
      <c r="B368" s="107">
        <v>21</v>
      </c>
      <c r="C368" s="107">
        <v>5</v>
      </c>
      <c r="D368" s="107" t="s">
        <v>339</v>
      </c>
      <c r="E368" s="107" t="s">
        <v>340</v>
      </c>
      <c r="F368" s="107">
        <v>168</v>
      </c>
      <c r="G368" s="211"/>
      <c r="H368" s="107">
        <v>4.05</v>
      </c>
      <c r="I368" s="203">
        <f t="shared" si="14"/>
        <v>2.4107142857142855E-2</v>
      </c>
      <c r="J368" s="213">
        <f t="shared" si="13"/>
        <v>2.4107142857142855E-2</v>
      </c>
    </row>
    <row r="369" spans="1:10">
      <c r="A369" s="107">
        <v>2</v>
      </c>
      <c r="B369" s="107">
        <v>21</v>
      </c>
      <c r="C369" s="107">
        <v>6</v>
      </c>
      <c r="D369" s="107" t="s">
        <v>674</v>
      </c>
      <c r="E369" s="107" t="s">
        <v>675</v>
      </c>
      <c r="F369" s="107">
        <v>66</v>
      </c>
      <c r="G369" s="211"/>
      <c r="H369" s="107">
        <v>0.67</v>
      </c>
      <c r="I369" s="203">
        <f t="shared" si="14"/>
        <v>1.0151515151515153E-2</v>
      </c>
      <c r="J369" s="213">
        <f t="shared" si="13"/>
        <v>1.0151515151515153E-2</v>
      </c>
    </row>
    <row r="370" spans="1:10">
      <c r="A370" s="107">
        <v>2</v>
      </c>
      <c r="B370" s="107">
        <v>21</v>
      </c>
      <c r="C370" s="107">
        <v>7</v>
      </c>
      <c r="D370" s="107" t="s">
        <v>262</v>
      </c>
      <c r="E370" s="107" t="s">
        <v>263</v>
      </c>
      <c r="F370" s="107">
        <v>0</v>
      </c>
      <c r="G370" s="211"/>
      <c r="H370" s="107">
        <v>0</v>
      </c>
      <c r="I370" s="203" t="e">
        <f t="shared" si="14"/>
        <v>#DIV/0!</v>
      </c>
      <c r="J370" s="213" t="e">
        <f t="shared" si="13"/>
        <v>#DIV/0!</v>
      </c>
    </row>
    <row r="371" spans="1:10">
      <c r="A371" s="107">
        <v>2</v>
      </c>
      <c r="B371" s="107">
        <v>21</v>
      </c>
      <c r="C371" s="107">
        <v>8</v>
      </c>
      <c r="D371" s="107" t="s">
        <v>552</v>
      </c>
      <c r="E371" s="107" t="s">
        <v>547</v>
      </c>
      <c r="F371" s="107">
        <v>415</v>
      </c>
      <c r="G371" s="211"/>
      <c r="H371" s="107">
        <v>14.21</v>
      </c>
      <c r="I371" s="203">
        <f t="shared" si="14"/>
        <v>3.4240963855421691E-2</v>
      </c>
      <c r="J371" s="213">
        <f t="shared" si="13"/>
        <v>3.4240963855421691E-2</v>
      </c>
    </row>
    <row r="372" spans="1:10">
      <c r="A372" s="107">
        <v>2</v>
      </c>
      <c r="B372" s="107">
        <v>21</v>
      </c>
      <c r="C372" s="107">
        <v>9</v>
      </c>
      <c r="D372" s="107" t="s">
        <v>289</v>
      </c>
      <c r="E372" s="107" t="s">
        <v>290</v>
      </c>
      <c r="F372" s="107">
        <v>336</v>
      </c>
      <c r="G372" s="211"/>
      <c r="H372" s="107">
        <v>4.75</v>
      </c>
      <c r="I372" s="203">
        <f t="shared" si="14"/>
        <v>1.4136904761904762E-2</v>
      </c>
      <c r="J372" s="213">
        <f t="shared" si="13"/>
        <v>1.4136904761904762E-2</v>
      </c>
    </row>
    <row r="373" spans="1:10">
      <c r="A373" s="107">
        <v>2</v>
      </c>
      <c r="B373" s="107">
        <v>21</v>
      </c>
      <c r="C373" s="107">
        <v>10</v>
      </c>
      <c r="D373" s="107" t="s">
        <v>385</v>
      </c>
      <c r="E373" s="107" t="s">
        <v>386</v>
      </c>
      <c r="F373" s="107">
        <v>450</v>
      </c>
      <c r="G373" s="211"/>
      <c r="H373" s="107">
        <v>11.48</v>
      </c>
      <c r="I373" s="203">
        <f t="shared" si="14"/>
        <v>2.5511111111111113E-2</v>
      </c>
      <c r="J373" s="213">
        <f t="shared" si="13"/>
        <v>2.5511111111111113E-2</v>
      </c>
    </row>
    <row r="374" spans="1:10">
      <c r="A374" s="107">
        <v>2</v>
      </c>
      <c r="B374" s="107">
        <v>21</v>
      </c>
      <c r="C374" s="107">
        <v>11</v>
      </c>
      <c r="D374" s="107" t="s">
        <v>535</v>
      </c>
      <c r="E374" s="107" t="s">
        <v>536</v>
      </c>
      <c r="F374" s="107">
        <v>15</v>
      </c>
      <c r="G374" s="211"/>
      <c r="H374" s="107">
        <v>0.04</v>
      </c>
      <c r="I374" s="203">
        <f t="shared" si="14"/>
        <v>2.6666666666666666E-3</v>
      </c>
      <c r="J374" s="213">
        <f t="shared" si="13"/>
        <v>2.6666666666666666E-3</v>
      </c>
    </row>
    <row r="375" spans="1:10">
      <c r="A375" s="107">
        <v>2</v>
      </c>
      <c r="B375" s="107">
        <v>21</v>
      </c>
      <c r="C375" s="107">
        <v>12</v>
      </c>
      <c r="D375" s="107" t="s">
        <v>230</v>
      </c>
      <c r="E375" s="107" t="s">
        <v>231</v>
      </c>
      <c r="F375" s="107">
        <v>270</v>
      </c>
      <c r="G375" s="211"/>
      <c r="H375" s="107">
        <v>5.61</v>
      </c>
      <c r="I375" s="203">
        <f t="shared" si="14"/>
        <v>2.077777777777778E-2</v>
      </c>
      <c r="J375" s="213">
        <f t="shared" si="13"/>
        <v>2.077777777777778E-2</v>
      </c>
    </row>
    <row r="376" spans="1:10">
      <c r="A376" s="107">
        <v>2</v>
      </c>
      <c r="B376" s="107">
        <v>21</v>
      </c>
      <c r="C376" s="107">
        <v>13</v>
      </c>
      <c r="D376" s="107" t="s">
        <v>162</v>
      </c>
      <c r="E376" s="107" t="s">
        <v>163</v>
      </c>
      <c r="F376" s="107">
        <v>61</v>
      </c>
      <c r="G376" s="211"/>
      <c r="H376" s="107">
        <v>0.69</v>
      </c>
      <c r="I376" s="203">
        <f t="shared" si="14"/>
        <v>1.1311475409836064E-2</v>
      </c>
      <c r="J376" s="213">
        <f t="shared" si="13"/>
        <v>1.1311475409836064E-2</v>
      </c>
    </row>
    <row r="377" spans="1:10">
      <c r="A377" s="107">
        <v>2</v>
      </c>
      <c r="B377" s="107">
        <v>21</v>
      </c>
      <c r="C377" s="107">
        <v>14</v>
      </c>
      <c r="D377" s="107" t="s">
        <v>371</v>
      </c>
      <c r="E377" s="107" t="s">
        <v>372</v>
      </c>
      <c r="F377" s="107">
        <v>765</v>
      </c>
      <c r="G377" s="211"/>
      <c r="H377" s="107">
        <v>17.989999999999998</v>
      </c>
      <c r="I377" s="203">
        <f t="shared" si="14"/>
        <v>2.3516339869281044E-2</v>
      </c>
      <c r="J377" s="213">
        <f t="shared" si="13"/>
        <v>2.3516339869281044E-2</v>
      </c>
    </row>
    <row r="378" spans="1:10">
      <c r="A378" s="107">
        <v>2</v>
      </c>
      <c r="B378" s="107">
        <v>21</v>
      </c>
      <c r="C378" s="107">
        <v>15</v>
      </c>
      <c r="D378" s="107" t="s">
        <v>514</v>
      </c>
      <c r="E378" s="107" t="s">
        <v>515</v>
      </c>
      <c r="F378" s="107">
        <v>555</v>
      </c>
      <c r="G378" s="211"/>
      <c r="H378" s="107">
        <v>18.66</v>
      </c>
      <c r="I378" s="203">
        <f t="shared" si="14"/>
        <v>3.362162162162162E-2</v>
      </c>
      <c r="J378" s="213">
        <f t="shared" si="13"/>
        <v>3.362162162162162E-2</v>
      </c>
    </row>
    <row r="379" spans="1:10">
      <c r="A379" s="107">
        <v>2</v>
      </c>
      <c r="B379" s="107">
        <v>21</v>
      </c>
      <c r="C379" s="107">
        <v>16</v>
      </c>
      <c r="D379" s="107" t="s">
        <v>194</v>
      </c>
      <c r="E379" s="107" t="s">
        <v>195</v>
      </c>
      <c r="F379" s="107">
        <v>0</v>
      </c>
      <c r="G379" s="211"/>
      <c r="H379" s="107">
        <v>0</v>
      </c>
      <c r="I379" s="203" t="e">
        <f t="shared" si="14"/>
        <v>#DIV/0!</v>
      </c>
      <c r="J379" s="213" t="e">
        <f t="shared" si="13"/>
        <v>#DIV/0!</v>
      </c>
    </row>
    <row r="380" spans="1:10">
      <c r="A380" s="107">
        <v>2</v>
      </c>
      <c r="B380" s="107">
        <v>21</v>
      </c>
      <c r="C380" s="107">
        <v>17</v>
      </c>
      <c r="D380" s="107" t="s">
        <v>719</v>
      </c>
      <c r="E380" s="107" t="s">
        <v>720</v>
      </c>
      <c r="F380" s="107">
        <v>368</v>
      </c>
      <c r="G380" s="211"/>
      <c r="H380" s="107">
        <v>12.04</v>
      </c>
      <c r="I380" s="203">
        <f t="shared" si="14"/>
        <v>3.2717391304347823E-2</v>
      </c>
      <c r="J380" s="213">
        <f t="shared" si="13"/>
        <v>3.2717391304347823E-2</v>
      </c>
    </row>
    <row r="381" spans="1:10">
      <c r="A381" s="107">
        <v>2</v>
      </c>
      <c r="B381" s="107">
        <v>21</v>
      </c>
      <c r="C381" s="107">
        <v>18</v>
      </c>
      <c r="D381" s="107" t="s">
        <v>576</v>
      </c>
      <c r="E381" s="107" t="s">
        <v>577</v>
      </c>
      <c r="F381" s="107">
        <v>540</v>
      </c>
      <c r="G381" s="211"/>
      <c r="H381" s="107">
        <v>13.61</v>
      </c>
      <c r="I381" s="203">
        <f t="shared" si="14"/>
        <v>2.5203703703703704E-2</v>
      </c>
      <c r="J381" s="213">
        <f t="shared" si="13"/>
        <v>2.5203703703703704E-2</v>
      </c>
    </row>
    <row r="382" spans="1:10">
      <c r="A382" s="201">
        <v>2</v>
      </c>
      <c r="B382" s="201">
        <v>22</v>
      </c>
      <c r="C382" s="201">
        <v>1</v>
      </c>
      <c r="D382" s="201" t="s">
        <v>747</v>
      </c>
      <c r="E382" s="201" t="s">
        <v>748</v>
      </c>
      <c r="F382" s="201">
        <v>92</v>
      </c>
      <c r="G382" s="212"/>
      <c r="H382" s="201">
        <v>0.25</v>
      </c>
      <c r="I382" s="204">
        <f t="shared" si="14"/>
        <v>2.717391304347826E-3</v>
      </c>
      <c r="J382" s="214">
        <f t="shared" si="13"/>
        <v>2.717391304347826E-3</v>
      </c>
    </row>
    <row r="383" spans="1:10">
      <c r="A383" s="201">
        <v>2</v>
      </c>
      <c r="B383" s="201">
        <v>22</v>
      </c>
      <c r="C383" s="201">
        <v>2</v>
      </c>
      <c r="D383" s="201" t="s">
        <v>590</v>
      </c>
      <c r="E383" s="201" t="s">
        <v>591</v>
      </c>
      <c r="F383" s="201">
        <v>10</v>
      </c>
      <c r="G383" s="212"/>
      <c r="H383" s="201">
        <v>7.0000000000000007E-2</v>
      </c>
      <c r="I383" s="204">
        <f t="shared" si="14"/>
        <v>7.000000000000001E-3</v>
      </c>
      <c r="J383" s="214">
        <f t="shared" si="13"/>
        <v>7.000000000000001E-3</v>
      </c>
    </row>
    <row r="384" spans="1:10">
      <c r="A384" s="201">
        <v>2</v>
      </c>
      <c r="B384" s="201">
        <v>22</v>
      </c>
      <c r="C384" s="201">
        <v>3</v>
      </c>
      <c r="D384" s="201" t="s">
        <v>232</v>
      </c>
      <c r="E384" s="201" t="s">
        <v>233</v>
      </c>
      <c r="F384" s="201">
        <v>830</v>
      </c>
      <c r="G384" s="212"/>
      <c r="H384" s="201">
        <v>20.38</v>
      </c>
      <c r="I384" s="204">
        <f t="shared" si="14"/>
        <v>2.4554216867469877E-2</v>
      </c>
      <c r="J384" s="214">
        <f t="shared" si="13"/>
        <v>2.4554216867469877E-2</v>
      </c>
    </row>
    <row r="385" spans="1:10">
      <c r="A385" s="201">
        <v>2</v>
      </c>
      <c r="B385" s="201">
        <v>22</v>
      </c>
      <c r="C385" s="201">
        <v>4</v>
      </c>
      <c r="D385" s="201" t="s">
        <v>156</v>
      </c>
      <c r="E385" s="201" t="s">
        <v>157</v>
      </c>
      <c r="F385" s="201">
        <v>637</v>
      </c>
      <c r="G385" s="212"/>
      <c r="H385" s="201">
        <v>17.14</v>
      </c>
      <c r="I385" s="204">
        <f t="shared" si="14"/>
        <v>2.6907378335949764E-2</v>
      </c>
      <c r="J385" s="214">
        <f t="shared" si="13"/>
        <v>2.6907378335949764E-2</v>
      </c>
    </row>
    <row r="386" spans="1:10">
      <c r="A386" s="201">
        <v>2</v>
      </c>
      <c r="B386" s="201">
        <v>22</v>
      </c>
      <c r="C386" s="201">
        <v>5</v>
      </c>
      <c r="D386" s="201" t="s">
        <v>341</v>
      </c>
      <c r="E386" s="201" t="s">
        <v>342</v>
      </c>
      <c r="F386" s="201">
        <v>490</v>
      </c>
      <c r="G386" s="212"/>
      <c r="H386" s="201">
        <v>13.82</v>
      </c>
      <c r="I386" s="204">
        <f t="shared" si="14"/>
        <v>2.8204081632653061E-2</v>
      </c>
      <c r="J386" s="214">
        <f t="shared" si="13"/>
        <v>2.8204081632653061E-2</v>
      </c>
    </row>
    <row r="387" spans="1:10">
      <c r="A387" s="201">
        <v>2</v>
      </c>
      <c r="B387" s="201">
        <v>22</v>
      </c>
      <c r="C387" s="201">
        <v>6</v>
      </c>
      <c r="D387" s="201" t="s">
        <v>172</v>
      </c>
      <c r="E387" s="201" t="s">
        <v>173</v>
      </c>
      <c r="F387" s="201">
        <v>140</v>
      </c>
      <c r="G387" s="212"/>
      <c r="H387" s="201">
        <v>2.21</v>
      </c>
      <c r="I387" s="204">
        <f t="shared" si="14"/>
        <v>1.5785714285714285E-2</v>
      </c>
      <c r="J387" s="214">
        <f t="shared" si="13"/>
        <v>1.5785714285714285E-2</v>
      </c>
    </row>
    <row r="388" spans="1:10">
      <c r="A388" s="201">
        <v>2</v>
      </c>
      <c r="B388" s="201">
        <v>22</v>
      </c>
      <c r="C388" s="201">
        <v>7</v>
      </c>
      <c r="D388" s="201" t="s">
        <v>642</v>
      </c>
      <c r="E388" s="201" t="s">
        <v>643</v>
      </c>
      <c r="F388" s="201">
        <v>278</v>
      </c>
      <c r="G388" s="212"/>
      <c r="H388" s="201">
        <v>8.75</v>
      </c>
      <c r="I388" s="204">
        <f t="shared" si="14"/>
        <v>3.1474820143884891E-2</v>
      </c>
      <c r="J388" s="214">
        <f t="shared" si="13"/>
        <v>3.1474820143884891E-2</v>
      </c>
    </row>
    <row r="389" spans="1:10">
      <c r="A389" s="201">
        <v>2</v>
      </c>
      <c r="B389" s="201">
        <v>22</v>
      </c>
      <c r="C389" s="201">
        <v>8</v>
      </c>
      <c r="D389" s="201" t="s">
        <v>427</v>
      </c>
      <c r="E389" s="201" t="s">
        <v>428</v>
      </c>
      <c r="F389" s="201">
        <v>440</v>
      </c>
      <c r="G389" s="212"/>
      <c r="H389" s="201">
        <v>3.48</v>
      </c>
      <c r="I389" s="204">
        <f t="shared" si="14"/>
        <v>7.909090909090909E-3</v>
      </c>
      <c r="J389" s="214">
        <f t="shared" ref="J389:J452" si="15">IF(G389="",I389,I389/(1-G389))</f>
        <v>7.909090909090909E-3</v>
      </c>
    </row>
    <row r="390" spans="1:10">
      <c r="A390" s="201">
        <v>2</v>
      </c>
      <c r="B390" s="201">
        <v>22</v>
      </c>
      <c r="C390" s="201">
        <v>9</v>
      </c>
      <c r="D390" s="201" t="s">
        <v>650</v>
      </c>
      <c r="E390" s="201" t="s">
        <v>651</v>
      </c>
      <c r="F390" s="201">
        <v>0</v>
      </c>
      <c r="G390" s="212"/>
      <c r="H390" s="201">
        <v>0</v>
      </c>
      <c r="I390" s="204" t="e">
        <f t="shared" si="14"/>
        <v>#DIV/0!</v>
      </c>
      <c r="J390" s="214" t="e">
        <f t="shared" si="15"/>
        <v>#DIV/0!</v>
      </c>
    </row>
    <row r="391" spans="1:10">
      <c r="A391" s="201">
        <v>2</v>
      </c>
      <c r="B391" s="201">
        <v>22</v>
      </c>
      <c r="C391" s="201">
        <v>10</v>
      </c>
      <c r="D391" s="201" t="s">
        <v>367</v>
      </c>
      <c r="E391" s="201" t="s">
        <v>368</v>
      </c>
      <c r="F391" s="201">
        <v>187</v>
      </c>
      <c r="G391" s="212"/>
      <c r="H391" s="201">
        <v>5.48</v>
      </c>
      <c r="I391" s="204">
        <f t="shared" si="14"/>
        <v>2.9304812834224602E-2</v>
      </c>
      <c r="J391" s="214">
        <f t="shared" si="15"/>
        <v>2.9304812834224602E-2</v>
      </c>
    </row>
    <row r="392" spans="1:10">
      <c r="A392" s="201">
        <v>2</v>
      </c>
      <c r="B392" s="201">
        <v>22</v>
      </c>
      <c r="C392" s="201">
        <v>11</v>
      </c>
      <c r="D392" s="201" t="s">
        <v>530</v>
      </c>
      <c r="E392" s="201" t="s">
        <v>518</v>
      </c>
      <c r="F392" s="201">
        <v>240</v>
      </c>
      <c r="G392" s="212"/>
      <c r="H392" s="201">
        <v>3.5</v>
      </c>
      <c r="I392" s="204">
        <f t="shared" si="14"/>
        <v>1.4583333333333334E-2</v>
      </c>
      <c r="J392" s="214">
        <f t="shared" si="15"/>
        <v>1.4583333333333334E-2</v>
      </c>
    </row>
    <row r="393" spans="1:10">
      <c r="A393" s="201">
        <v>2</v>
      </c>
      <c r="B393" s="201">
        <v>22</v>
      </c>
      <c r="C393" s="201">
        <v>12</v>
      </c>
      <c r="D393" s="201" t="s">
        <v>291</v>
      </c>
      <c r="E393" s="201" t="s">
        <v>292</v>
      </c>
      <c r="F393" s="201">
        <v>34</v>
      </c>
      <c r="G393" s="212"/>
      <c r="H393" s="201">
        <v>0.83</v>
      </c>
      <c r="I393" s="204">
        <f t="shared" ref="I393:I456" si="16">IF(F393="","",H393/F393)</f>
        <v>2.4411764705882352E-2</v>
      </c>
      <c r="J393" s="214">
        <f t="shared" si="15"/>
        <v>2.4411764705882352E-2</v>
      </c>
    </row>
    <row r="394" spans="1:10">
      <c r="A394" s="201">
        <v>2</v>
      </c>
      <c r="B394" s="201">
        <v>22</v>
      </c>
      <c r="C394" s="201">
        <v>13</v>
      </c>
      <c r="D394" s="201" t="s">
        <v>717</v>
      </c>
      <c r="E394" s="201" t="s">
        <v>718</v>
      </c>
      <c r="F394" s="201">
        <v>780</v>
      </c>
      <c r="G394" s="212"/>
      <c r="H394" s="201">
        <v>11.12</v>
      </c>
      <c r="I394" s="204">
        <f t="shared" si="16"/>
        <v>1.4256410256410255E-2</v>
      </c>
      <c r="J394" s="214">
        <f t="shared" si="15"/>
        <v>1.4256410256410255E-2</v>
      </c>
    </row>
    <row r="395" spans="1:10">
      <c r="A395" s="201">
        <v>2</v>
      </c>
      <c r="B395" s="201">
        <v>22</v>
      </c>
      <c r="C395" s="201">
        <v>14</v>
      </c>
      <c r="D395" s="201" t="s">
        <v>473</v>
      </c>
      <c r="E395" s="201" t="s">
        <v>474</v>
      </c>
      <c r="F395" s="201">
        <v>126</v>
      </c>
      <c r="G395" s="212"/>
      <c r="H395" s="201">
        <v>5.2</v>
      </c>
      <c r="I395" s="204">
        <f t="shared" si="16"/>
        <v>4.1269841269841269E-2</v>
      </c>
      <c r="J395" s="214">
        <f t="shared" si="15"/>
        <v>4.1269841269841269E-2</v>
      </c>
    </row>
    <row r="396" spans="1:10">
      <c r="A396" s="201">
        <v>2</v>
      </c>
      <c r="B396" s="201">
        <v>22</v>
      </c>
      <c r="C396" s="201">
        <v>15</v>
      </c>
      <c r="D396" s="201" t="s">
        <v>519</v>
      </c>
      <c r="E396" s="201" t="s">
        <v>503</v>
      </c>
      <c r="F396" s="201">
        <v>670</v>
      </c>
      <c r="G396" s="212"/>
      <c r="H396" s="201">
        <v>20.69</v>
      </c>
      <c r="I396" s="204">
        <f t="shared" si="16"/>
        <v>3.0880597014925376E-2</v>
      </c>
      <c r="J396" s="214">
        <f t="shared" si="15"/>
        <v>3.0880597014925376E-2</v>
      </c>
    </row>
    <row r="397" spans="1:10">
      <c r="A397" s="201">
        <v>2</v>
      </c>
      <c r="B397" s="201">
        <v>22</v>
      </c>
      <c r="C397" s="201">
        <v>16</v>
      </c>
      <c r="D397" s="201" t="s">
        <v>554</v>
      </c>
      <c r="E397" s="201" t="s">
        <v>555</v>
      </c>
      <c r="F397" s="201">
        <v>82</v>
      </c>
      <c r="G397" s="212"/>
      <c r="H397" s="201">
        <v>0.77</v>
      </c>
      <c r="I397" s="204">
        <f t="shared" si="16"/>
        <v>9.3902439024390241E-3</v>
      </c>
      <c r="J397" s="214">
        <f t="shared" si="15"/>
        <v>9.3902439024390241E-3</v>
      </c>
    </row>
    <row r="398" spans="1:10">
      <c r="A398" s="201">
        <v>2</v>
      </c>
      <c r="B398" s="201">
        <v>22</v>
      </c>
      <c r="C398" s="201">
        <v>17</v>
      </c>
      <c r="D398" s="201" t="s">
        <v>399</v>
      </c>
      <c r="E398" s="201" t="s">
        <v>400</v>
      </c>
      <c r="F398" s="201">
        <v>352</v>
      </c>
      <c r="G398" s="212"/>
      <c r="H398" s="201">
        <v>7.13</v>
      </c>
      <c r="I398" s="204">
        <f t="shared" si="16"/>
        <v>2.0255681818181819E-2</v>
      </c>
      <c r="J398" s="214">
        <f t="shared" si="15"/>
        <v>2.0255681818181819E-2</v>
      </c>
    </row>
    <row r="399" spans="1:10">
      <c r="A399" s="201">
        <v>2</v>
      </c>
      <c r="B399" s="201">
        <v>22</v>
      </c>
      <c r="C399" s="201">
        <v>18</v>
      </c>
      <c r="D399" s="201" t="s">
        <v>248</v>
      </c>
      <c r="E399" s="201" t="s">
        <v>249</v>
      </c>
      <c r="F399" s="201">
        <v>503</v>
      </c>
      <c r="G399" s="212"/>
      <c r="H399" s="201">
        <v>20.25</v>
      </c>
      <c r="I399" s="204">
        <f t="shared" si="16"/>
        <v>4.0258449304174951E-2</v>
      </c>
      <c r="J399" s="214">
        <f t="shared" si="15"/>
        <v>4.0258449304174951E-2</v>
      </c>
    </row>
    <row r="400" spans="1:10">
      <c r="A400" s="107">
        <v>2</v>
      </c>
      <c r="B400" s="107">
        <v>23</v>
      </c>
      <c r="C400" s="107">
        <v>1</v>
      </c>
      <c r="D400" s="107" t="s">
        <v>666</v>
      </c>
      <c r="E400" s="107" t="s">
        <v>667</v>
      </c>
      <c r="F400" s="107">
        <v>8</v>
      </c>
      <c r="G400" s="211"/>
      <c r="H400" s="107">
        <v>0.06</v>
      </c>
      <c r="I400" s="203">
        <f t="shared" si="16"/>
        <v>7.4999999999999997E-3</v>
      </c>
      <c r="J400" s="213">
        <f t="shared" si="15"/>
        <v>7.4999999999999997E-3</v>
      </c>
    </row>
    <row r="401" spans="1:10">
      <c r="A401" s="107">
        <v>2</v>
      </c>
      <c r="B401" s="107">
        <v>23</v>
      </c>
      <c r="C401" s="107">
        <v>2</v>
      </c>
      <c r="D401" s="107" t="s">
        <v>546</v>
      </c>
      <c r="E401" s="107" t="s">
        <v>547</v>
      </c>
      <c r="F401" s="107">
        <v>315</v>
      </c>
      <c r="G401" s="211"/>
      <c r="H401" s="107">
        <v>5.4</v>
      </c>
      <c r="I401" s="203">
        <f t="shared" si="16"/>
        <v>1.7142857142857144E-2</v>
      </c>
      <c r="J401" s="213">
        <f t="shared" si="15"/>
        <v>1.7142857142857144E-2</v>
      </c>
    </row>
    <row r="402" spans="1:10">
      <c r="A402" s="107">
        <v>2</v>
      </c>
      <c r="B402" s="107">
        <v>23</v>
      </c>
      <c r="C402" s="107">
        <v>3</v>
      </c>
      <c r="D402" s="107" t="s">
        <v>180</v>
      </c>
      <c r="E402" s="107" t="s">
        <v>181</v>
      </c>
      <c r="F402" s="107">
        <v>0</v>
      </c>
      <c r="G402" s="211"/>
      <c r="H402" s="107">
        <v>0</v>
      </c>
      <c r="I402" s="203" t="e">
        <f t="shared" si="16"/>
        <v>#DIV/0!</v>
      </c>
      <c r="J402" s="213" t="e">
        <f t="shared" si="15"/>
        <v>#DIV/0!</v>
      </c>
    </row>
    <row r="403" spans="1:10">
      <c r="A403" s="107">
        <v>2</v>
      </c>
      <c r="B403" s="107">
        <v>23</v>
      </c>
      <c r="C403" s="107">
        <v>4</v>
      </c>
      <c r="D403" s="107" t="s">
        <v>130</v>
      </c>
      <c r="E403" s="107" t="s">
        <v>132</v>
      </c>
      <c r="F403" s="107">
        <v>470</v>
      </c>
      <c r="G403" s="211"/>
      <c r="H403" s="107">
        <v>7.46</v>
      </c>
      <c r="I403" s="203">
        <f t="shared" si="16"/>
        <v>1.5872340425531914E-2</v>
      </c>
      <c r="J403" s="213">
        <f t="shared" si="15"/>
        <v>1.5872340425531914E-2</v>
      </c>
    </row>
    <row r="404" spans="1:10">
      <c r="A404" s="107">
        <v>2</v>
      </c>
      <c r="B404" s="107">
        <v>23</v>
      </c>
      <c r="C404" s="107">
        <v>5</v>
      </c>
      <c r="D404" s="107" t="s">
        <v>391</v>
      </c>
      <c r="E404" s="107" t="s">
        <v>392</v>
      </c>
      <c r="F404" s="107">
        <v>27</v>
      </c>
      <c r="G404" s="211"/>
      <c r="H404" s="107">
        <v>0.26</v>
      </c>
      <c r="I404" s="203">
        <f t="shared" si="16"/>
        <v>9.6296296296296303E-3</v>
      </c>
      <c r="J404" s="213">
        <f t="shared" si="15"/>
        <v>9.6296296296296303E-3</v>
      </c>
    </row>
    <row r="405" spans="1:10">
      <c r="A405" s="107">
        <v>2</v>
      </c>
      <c r="B405" s="107">
        <v>23</v>
      </c>
      <c r="C405" s="107">
        <v>6</v>
      </c>
      <c r="D405" s="107" t="s">
        <v>264</v>
      </c>
      <c r="E405" s="107" t="s">
        <v>265</v>
      </c>
      <c r="F405" s="107">
        <v>770</v>
      </c>
      <c r="G405" s="211"/>
      <c r="H405" s="107">
        <v>12.27</v>
      </c>
      <c r="I405" s="203">
        <f t="shared" si="16"/>
        <v>1.5935064935064934E-2</v>
      </c>
      <c r="J405" s="213">
        <f t="shared" si="15"/>
        <v>1.5935064935064934E-2</v>
      </c>
    </row>
    <row r="406" spans="1:10">
      <c r="A406" s="107">
        <v>2</v>
      </c>
      <c r="B406" s="107">
        <v>23</v>
      </c>
      <c r="C406" s="107">
        <v>7</v>
      </c>
      <c r="D406" s="107" t="s">
        <v>537</v>
      </c>
      <c r="E406" s="107" t="s">
        <v>534</v>
      </c>
      <c r="F406" s="107">
        <v>109</v>
      </c>
      <c r="G406" s="211"/>
      <c r="H406" s="107">
        <v>1.6</v>
      </c>
      <c r="I406" s="203">
        <f t="shared" si="16"/>
        <v>1.4678899082568808E-2</v>
      </c>
      <c r="J406" s="213">
        <f t="shared" si="15"/>
        <v>1.4678899082568808E-2</v>
      </c>
    </row>
    <row r="407" spans="1:10">
      <c r="A407" s="107">
        <v>2</v>
      </c>
      <c r="B407" s="107">
        <v>23</v>
      </c>
      <c r="C407" s="107">
        <v>8</v>
      </c>
      <c r="D407" s="107" t="s">
        <v>694</v>
      </c>
      <c r="E407" s="107" t="s">
        <v>695</v>
      </c>
      <c r="F407" s="107">
        <v>350</v>
      </c>
      <c r="G407" s="211"/>
      <c r="H407" s="107">
        <v>2.0499999999999998</v>
      </c>
      <c r="I407" s="203">
        <f t="shared" si="16"/>
        <v>5.8571428571428568E-3</v>
      </c>
      <c r="J407" s="213">
        <f t="shared" si="15"/>
        <v>5.8571428571428568E-3</v>
      </c>
    </row>
    <row r="408" spans="1:10">
      <c r="A408" s="107">
        <v>2</v>
      </c>
      <c r="B408" s="107">
        <v>23</v>
      </c>
      <c r="C408" s="107">
        <v>9</v>
      </c>
      <c r="D408" s="107" t="s">
        <v>600</v>
      </c>
      <c r="E408" s="107" t="s">
        <v>601</v>
      </c>
      <c r="F408" s="107">
        <v>0</v>
      </c>
      <c r="G408" s="211"/>
      <c r="H408" s="107">
        <v>0</v>
      </c>
      <c r="I408" s="203" t="e">
        <f t="shared" si="16"/>
        <v>#DIV/0!</v>
      </c>
      <c r="J408" s="213" t="e">
        <f t="shared" si="15"/>
        <v>#DIV/0!</v>
      </c>
    </row>
    <row r="409" spans="1:10">
      <c r="A409" s="107">
        <v>2</v>
      </c>
      <c r="B409" s="107">
        <v>23</v>
      </c>
      <c r="C409" s="107">
        <v>10</v>
      </c>
      <c r="D409" s="107" t="s">
        <v>469</v>
      </c>
      <c r="E409" s="107" t="s">
        <v>470</v>
      </c>
      <c r="F409" s="107">
        <v>22</v>
      </c>
      <c r="G409" s="211"/>
      <c r="H409" s="107">
        <v>0.04</v>
      </c>
      <c r="I409" s="203">
        <f t="shared" si="16"/>
        <v>1.8181818181818182E-3</v>
      </c>
      <c r="J409" s="213">
        <f t="shared" si="15"/>
        <v>1.8181818181818182E-3</v>
      </c>
    </row>
    <row r="410" spans="1:10">
      <c r="A410" s="107">
        <v>2</v>
      </c>
      <c r="B410" s="107">
        <v>23</v>
      </c>
      <c r="C410" s="107">
        <v>11</v>
      </c>
      <c r="D410" s="107" t="s">
        <v>618</v>
      </c>
      <c r="E410" s="107" t="s">
        <v>619</v>
      </c>
      <c r="F410" s="107">
        <v>80</v>
      </c>
      <c r="G410" s="211"/>
      <c r="H410" s="107">
        <v>0.95</v>
      </c>
      <c r="I410" s="203">
        <f t="shared" si="16"/>
        <v>1.1875E-2</v>
      </c>
      <c r="J410" s="213">
        <f t="shared" si="15"/>
        <v>1.1875E-2</v>
      </c>
    </row>
    <row r="411" spans="1:10">
      <c r="A411" s="107">
        <v>2</v>
      </c>
      <c r="B411" s="107">
        <v>23</v>
      </c>
      <c r="C411" s="107">
        <v>12</v>
      </c>
      <c r="D411" s="107" t="s">
        <v>425</v>
      </c>
      <c r="E411" s="107" t="s">
        <v>426</v>
      </c>
      <c r="F411" s="107">
        <v>0</v>
      </c>
      <c r="G411" s="211"/>
      <c r="H411" s="107">
        <v>0</v>
      </c>
      <c r="I411" s="203" t="e">
        <f t="shared" si="16"/>
        <v>#DIV/0!</v>
      </c>
      <c r="J411" s="213" t="e">
        <f t="shared" si="15"/>
        <v>#DIV/0!</v>
      </c>
    </row>
    <row r="412" spans="1:10">
      <c r="A412" s="107">
        <v>2</v>
      </c>
      <c r="B412" s="107">
        <v>23</v>
      </c>
      <c r="C412" s="107">
        <v>13</v>
      </c>
      <c r="D412" s="107" t="s">
        <v>218</v>
      </c>
      <c r="E412" s="107" t="s">
        <v>219</v>
      </c>
      <c r="F412" s="107">
        <v>470</v>
      </c>
      <c r="G412" s="211"/>
      <c r="H412" s="107">
        <v>11.58</v>
      </c>
      <c r="I412" s="203">
        <f t="shared" si="16"/>
        <v>2.4638297872340426E-2</v>
      </c>
      <c r="J412" s="213">
        <f t="shared" si="15"/>
        <v>2.4638297872340426E-2</v>
      </c>
    </row>
    <row r="413" spans="1:10">
      <c r="A413" s="107">
        <v>2</v>
      </c>
      <c r="B413" s="107">
        <v>23</v>
      </c>
      <c r="C413" s="107">
        <v>14</v>
      </c>
      <c r="D413" s="107" t="s">
        <v>299</v>
      </c>
      <c r="E413" s="107" t="s">
        <v>300</v>
      </c>
      <c r="F413" s="107">
        <v>230</v>
      </c>
      <c r="G413" s="211"/>
      <c r="H413" s="107">
        <v>6.3</v>
      </c>
      <c r="I413" s="203">
        <f t="shared" si="16"/>
        <v>2.7391304347826086E-2</v>
      </c>
      <c r="J413" s="213">
        <f t="shared" si="15"/>
        <v>2.7391304347826086E-2</v>
      </c>
    </row>
    <row r="414" spans="1:10">
      <c r="A414" s="107">
        <v>2</v>
      </c>
      <c r="B414" s="107">
        <v>23</v>
      </c>
      <c r="C414" s="107">
        <v>15</v>
      </c>
      <c r="D414" s="107" t="s">
        <v>335</v>
      </c>
      <c r="E414" s="107" t="s">
        <v>336</v>
      </c>
      <c r="F414" s="107">
        <v>562</v>
      </c>
      <c r="G414" s="211"/>
      <c r="H414" s="107">
        <v>13.87</v>
      </c>
      <c r="I414" s="203">
        <f t="shared" si="16"/>
        <v>2.4679715302491103E-2</v>
      </c>
      <c r="J414" s="213">
        <f t="shared" si="15"/>
        <v>2.4679715302491103E-2</v>
      </c>
    </row>
    <row r="415" spans="1:10">
      <c r="A415" s="107">
        <v>2</v>
      </c>
      <c r="B415" s="107">
        <v>23</v>
      </c>
      <c r="C415" s="107">
        <v>16</v>
      </c>
      <c r="D415" s="107" t="s">
        <v>351</v>
      </c>
      <c r="E415" s="107" t="s">
        <v>352</v>
      </c>
      <c r="F415" s="107">
        <v>321</v>
      </c>
      <c r="G415" s="211"/>
      <c r="H415" s="107">
        <v>5.89</v>
      </c>
      <c r="I415" s="203">
        <f t="shared" si="16"/>
        <v>1.8348909657320871E-2</v>
      </c>
      <c r="J415" s="213">
        <f t="shared" si="15"/>
        <v>1.8348909657320871E-2</v>
      </c>
    </row>
    <row r="416" spans="1:10">
      <c r="A416" s="107">
        <v>2</v>
      </c>
      <c r="B416" s="107">
        <v>23</v>
      </c>
      <c r="C416" s="107">
        <v>17</v>
      </c>
      <c r="D416" s="107" t="s">
        <v>495</v>
      </c>
      <c r="E416" s="107" t="s">
        <v>496</v>
      </c>
      <c r="F416" s="107">
        <v>16</v>
      </c>
      <c r="G416" s="211"/>
      <c r="H416" s="107">
        <v>0.26</v>
      </c>
      <c r="I416" s="203">
        <f t="shared" si="16"/>
        <v>1.6250000000000001E-2</v>
      </c>
      <c r="J416" s="213">
        <f t="shared" si="15"/>
        <v>1.6250000000000001E-2</v>
      </c>
    </row>
    <row r="417" spans="1:10">
      <c r="A417" s="107">
        <v>2</v>
      </c>
      <c r="B417" s="107">
        <v>23</v>
      </c>
      <c r="C417" s="107">
        <v>18</v>
      </c>
      <c r="D417" s="107" t="s">
        <v>727</v>
      </c>
      <c r="E417" s="107" t="s">
        <v>728</v>
      </c>
      <c r="F417" s="107">
        <v>480</v>
      </c>
      <c r="G417" s="211"/>
      <c r="H417" s="107">
        <v>12.17</v>
      </c>
      <c r="I417" s="203">
        <f t="shared" si="16"/>
        <v>2.5354166666666667E-2</v>
      </c>
      <c r="J417" s="213">
        <f t="shared" si="15"/>
        <v>2.5354166666666667E-2</v>
      </c>
    </row>
    <row r="418" spans="1:10">
      <c r="A418" s="201">
        <v>2</v>
      </c>
      <c r="B418" s="201">
        <v>24</v>
      </c>
      <c r="C418" s="201">
        <v>1</v>
      </c>
      <c r="D418" s="201" t="s">
        <v>401</v>
      </c>
      <c r="E418" s="201" t="s">
        <v>402</v>
      </c>
      <c r="F418" s="201">
        <v>520</v>
      </c>
      <c r="G418" s="212"/>
      <c r="H418" s="201">
        <v>12.28</v>
      </c>
      <c r="I418" s="204">
        <f t="shared" si="16"/>
        <v>2.3615384615384614E-2</v>
      </c>
      <c r="J418" s="214">
        <f t="shared" si="15"/>
        <v>2.3615384615384614E-2</v>
      </c>
    </row>
    <row r="419" spans="1:10">
      <c r="A419" s="201">
        <v>2</v>
      </c>
      <c r="B419" s="201">
        <v>24</v>
      </c>
      <c r="C419" s="201">
        <v>2</v>
      </c>
      <c r="D419" s="201" t="s">
        <v>439</v>
      </c>
      <c r="E419" s="201" t="s">
        <v>440</v>
      </c>
      <c r="F419" s="201">
        <v>610</v>
      </c>
      <c r="G419" s="212"/>
      <c r="H419" s="201">
        <v>16.399999999999999</v>
      </c>
      <c r="I419" s="204">
        <f t="shared" si="16"/>
        <v>2.6885245901639342E-2</v>
      </c>
      <c r="J419" s="214">
        <f t="shared" si="15"/>
        <v>2.6885245901639342E-2</v>
      </c>
    </row>
    <row r="420" spans="1:10">
      <c r="A420" s="201">
        <v>2</v>
      </c>
      <c r="B420" s="201">
        <v>24</v>
      </c>
      <c r="C420" s="201">
        <v>3</v>
      </c>
      <c r="D420" s="201" t="s">
        <v>731</v>
      </c>
      <c r="E420" s="201" t="s">
        <v>732</v>
      </c>
      <c r="F420" s="201">
        <v>995</v>
      </c>
      <c r="G420" s="212"/>
      <c r="H420" s="201">
        <v>25.18</v>
      </c>
      <c r="I420" s="204">
        <f t="shared" si="16"/>
        <v>2.5306532663316582E-2</v>
      </c>
      <c r="J420" s="214">
        <f t="shared" si="15"/>
        <v>2.5306532663316582E-2</v>
      </c>
    </row>
    <row r="421" spans="1:10">
      <c r="A421" s="201">
        <v>2</v>
      </c>
      <c r="B421" s="201">
        <v>24</v>
      </c>
      <c r="C421" s="201">
        <v>4</v>
      </c>
      <c r="D421" s="201" t="s">
        <v>283</v>
      </c>
      <c r="E421" s="201" t="s">
        <v>284</v>
      </c>
      <c r="F421" s="201">
        <v>218</v>
      </c>
      <c r="G421" s="212"/>
      <c r="H421" s="201">
        <v>4.62</v>
      </c>
      <c r="I421" s="204">
        <f t="shared" si="16"/>
        <v>2.1192660550458715E-2</v>
      </c>
      <c r="J421" s="214">
        <f t="shared" si="15"/>
        <v>2.1192660550458715E-2</v>
      </c>
    </row>
    <row r="422" spans="1:10">
      <c r="A422" s="201">
        <v>2</v>
      </c>
      <c r="B422" s="201">
        <v>24</v>
      </c>
      <c r="C422" s="201">
        <v>5</v>
      </c>
      <c r="D422" s="201" t="s">
        <v>184</v>
      </c>
      <c r="E422" s="201" t="s">
        <v>185</v>
      </c>
      <c r="F422" s="201">
        <v>1522</v>
      </c>
      <c r="G422" s="212"/>
      <c r="H422" s="201">
        <v>46.49</v>
      </c>
      <c r="I422" s="204">
        <f t="shared" si="16"/>
        <v>3.0545335085413929E-2</v>
      </c>
      <c r="J422" s="214">
        <f t="shared" si="15"/>
        <v>3.0545335085413929E-2</v>
      </c>
    </row>
    <row r="423" spans="1:10">
      <c r="A423" s="201">
        <v>2</v>
      </c>
      <c r="B423" s="201">
        <v>24</v>
      </c>
      <c r="C423" s="201">
        <v>6</v>
      </c>
      <c r="D423" s="201" t="s">
        <v>572</v>
      </c>
      <c r="E423" s="201" t="s">
        <v>573</v>
      </c>
      <c r="F423" s="201">
        <v>253</v>
      </c>
      <c r="G423" s="212"/>
      <c r="H423" s="201">
        <v>9.0399999999999991</v>
      </c>
      <c r="I423" s="204">
        <f t="shared" si="16"/>
        <v>3.5731225296442681E-2</v>
      </c>
      <c r="J423" s="214">
        <f t="shared" si="15"/>
        <v>3.5731225296442681E-2</v>
      </c>
    </row>
    <row r="424" spans="1:10">
      <c r="A424" s="201">
        <v>2</v>
      </c>
      <c r="B424" s="201">
        <v>24</v>
      </c>
      <c r="C424" s="201">
        <v>7</v>
      </c>
      <c r="D424" s="201" t="s">
        <v>529</v>
      </c>
      <c r="E424" s="201" t="s">
        <v>503</v>
      </c>
      <c r="F424" s="201">
        <v>423</v>
      </c>
      <c r="G424" s="212"/>
      <c r="H424" s="201">
        <v>9.75</v>
      </c>
      <c r="I424" s="204">
        <f t="shared" si="16"/>
        <v>2.3049645390070921E-2</v>
      </c>
      <c r="J424" s="214">
        <f t="shared" si="15"/>
        <v>2.3049645390070921E-2</v>
      </c>
    </row>
    <row r="425" spans="1:10">
      <c r="A425" s="201">
        <v>2</v>
      </c>
      <c r="B425" s="201">
        <v>24</v>
      </c>
      <c r="C425" s="201">
        <v>8</v>
      </c>
      <c r="D425" s="201" t="s">
        <v>258</v>
      </c>
      <c r="E425" s="201" t="s">
        <v>259</v>
      </c>
      <c r="F425" s="201">
        <v>252</v>
      </c>
      <c r="G425" s="212"/>
      <c r="H425" s="201">
        <v>4.66</v>
      </c>
      <c r="I425" s="204">
        <f t="shared" si="16"/>
        <v>1.8492063492063494E-2</v>
      </c>
      <c r="J425" s="214">
        <f t="shared" si="15"/>
        <v>1.8492063492063494E-2</v>
      </c>
    </row>
    <row r="426" spans="1:10">
      <c r="A426" s="201">
        <v>2</v>
      </c>
      <c r="B426" s="201">
        <v>24</v>
      </c>
      <c r="C426" s="201">
        <v>9</v>
      </c>
      <c r="D426" s="201" t="s">
        <v>343</v>
      </c>
      <c r="E426" s="201" t="s">
        <v>344</v>
      </c>
      <c r="F426" s="201">
        <v>760</v>
      </c>
      <c r="G426" s="212"/>
      <c r="H426" s="201">
        <v>17.399999999999999</v>
      </c>
      <c r="I426" s="204">
        <f t="shared" si="16"/>
        <v>2.2894736842105263E-2</v>
      </c>
      <c r="J426" s="214">
        <f t="shared" si="15"/>
        <v>2.2894736842105263E-2</v>
      </c>
    </row>
    <row r="427" spans="1:10">
      <c r="A427" s="201">
        <v>2</v>
      </c>
      <c r="B427" s="201">
        <v>24</v>
      </c>
      <c r="C427" s="201">
        <v>10</v>
      </c>
      <c r="D427" s="201" t="s">
        <v>459</v>
      </c>
      <c r="E427" s="201" t="s">
        <v>460</v>
      </c>
      <c r="F427" s="201">
        <v>27</v>
      </c>
      <c r="G427" s="212"/>
      <c r="H427" s="201">
        <v>0.15</v>
      </c>
      <c r="I427" s="204">
        <f t="shared" si="16"/>
        <v>5.5555555555555558E-3</v>
      </c>
      <c r="J427" s="214">
        <f t="shared" si="15"/>
        <v>5.5555555555555558E-3</v>
      </c>
    </row>
    <row r="428" spans="1:10">
      <c r="A428" s="201">
        <v>2</v>
      </c>
      <c r="B428" s="201">
        <v>24</v>
      </c>
      <c r="C428" s="201">
        <v>11</v>
      </c>
      <c r="D428" s="201" t="s">
        <v>136</v>
      </c>
      <c r="E428" s="201" t="s">
        <v>137</v>
      </c>
      <c r="F428" s="201">
        <v>0</v>
      </c>
      <c r="G428" s="212"/>
      <c r="H428" s="201">
        <v>0</v>
      </c>
      <c r="I428" s="204" t="e">
        <f t="shared" si="16"/>
        <v>#DIV/0!</v>
      </c>
      <c r="J428" s="214" t="e">
        <f t="shared" si="15"/>
        <v>#DIV/0!</v>
      </c>
    </row>
    <row r="429" spans="1:10">
      <c r="A429" s="201">
        <v>2</v>
      </c>
      <c r="B429" s="201">
        <v>24</v>
      </c>
      <c r="C429" s="201">
        <v>12</v>
      </c>
      <c r="D429" s="201" t="s">
        <v>353</v>
      </c>
      <c r="E429" s="201" t="s">
        <v>354</v>
      </c>
      <c r="F429" s="201">
        <v>313</v>
      </c>
      <c r="G429" s="212"/>
      <c r="H429" s="201">
        <v>4.4800000000000004</v>
      </c>
      <c r="I429" s="204">
        <f t="shared" si="16"/>
        <v>1.4313099041533548E-2</v>
      </c>
      <c r="J429" s="214">
        <f t="shared" si="15"/>
        <v>1.4313099041533548E-2</v>
      </c>
    </row>
    <row r="430" spans="1:10">
      <c r="A430" s="201">
        <v>2</v>
      </c>
      <c r="B430" s="201">
        <v>24</v>
      </c>
      <c r="C430" s="201">
        <v>13</v>
      </c>
      <c r="D430" s="201" t="s">
        <v>688</v>
      </c>
      <c r="E430" s="201" t="s">
        <v>689</v>
      </c>
      <c r="F430" s="201">
        <v>187</v>
      </c>
      <c r="G430" s="212"/>
      <c r="H430" s="201">
        <v>2.5299999999999998</v>
      </c>
      <c r="I430" s="204">
        <f t="shared" si="16"/>
        <v>1.3529411764705882E-2</v>
      </c>
      <c r="J430" s="214">
        <f t="shared" si="15"/>
        <v>1.3529411764705882E-2</v>
      </c>
    </row>
    <row r="431" spans="1:10">
      <c r="A431" s="201">
        <v>2</v>
      </c>
      <c r="B431" s="201">
        <v>24</v>
      </c>
      <c r="C431" s="201">
        <v>14</v>
      </c>
      <c r="D431" s="201" t="s">
        <v>491</v>
      </c>
      <c r="E431" s="201" t="s">
        <v>492</v>
      </c>
      <c r="F431" s="201">
        <v>102</v>
      </c>
      <c r="G431" s="212"/>
      <c r="H431" s="201">
        <v>2.39</v>
      </c>
      <c r="I431" s="204">
        <f t="shared" si="16"/>
        <v>2.343137254901961E-2</v>
      </c>
      <c r="J431" s="214">
        <f t="shared" si="15"/>
        <v>2.343137254901961E-2</v>
      </c>
    </row>
    <row r="432" spans="1:10">
      <c r="A432" s="201">
        <v>2</v>
      </c>
      <c r="B432" s="201">
        <v>24</v>
      </c>
      <c r="C432" s="201">
        <v>15</v>
      </c>
      <c r="D432" s="201" t="s">
        <v>206</v>
      </c>
      <c r="E432" s="201" t="s">
        <v>207</v>
      </c>
      <c r="F432" s="201">
        <v>0</v>
      </c>
      <c r="G432" s="212"/>
      <c r="H432" s="201">
        <v>0</v>
      </c>
      <c r="I432" s="204" t="e">
        <f t="shared" si="16"/>
        <v>#DIV/0!</v>
      </c>
      <c r="J432" s="214" t="e">
        <f t="shared" si="15"/>
        <v>#DIV/0!</v>
      </c>
    </row>
    <row r="433" spans="1:10">
      <c r="A433" s="201">
        <v>2</v>
      </c>
      <c r="B433" s="201">
        <v>24</v>
      </c>
      <c r="C433" s="201">
        <v>16</v>
      </c>
      <c r="D433" s="201" t="s">
        <v>670</v>
      </c>
      <c r="E433" s="201" t="s">
        <v>671</v>
      </c>
      <c r="F433" s="201">
        <v>0</v>
      </c>
      <c r="G433" s="212"/>
      <c r="H433" s="201">
        <v>0</v>
      </c>
      <c r="I433" s="204" t="e">
        <f t="shared" si="16"/>
        <v>#DIV/0!</v>
      </c>
      <c r="J433" s="214" t="e">
        <f t="shared" si="15"/>
        <v>#DIV/0!</v>
      </c>
    </row>
    <row r="434" spans="1:10">
      <c r="A434" s="201">
        <v>2</v>
      </c>
      <c r="B434" s="201">
        <v>24</v>
      </c>
      <c r="C434" s="201">
        <v>17</v>
      </c>
      <c r="D434" s="201" t="s">
        <v>630</v>
      </c>
      <c r="E434" s="201" t="s">
        <v>631</v>
      </c>
      <c r="F434" s="201">
        <v>5</v>
      </c>
      <c r="G434" s="212"/>
      <c r="H434" s="201">
        <v>0</v>
      </c>
      <c r="I434" s="204">
        <f t="shared" si="16"/>
        <v>0</v>
      </c>
      <c r="J434" s="214">
        <f t="shared" si="15"/>
        <v>0</v>
      </c>
    </row>
    <row r="435" spans="1:10">
      <c r="A435" s="201">
        <v>2</v>
      </c>
      <c r="B435" s="201">
        <v>24</v>
      </c>
      <c r="C435" s="201">
        <v>18</v>
      </c>
      <c r="D435" s="201" t="s">
        <v>707</v>
      </c>
      <c r="E435" s="201" t="s">
        <v>708</v>
      </c>
      <c r="F435" s="201">
        <v>260</v>
      </c>
      <c r="G435" s="212"/>
      <c r="H435" s="201">
        <v>13.3</v>
      </c>
      <c r="I435" s="204">
        <f t="shared" si="16"/>
        <v>5.1153846153846154E-2</v>
      </c>
      <c r="J435" s="214">
        <f t="shared" si="15"/>
        <v>5.1153846153846154E-2</v>
      </c>
    </row>
    <row r="436" spans="1:10">
      <c r="A436" s="107">
        <v>2</v>
      </c>
      <c r="B436" s="107">
        <v>25</v>
      </c>
      <c r="C436" s="107">
        <v>1</v>
      </c>
      <c r="D436" s="107" t="s">
        <v>662</v>
      </c>
      <c r="E436" s="107" t="s">
        <v>663</v>
      </c>
      <c r="F436" s="107">
        <v>261</v>
      </c>
      <c r="G436" s="211"/>
      <c r="H436" s="107">
        <v>3.57</v>
      </c>
      <c r="I436" s="203">
        <f t="shared" si="16"/>
        <v>1.3678160919540229E-2</v>
      </c>
      <c r="J436" s="213">
        <f t="shared" si="15"/>
        <v>1.3678160919540229E-2</v>
      </c>
    </row>
    <row r="437" spans="1:10">
      <c r="A437" s="107">
        <v>2</v>
      </c>
      <c r="B437" s="107">
        <v>25</v>
      </c>
      <c r="C437" s="107">
        <v>2</v>
      </c>
      <c r="D437" s="107" t="s">
        <v>441</v>
      </c>
      <c r="E437" s="107" t="s">
        <v>442</v>
      </c>
      <c r="F437" s="107">
        <v>665</v>
      </c>
      <c r="G437" s="211"/>
      <c r="H437" s="107">
        <v>12.16</v>
      </c>
      <c r="I437" s="203">
        <f t="shared" si="16"/>
        <v>1.8285714285714287E-2</v>
      </c>
      <c r="J437" s="213">
        <f t="shared" si="15"/>
        <v>1.8285714285714287E-2</v>
      </c>
    </row>
    <row r="438" spans="1:10">
      <c r="A438" s="107">
        <v>2</v>
      </c>
      <c r="B438" s="107">
        <v>25</v>
      </c>
      <c r="C438" s="107">
        <v>3</v>
      </c>
      <c r="D438" s="107" t="s">
        <v>405</v>
      </c>
      <c r="E438" s="107" t="s">
        <v>406</v>
      </c>
      <c r="F438" s="107">
        <v>460</v>
      </c>
      <c r="G438" s="211"/>
      <c r="H438" s="107">
        <v>14.73</v>
      </c>
      <c r="I438" s="203">
        <f t="shared" si="16"/>
        <v>3.2021739130434781E-2</v>
      </c>
      <c r="J438" s="213">
        <f t="shared" si="15"/>
        <v>3.2021739130434781E-2</v>
      </c>
    </row>
    <row r="439" spans="1:10">
      <c r="A439" s="107">
        <v>2</v>
      </c>
      <c r="B439" s="107">
        <v>25</v>
      </c>
      <c r="C439" s="107">
        <v>4</v>
      </c>
      <c r="D439" s="107" t="s">
        <v>721</v>
      </c>
      <c r="E439" s="107" t="s">
        <v>722</v>
      </c>
      <c r="F439" s="107">
        <v>710</v>
      </c>
      <c r="G439" s="211"/>
      <c r="H439" s="107">
        <v>20.65</v>
      </c>
      <c r="I439" s="203">
        <f t="shared" si="16"/>
        <v>2.9084507042253519E-2</v>
      </c>
      <c r="J439" s="213">
        <f t="shared" si="15"/>
        <v>2.9084507042253519E-2</v>
      </c>
    </row>
    <row r="440" spans="1:10">
      <c r="A440" s="107">
        <v>2</v>
      </c>
      <c r="B440" s="107">
        <v>25</v>
      </c>
      <c r="C440" s="107">
        <v>5</v>
      </c>
      <c r="D440" s="107" t="s">
        <v>528</v>
      </c>
      <c r="E440" s="107" t="s">
        <v>503</v>
      </c>
      <c r="F440" s="107">
        <v>125</v>
      </c>
      <c r="G440" s="211"/>
      <c r="H440" s="107">
        <v>2.97</v>
      </c>
      <c r="I440" s="203">
        <f t="shared" si="16"/>
        <v>2.376E-2</v>
      </c>
      <c r="J440" s="213">
        <f t="shared" si="15"/>
        <v>2.376E-2</v>
      </c>
    </row>
    <row r="441" spans="1:10">
      <c r="A441" s="107">
        <v>2</v>
      </c>
      <c r="B441" s="107">
        <v>25</v>
      </c>
      <c r="C441" s="107">
        <v>6</v>
      </c>
      <c r="D441" s="107" t="s">
        <v>170</v>
      </c>
      <c r="E441" s="107" t="s">
        <v>171</v>
      </c>
      <c r="F441" s="107">
        <v>950</v>
      </c>
      <c r="G441" s="211"/>
      <c r="H441" s="107">
        <v>15.37</v>
      </c>
      <c r="I441" s="203">
        <f t="shared" si="16"/>
        <v>1.6178947368421053E-2</v>
      </c>
      <c r="J441" s="213">
        <f t="shared" si="15"/>
        <v>1.6178947368421053E-2</v>
      </c>
    </row>
    <row r="442" spans="1:10">
      <c r="A442" s="107">
        <v>2</v>
      </c>
      <c r="B442" s="107">
        <v>25</v>
      </c>
      <c r="C442" s="107">
        <v>7</v>
      </c>
      <c r="D442" s="107" t="s">
        <v>517</v>
      </c>
      <c r="E442" s="107" t="s">
        <v>518</v>
      </c>
      <c r="F442" s="107">
        <v>430</v>
      </c>
      <c r="G442" s="211"/>
      <c r="H442" s="107">
        <v>12.53</v>
      </c>
      <c r="I442" s="203">
        <f t="shared" si="16"/>
        <v>2.9139534883720928E-2</v>
      </c>
      <c r="J442" s="213">
        <f t="shared" si="15"/>
        <v>2.9139534883720928E-2</v>
      </c>
    </row>
    <row r="443" spans="1:10">
      <c r="A443" s="107">
        <v>2</v>
      </c>
      <c r="B443" s="107">
        <v>25</v>
      </c>
      <c r="C443" s="107">
        <v>8</v>
      </c>
      <c r="D443" s="107" t="s">
        <v>311</v>
      </c>
      <c r="E443" s="107" t="s">
        <v>312</v>
      </c>
      <c r="F443" s="107">
        <v>224</v>
      </c>
      <c r="G443" s="211"/>
      <c r="H443" s="107">
        <v>9.81</v>
      </c>
      <c r="I443" s="203">
        <f t="shared" si="16"/>
        <v>4.3794642857142858E-2</v>
      </c>
      <c r="J443" s="213">
        <f t="shared" si="15"/>
        <v>4.3794642857142858E-2</v>
      </c>
    </row>
    <row r="444" spans="1:10">
      <c r="A444" s="107">
        <v>2</v>
      </c>
      <c r="B444" s="107">
        <v>25</v>
      </c>
      <c r="C444" s="107">
        <v>9</v>
      </c>
      <c r="D444" s="107" t="s">
        <v>560</v>
      </c>
      <c r="E444" s="107" t="s">
        <v>561</v>
      </c>
      <c r="F444" s="107">
        <v>38</v>
      </c>
      <c r="G444" s="211"/>
      <c r="H444" s="107">
        <v>2.77</v>
      </c>
      <c r="I444" s="203">
        <f t="shared" si="16"/>
        <v>7.2894736842105262E-2</v>
      </c>
      <c r="J444" s="213">
        <f t="shared" si="15"/>
        <v>7.2894736842105262E-2</v>
      </c>
    </row>
    <row r="445" spans="1:10">
      <c r="A445" s="107">
        <v>2</v>
      </c>
      <c r="B445" s="107">
        <v>25</v>
      </c>
      <c r="C445" s="107">
        <v>10</v>
      </c>
      <c r="D445" s="107" t="s">
        <v>355</v>
      </c>
      <c r="E445" s="107" t="s">
        <v>356</v>
      </c>
      <c r="F445" s="107">
        <v>260</v>
      </c>
      <c r="G445" s="211"/>
      <c r="H445" s="107">
        <v>5.19</v>
      </c>
      <c r="I445" s="203">
        <f t="shared" si="16"/>
        <v>1.9961538461538465E-2</v>
      </c>
      <c r="J445" s="213">
        <f t="shared" si="15"/>
        <v>1.9961538461538465E-2</v>
      </c>
    </row>
    <row r="446" spans="1:10">
      <c r="A446" s="107">
        <v>2</v>
      </c>
      <c r="B446" s="107">
        <v>25</v>
      </c>
      <c r="C446" s="107">
        <v>11</v>
      </c>
      <c r="D446" s="107" t="s">
        <v>164</v>
      </c>
      <c r="E446" s="107" t="s">
        <v>165</v>
      </c>
      <c r="F446" s="107">
        <v>0</v>
      </c>
      <c r="G446" s="211"/>
      <c r="H446" s="107">
        <v>0</v>
      </c>
      <c r="I446" s="203" t="e">
        <f t="shared" si="16"/>
        <v>#DIV/0!</v>
      </c>
      <c r="J446" s="213" t="e">
        <f t="shared" si="15"/>
        <v>#DIV/0!</v>
      </c>
    </row>
    <row r="447" spans="1:10">
      <c r="A447" s="107">
        <v>2</v>
      </c>
      <c r="B447" s="107">
        <v>25</v>
      </c>
      <c r="C447" s="107">
        <v>12</v>
      </c>
      <c r="D447" s="107" t="s">
        <v>457</v>
      </c>
      <c r="E447" s="107" t="s">
        <v>458</v>
      </c>
      <c r="F447" s="107">
        <v>600</v>
      </c>
      <c r="G447" s="211"/>
      <c r="H447" s="107">
        <v>17.38</v>
      </c>
      <c r="I447" s="203">
        <f t="shared" si="16"/>
        <v>2.8966666666666665E-2</v>
      </c>
      <c r="J447" s="213">
        <f t="shared" si="15"/>
        <v>2.8966666666666665E-2</v>
      </c>
    </row>
    <row r="448" spans="1:10">
      <c r="A448" s="107">
        <v>2</v>
      </c>
      <c r="B448" s="107">
        <v>25</v>
      </c>
      <c r="C448" s="107">
        <v>13</v>
      </c>
      <c r="D448" s="107" t="s">
        <v>240</v>
      </c>
      <c r="E448" s="107" t="s">
        <v>241</v>
      </c>
      <c r="F448" s="107">
        <v>264</v>
      </c>
      <c r="G448" s="211"/>
      <c r="H448" s="107">
        <v>7.33</v>
      </c>
      <c r="I448" s="203">
        <f t="shared" si="16"/>
        <v>2.7765151515151517E-2</v>
      </c>
      <c r="J448" s="213">
        <f t="shared" si="15"/>
        <v>2.7765151515151517E-2</v>
      </c>
    </row>
    <row r="449" spans="1:10">
      <c r="A449" s="107">
        <v>2</v>
      </c>
      <c r="B449" s="107">
        <v>25</v>
      </c>
      <c r="C449" s="107">
        <v>14</v>
      </c>
      <c r="D449" s="107" t="s">
        <v>305</v>
      </c>
      <c r="E449" s="107" t="s">
        <v>306</v>
      </c>
      <c r="F449" s="107">
        <v>107</v>
      </c>
      <c r="G449" s="211"/>
      <c r="H449" s="107">
        <v>2.2799999999999998</v>
      </c>
      <c r="I449" s="203">
        <f t="shared" si="16"/>
        <v>2.130841121495327E-2</v>
      </c>
      <c r="J449" s="213">
        <f t="shared" si="15"/>
        <v>2.130841121495327E-2</v>
      </c>
    </row>
    <row r="450" spans="1:10">
      <c r="A450" s="107">
        <v>2</v>
      </c>
      <c r="B450" s="107">
        <v>25</v>
      </c>
      <c r="C450" s="107">
        <v>15</v>
      </c>
      <c r="D450" s="107" t="s">
        <v>580</v>
      </c>
      <c r="E450" s="107" t="s">
        <v>581</v>
      </c>
      <c r="F450" s="107">
        <v>200</v>
      </c>
      <c r="G450" s="211"/>
      <c r="H450" s="107">
        <v>6.2</v>
      </c>
      <c r="I450" s="203">
        <f t="shared" si="16"/>
        <v>3.1E-2</v>
      </c>
      <c r="J450" s="213">
        <f t="shared" si="15"/>
        <v>3.1E-2</v>
      </c>
    </row>
    <row r="451" spans="1:10">
      <c r="A451" s="107">
        <v>2</v>
      </c>
      <c r="B451" s="107">
        <v>25</v>
      </c>
      <c r="C451" s="107">
        <v>16</v>
      </c>
      <c r="D451" s="107" t="s">
        <v>216</v>
      </c>
      <c r="E451" s="107" t="s">
        <v>217</v>
      </c>
      <c r="F451" s="107">
        <v>375</v>
      </c>
      <c r="G451" s="211"/>
      <c r="H451" s="107">
        <v>5.72</v>
      </c>
      <c r="I451" s="203">
        <f t="shared" si="16"/>
        <v>1.5253333333333332E-2</v>
      </c>
      <c r="J451" s="213">
        <f t="shared" si="15"/>
        <v>1.5253333333333332E-2</v>
      </c>
    </row>
    <row r="452" spans="1:10">
      <c r="A452" s="107">
        <v>2</v>
      </c>
      <c r="B452" s="107">
        <v>25</v>
      </c>
      <c r="C452" s="107">
        <v>17</v>
      </c>
      <c r="D452" s="107" t="s">
        <v>644</v>
      </c>
      <c r="E452" s="107" t="s">
        <v>645</v>
      </c>
      <c r="F452" s="107">
        <v>0</v>
      </c>
      <c r="G452" s="211"/>
      <c r="H452" s="107">
        <v>0</v>
      </c>
      <c r="I452" s="203" t="e">
        <f t="shared" si="16"/>
        <v>#DIV/0!</v>
      </c>
      <c r="J452" s="213" t="e">
        <f t="shared" si="15"/>
        <v>#DIV/0!</v>
      </c>
    </row>
    <row r="453" spans="1:10">
      <c r="A453" s="107">
        <v>2</v>
      </c>
      <c r="B453" s="107">
        <v>25</v>
      </c>
      <c r="C453" s="107">
        <v>18</v>
      </c>
      <c r="D453" s="107" t="s">
        <v>668</v>
      </c>
      <c r="E453" s="107" t="s">
        <v>669</v>
      </c>
      <c r="F453" s="107">
        <v>630</v>
      </c>
      <c r="G453" s="211"/>
      <c r="H453" s="107">
        <v>17.2</v>
      </c>
      <c r="I453" s="203">
        <f t="shared" si="16"/>
        <v>2.7301587301587299E-2</v>
      </c>
      <c r="J453" s="213">
        <f t="shared" ref="J453:J516" si="17">IF(G453="",I453,I453/(1-G453))</f>
        <v>2.7301587301587299E-2</v>
      </c>
    </row>
    <row r="454" spans="1:10">
      <c r="A454" s="201">
        <v>2</v>
      </c>
      <c r="B454" s="201">
        <v>26</v>
      </c>
      <c r="C454" s="201">
        <v>1</v>
      </c>
      <c r="D454" s="201" t="s">
        <v>140</v>
      </c>
      <c r="E454" s="201" t="s">
        <v>141</v>
      </c>
      <c r="F454" s="201">
        <v>216</v>
      </c>
      <c r="G454" s="212"/>
      <c r="H454" s="201">
        <v>8.4</v>
      </c>
      <c r="I454" s="204">
        <f t="shared" si="16"/>
        <v>3.888888888888889E-2</v>
      </c>
      <c r="J454" s="214">
        <f t="shared" si="17"/>
        <v>3.888888888888889E-2</v>
      </c>
    </row>
    <row r="455" spans="1:10">
      <c r="A455" s="201">
        <v>2</v>
      </c>
      <c r="B455" s="201">
        <v>26</v>
      </c>
      <c r="C455" s="201">
        <v>2</v>
      </c>
      <c r="D455" s="201" t="s">
        <v>532</v>
      </c>
      <c r="E455" s="201" t="s">
        <v>503</v>
      </c>
      <c r="F455" s="201">
        <v>156</v>
      </c>
      <c r="G455" s="212"/>
      <c r="H455" s="201">
        <v>5.19</v>
      </c>
      <c r="I455" s="204">
        <f t="shared" si="16"/>
        <v>3.3269230769230773E-2</v>
      </c>
      <c r="J455" s="214">
        <f t="shared" si="17"/>
        <v>3.3269230769230773E-2</v>
      </c>
    </row>
    <row r="456" spans="1:10">
      <c r="A456" s="201">
        <v>2</v>
      </c>
      <c r="B456" s="201">
        <v>26</v>
      </c>
      <c r="C456" s="201">
        <v>3</v>
      </c>
      <c r="D456" s="201" t="s">
        <v>706</v>
      </c>
      <c r="E456" s="201" t="s">
        <v>137</v>
      </c>
      <c r="F456" s="201">
        <v>570</v>
      </c>
      <c r="G456" s="212"/>
      <c r="H456" s="201">
        <v>14.06</v>
      </c>
      <c r="I456" s="204">
        <f t="shared" si="16"/>
        <v>2.4666666666666667E-2</v>
      </c>
      <c r="J456" s="214">
        <f t="shared" si="17"/>
        <v>2.4666666666666667E-2</v>
      </c>
    </row>
    <row r="457" spans="1:10">
      <c r="A457" s="201">
        <v>2</v>
      </c>
      <c r="B457" s="201">
        <v>26</v>
      </c>
      <c r="C457" s="201">
        <v>4</v>
      </c>
      <c r="D457" s="201" t="s">
        <v>244</v>
      </c>
      <c r="E457" s="201" t="s">
        <v>245</v>
      </c>
      <c r="F457" s="201">
        <v>149</v>
      </c>
      <c r="G457" s="212"/>
      <c r="H457" s="201">
        <v>3.86</v>
      </c>
      <c r="I457" s="204">
        <f t="shared" ref="I457:I520" si="18">IF(F457="","",H457/F457)</f>
        <v>2.5906040268456373E-2</v>
      </c>
      <c r="J457" s="214">
        <f t="shared" si="17"/>
        <v>2.5906040268456373E-2</v>
      </c>
    </row>
    <row r="458" spans="1:10">
      <c r="A458" s="201">
        <v>2</v>
      </c>
      <c r="B458" s="201">
        <v>26</v>
      </c>
      <c r="C458" s="201">
        <v>5</v>
      </c>
      <c r="D458" s="201" t="s">
        <v>586</v>
      </c>
      <c r="E458" s="201" t="s">
        <v>587</v>
      </c>
      <c r="F458" s="201">
        <v>70</v>
      </c>
      <c r="G458" s="212"/>
      <c r="H458" s="201">
        <v>1.75</v>
      </c>
      <c r="I458" s="204">
        <f t="shared" si="18"/>
        <v>2.5000000000000001E-2</v>
      </c>
      <c r="J458" s="214">
        <f t="shared" si="17"/>
        <v>2.5000000000000001E-2</v>
      </c>
    </row>
    <row r="459" spans="1:10">
      <c r="A459" s="201">
        <v>2</v>
      </c>
      <c r="B459" s="201">
        <v>26</v>
      </c>
      <c r="C459" s="201">
        <v>6</v>
      </c>
      <c r="D459" s="201" t="s">
        <v>419</v>
      </c>
      <c r="E459" s="201" t="s">
        <v>420</v>
      </c>
      <c r="F459" s="201">
        <v>340</v>
      </c>
      <c r="G459" s="212"/>
      <c r="H459" s="201">
        <v>14.08</v>
      </c>
      <c r="I459" s="204">
        <f t="shared" si="18"/>
        <v>4.1411764705882356E-2</v>
      </c>
      <c r="J459" s="214">
        <f t="shared" si="17"/>
        <v>4.1411764705882356E-2</v>
      </c>
    </row>
    <row r="460" spans="1:10">
      <c r="A460" s="201">
        <v>2</v>
      </c>
      <c r="B460" s="201">
        <v>26</v>
      </c>
      <c r="C460" s="201">
        <v>7</v>
      </c>
      <c r="D460" s="201" t="s">
        <v>553</v>
      </c>
      <c r="E460" s="201" t="s">
        <v>547</v>
      </c>
      <c r="F460" s="201">
        <v>695</v>
      </c>
      <c r="G460" s="212"/>
      <c r="H460" s="201">
        <v>18.75</v>
      </c>
      <c r="I460" s="204">
        <f t="shared" si="18"/>
        <v>2.6978417266187049E-2</v>
      </c>
      <c r="J460" s="214">
        <f t="shared" si="17"/>
        <v>2.6978417266187049E-2</v>
      </c>
    </row>
    <row r="461" spans="1:10">
      <c r="A461" s="201">
        <v>2</v>
      </c>
      <c r="B461" s="201">
        <v>26</v>
      </c>
      <c r="C461" s="201">
        <v>8</v>
      </c>
      <c r="D461" s="201" t="s">
        <v>506</v>
      </c>
      <c r="E461" s="201" t="s">
        <v>507</v>
      </c>
      <c r="F461" s="201">
        <v>830</v>
      </c>
      <c r="G461" s="212"/>
      <c r="H461" s="201">
        <v>13.13</v>
      </c>
      <c r="I461" s="204">
        <f t="shared" si="18"/>
        <v>1.5819277108433737E-2</v>
      </c>
      <c r="J461" s="214">
        <f t="shared" si="17"/>
        <v>1.5819277108433737E-2</v>
      </c>
    </row>
    <row r="462" spans="1:10">
      <c r="A462" s="201">
        <v>2</v>
      </c>
      <c r="B462" s="201">
        <v>26</v>
      </c>
      <c r="C462" s="201">
        <v>9</v>
      </c>
      <c r="D462" s="201" t="s">
        <v>461</v>
      </c>
      <c r="E462" s="201" t="s">
        <v>462</v>
      </c>
      <c r="F462" s="201">
        <v>260</v>
      </c>
      <c r="G462" s="212"/>
      <c r="H462" s="201">
        <v>6.87</v>
      </c>
      <c r="I462" s="204">
        <f t="shared" si="18"/>
        <v>2.6423076923076924E-2</v>
      </c>
      <c r="J462" s="214">
        <f t="shared" si="17"/>
        <v>2.6423076923076924E-2</v>
      </c>
    </row>
    <row r="463" spans="1:10">
      <c r="A463" s="201">
        <v>2</v>
      </c>
      <c r="B463" s="201">
        <v>26</v>
      </c>
      <c r="C463" s="201">
        <v>10</v>
      </c>
      <c r="D463" s="201" t="s">
        <v>333</v>
      </c>
      <c r="E463" s="201" t="s">
        <v>334</v>
      </c>
      <c r="F463" s="201">
        <v>365</v>
      </c>
      <c r="G463" s="212"/>
      <c r="H463" s="201">
        <v>8.06</v>
      </c>
      <c r="I463" s="204">
        <f t="shared" si="18"/>
        <v>2.2082191780821919E-2</v>
      </c>
      <c r="J463" s="214">
        <f t="shared" si="17"/>
        <v>2.2082191780821919E-2</v>
      </c>
    </row>
    <row r="464" spans="1:10">
      <c r="A464" s="201">
        <v>2</v>
      </c>
      <c r="B464" s="201">
        <v>26</v>
      </c>
      <c r="C464" s="201">
        <v>11</v>
      </c>
      <c r="D464" s="201" t="s">
        <v>369</v>
      </c>
      <c r="E464" s="201" t="s">
        <v>370</v>
      </c>
      <c r="F464" s="201">
        <v>253</v>
      </c>
      <c r="G464" s="212"/>
      <c r="H464" s="201">
        <v>6.81</v>
      </c>
      <c r="I464" s="204">
        <f t="shared" si="18"/>
        <v>2.6916996047430829E-2</v>
      </c>
      <c r="J464" s="214">
        <f t="shared" si="17"/>
        <v>2.6916996047430829E-2</v>
      </c>
    </row>
    <row r="465" spans="1:10">
      <c r="A465" s="201">
        <v>2</v>
      </c>
      <c r="B465" s="201">
        <v>26</v>
      </c>
      <c r="C465" s="201">
        <v>12</v>
      </c>
      <c r="D465" s="201" t="s">
        <v>737</v>
      </c>
      <c r="E465" s="201" t="s">
        <v>738</v>
      </c>
      <c r="F465" s="201">
        <v>950</v>
      </c>
      <c r="G465" s="212"/>
      <c r="H465" s="201">
        <v>11.26</v>
      </c>
      <c r="I465" s="204">
        <f t="shared" si="18"/>
        <v>1.1852631578947368E-2</v>
      </c>
      <c r="J465" s="214">
        <f t="shared" si="17"/>
        <v>1.1852631578947368E-2</v>
      </c>
    </row>
    <row r="466" spans="1:10">
      <c r="A466" s="201">
        <v>2</v>
      </c>
      <c r="B466" s="201">
        <v>26</v>
      </c>
      <c r="C466" s="201">
        <v>13</v>
      </c>
      <c r="D466" s="201" t="s">
        <v>190</v>
      </c>
      <c r="E466" s="201" t="s">
        <v>191</v>
      </c>
      <c r="F466" s="201">
        <v>640</v>
      </c>
      <c r="G466" s="212"/>
      <c r="H466" s="201">
        <v>14.62</v>
      </c>
      <c r="I466" s="204">
        <f t="shared" si="18"/>
        <v>2.2843749999999999E-2</v>
      </c>
      <c r="J466" s="214">
        <f t="shared" si="17"/>
        <v>2.2843749999999999E-2</v>
      </c>
    </row>
    <row r="467" spans="1:10">
      <c r="A467" s="201">
        <v>2</v>
      </c>
      <c r="B467" s="201">
        <v>26</v>
      </c>
      <c r="C467" s="201">
        <v>14</v>
      </c>
      <c r="D467" s="201" t="s">
        <v>622</v>
      </c>
      <c r="E467" s="201" t="s">
        <v>623</v>
      </c>
      <c r="F467" s="201">
        <v>704</v>
      </c>
      <c r="G467" s="212"/>
      <c r="H467" s="201">
        <v>4.91</v>
      </c>
      <c r="I467" s="204">
        <f t="shared" si="18"/>
        <v>6.974431818181818E-3</v>
      </c>
      <c r="J467" s="214">
        <f t="shared" si="17"/>
        <v>6.974431818181818E-3</v>
      </c>
    </row>
    <row r="468" spans="1:10">
      <c r="A468" s="201">
        <v>2</v>
      </c>
      <c r="B468" s="201">
        <v>26</v>
      </c>
      <c r="C468" s="201">
        <v>15</v>
      </c>
      <c r="D468" s="201" t="s">
        <v>234</v>
      </c>
      <c r="E468" s="201" t="s">
        <v>235</v>
      </c>
      <c r="F468" s="201">
        <v>825</v>
      </c>
      <c r="G468" s="212"/>
      <c r="H468" s="201">
        <v>23.58</v>
      </c>
      <c r="I468" s="204">
        <f t="shared" si="18"/>
        <v>2.858181818181818E-2</v>
      </c>
      <c r="J468" s="214">
        <f t="shared" si="17"/>
        <v>2.858181818181818E-2</v>
      </c>
    </row>
    <row r="469" spans="1:10">
      <c r="A469" s="201">
        <v>2</v>
      </c>
      <c r="B469" s="201">
        <v>26</v>
      </c>
      <c r="C469" s="201">
        <v>16</v>
      </c>
      <c r="D469" s="201" t="s">
        <v>660</v>
      </c>
      <c r="E469" s="201" t="s">
        <v>661</v>
      </c>
      <c r="F469" s="201">
        <v>14</v>
      </c>
      <c r="G469" s="212"/>
      <c r="H469" s="201">
        <v>0.09</v>
      </c>
      <c r="I469" s="204">
        <f t="shared" si="18"/>
        <v>6.4285714285714285E-3</v>
      </c>
      <c r="J469" s="214">
        <f t="shared" si="17"/>
        <v>6.4285714285714285E-3</v>
      </c>
    </row>
    <row r="470" spans="1:10">
      <c r="A470" s="201">
        <v>2</v>
      </c>
      <c r="B470" s="201">
        <v>26</v>
      </c>
      <c r="C470" s="201">
        <v>17</v>
      </c>
      <c r="D470" s="201" t="s">
        <v>381</v>
      </c>
      <c r="E470" s="201" t="s">
        <v>382</v>
      </c>
      <c r="F470" s="201">
        <v>484</v>
      </c>
      <c r="G470" s="212"/>
      <c r="H470" s="201">
        <v>14.26</v>
      </c>
      <c r="I470" s="204">
        <f t="shared" si="18"/>
        <v>2.9462809917355372E-2</v>
      </c>
      <c r="J470" s="214">
        <f t="shared" si="17"/>
        <v>2.9462809917355372E-2</v>
      </c>
    </row>
    <row r="471" spans="1:10">
      <c r="A471" s="201">
        <v>2</v>
      </c>
      <c r="B471" s="201">
        <v>26</v>
      </c>
      <c r="C471" s="201">
        <v>18</v>
      </c>
      <c r="D471" s="201" t="s">
        <v>279</v>
      </c>
      <c r="E471" s="201" t="s">
        <v>280</v>
      </c>
      <c r="F471" s="201">
        <v>220</v>
      </c>
      <c r="G471" s="212"/>
      <c r="H471" s="201">
        <v>5.67</v>
      </c>
      <c r="I471" s="204">
        <f t="shared" si="18"/>
        <v>2.5772727272727274E-2</v>
      </c>
      <c r="J471" s="214">
        <f t="shared" si="17"/>
        <v>2.5772727272727274E-2</v>
      </c>
    </row>
    <row r="472" spans="1:10">
      <c r="A472" s="107">
        <v>2</v>
      </c>
      <c r="B472" s="107">
        <v>27</v>
      </c>
      <c r="C472" s="107">
        <v>1</v>
      </c>
      <c r="D472" s="107" t="s">
        <v>500</v>
      </c>
      <c r="E472" s="107" t="s">
        <v>501</v>
      </c>
      <c r="F472" s="107">
        <v>162</v>
      </c>
      <c r="G472" s="211"/>
      <c r="H472" s="107">
        <v>4.9000000000000004</v>
      </c>
      <c r="I472" s="203">
        <f t="shared" si="18"/>
        <v>3.0246913580246917E-2</v>
      </c>
      <c r="J472" s="213">
        <f t="shared" si="17"/>
        <v>3.0246913580246917E-2</v>
      </c>
    </row>
    <row r="473" spans="1:10">
      <c r="A473" s="107">
        <v>2</v>
      </c>
      <c r="B473" s="107">
        <v>27</v>
      </c>
      <c r="C473" s="107">
        <v>2</v>
      </c>
      <c r="D473" s="107" t="s">
        <v>200</v>
      </c>
      <c r="E473" s="107" t="s">
        <v>201</v>
      </c>
      <c r="F473" s="107">
        <v>190</v>
      </c>
      <c r="G473" s="211"/>
      <c r="H473" s="107">
        <v>7.69</v>
      </c>
      <c r="I473" s="203">
        <f t="shared" si="18"/>
        <v>4.0473684210526314E-2</v>
      </c>
      <c r="J473" s="213">
        <f t="shared" si="17"/>
        <v>4.0473684210526314E-2</v>
      </c>
    </row>
    <row r="474" spans="1:10">
      <c r="A474" s="107">
        <v>2</v>
      </c>
      <c r="B474" s="107">
        <v>27</v>
      </c>
      <c r="C474" s="107">
        <v>3</v>
      </c>
      <c r="D474" s="107" t="s">
        <v>365</v>
      </c>
      <c r="E474" s="107" t="s">
        <v>366</v>
      </c>
      <c r="F474" s="107">
        <v>3</v>
      </c>
      <c r="G474" s="211"/>
      <c r="H474" s="107">
        <v>2.42</v>
      </c>
      <c r="I474" s="203">
        <f t="shared" si="18"/>
        <v>0.80666666666666664</v>
      </c>
      <c r="J474" s="213">
        <f t="shared" si="17"/>
        <v>0.80666666666666664</v>
      </c>
    </row>
    <row r="475" spans="1:10">
      <c r="A475" s="107">
        <v>2</v>
      </c>
      <c r="B475" s="107">
        <v>27</v>
      </c>
      <c r="C475" s="107">
        <v>4</v>
      </c>
      <c r="D475" s="107" t="s">
        <v>148</v>
      </c>
      <c r="E475" s="107" t="s">
        <v>149</v>
      </c>
      <c r="F475" s="107">
        <v>0</v>
      </c>
      <c r="G475" s="211"/>
      <c r="H475" s="107">
        <v>0</v>
      </c>
      <c r="I475" s="203" t="e">
        <f t="shared" si="18"/>
        <v>#DIV/0!</v>
      </c>
      <c r="J475" s="213" t="e">
        <f t="shared" si="17"/>
        <v>#DIV/0!</v>
      </c>
    </row>
    <row r="476" spans="1:10">
      <c r="A476" s="107">
        <v>2</v>
      </c>
      <c r="B476" s="107">
        <v>27</v>
      </c>
      <c r="C476" s="107">
        <v>5</v>
      </c>
      <c r="D476" s="107" t="s">
        <v>608</v>
      </c>
      <c r="E476" s="107" t="s">
        <v>609</v>
      </c>
      <c r="F476" s="107">
        <v>390</v>
      </c>
      <c r="G476" s="211"/>
      <c r="H476" s="107">
        <v>13.95</v>
      </c>
      <c r="I476" s="203">
        <f t="shared" si="18"/>
        <v>3.5769230769230768E-2</v>
      </c>
      <c r="J476" s="213">
        <f t="shared" si="17"/>
        <v>3.5769230769230768E-2</v>
      </c>
    </row>
    <row r="477" spans="1:10">
      <c r="A477" s="107">
        <v>2</v>
      </c>
      <c r="B477" s="107">
        <v>27</v>
      </c>
      <c r="C477" s="107">
        <v>6</v>
      </c>
      <c r="D477" s="107" t="s">
        <v>624</v>
      </c>
      <c r="E477" s="107" t="s">
        <v>625</v>
      </c>
      <c r="F477" s="107">
        <v>1075</v>
      </c>
      <c r="G477" s="211"/>
      <c r="H477" s="107">
        <v>13.28</v>
      </c>
      <c r="I477" s="203">
        <f t="shared" si="18"/>
        <v>1.2353488372093022E-2</v>
      </c>
      <c r="J477" s="213">
        <f t="shared" si="17"/>
        <v>1.2353488372093022E-2</v>
      </c>
    </row>
    <row r="478" spans="1:10">
      <c r="A478" s="107">
        <v>2</v>
      </c>
      <c r="B478" s="107">
        <v>27</v>
      </c>
      <c r="C478" s="107">
        <v>7</v>
      </c>
      <c r="D478" s="107" t="s">
        <v>654</v>
      </c>
      <c r="E478" s="107" t="s">
        <v>655</v>
      </c>
      <c r="F478" s="107">
        <v>62</v>
      </c>
      <c r="G478" s="211"/>
      <c r="H478" s="107">
        <v>0.24</v>
      </c>
      <c r="I478" s="203">
        <f t="shared" si="18"/>
        <v>3.8709677419354839E-3</v>
      </c>
      <c r="J478" s="213">
        <f t="shared" si="17"/>
        <v>3.8709677419354839E-3</v>
      </c>
    </row>
    <row r="479" spans="1:10">
      <c r="A479" s="107">
        <v>2</v>
      </c>
      <c r="B479" s="107">
        <v>27</v>
      </c>
      <c r="C479" s="107">
        <v>8</v>
      </c>
      <c r="D479" s="107" t="s">
        <v>550</v>
      </c>
      <c r="E479" s="107" t="s">
        <v>551</v>
      </c>
      <c r="F479" s="107">
        <v>4</v>
      </c>
      <c r="G479" s="211"/>
      <c r="H479" s="107">
        <v>0.01</v>
      </c>
      <c r="I479" s="203">
        <f t="shared" si="18"/>
        <v>2.5000000000000001E-3</v>
      </c>
      <c r="J479" s="213">
        <f t="shared" si="17"/>
        <v>2.5000000000000001E-3</v>
      </c>
    </row>
    <row r="480" spans="1:10">
      <c r="A480" s="107">
        <v>2</v>
      </c>
      <c r="B480" s="107">
        <v>27</v>
      </c>
      <c r="C480" s="107">
        <v>9</v>
      </c>
      <c r="D480" s="107" t="s">
        <v>387</v>
      </c>
      <c r="E480" s="107" t="s">
        <v>388</v>
      </c>
      <c r="F480" s="107">
        <v>300</v>
      </c>
      <c r="G480" s="211"/>
      <c r="H480" s="107">
        <v>8.33</v>
      </c>
      <c r="I480" s="203">
        <f t="shared" si="18"/>
        <v>2.7766666666666665E-2</v>
      </c>
      <c r="J480" s="213">
        <f t="shared" si="17"/>
        <v>2.7766666666666665E-2</v>
      </c>
    </row>
    <row r="481" spans="1:10">
      <c r="A481" s="107">
        <v>2</v>
      </c>
      <c r="B481" s="107">
        <v>27</v>
      </c>
      <c r="C481" s="107">
        <v>10</v>
      </c>
      <c r="D481" s="107" t="s">
        <v>226</v>
      </c>
      <c r="E481" s="107" t="s">
        <v>227</v>
      </c>
      <c r="F481" s="107">
        <v>350</v>
      </c>
      <c r="G481" s="211"/>
      <c r="H481" s="107">
        <v>2.68</v>
      </c>
      <c r="I481" s="203">
        <f t="shared" si="18"/>
        <v>7.657142857142858E-3</v>
      </c>
      <c r="J481" s="213">
        <f t="shared" si="17"/>
        <v>7.657142857142858E-3</v>
      </c>
    </row>
    <row r="482" spans="1:10">
      <c r="A482" s="107">
        <v>2</v>
      </c>
      <c r="B482" s="107">
        <v>27</v>
      </c>
      <c r="C482" s="107">
        <v>11</v>
      </c>
      <c r="D482" s="107" t="s">
        <v>268</v>
      </c>
      <c r="E482" s="107" t="s">
        <v>161</v>
      </c>
      <c r="F482" s="107">
        <v>550</v>
      </c>
      <c r="G482" s="211"/>
      <c r="H482" s="107">
        <v>10.74</v>
      </c>
      <c r="I482" s="203">
        <f t="shared" si="18"/>
        <v>1.9527272727272726E-2</v>
      </c>
      <c r="J482" s="213">
        <f t="shared" si="17"/>
        <v>1.9527272727272726E-2</v>
      </c>
    </row>
    <row r="483" spans="1:10">
      <c r="A483" s="107">
        <v>2</v>
      </c>
      <c r="B483" s="107">
        <v>27</v>
      </c>
      <c r="C483" s="107">
        <v>12</v>
      </c>
      <c r="D483" s="107" t="s">
        <v>709</v>
      </c>
      <c r="E483" s="107" t="s">
        <v>710</v>
      </c>
      <c r="F483" s="107">
        <v>711</v>
      </c>
      <c r="G483" s="211"/>
      <c r="H483" s="107">
        <v>17.21</v>
      </c>
      <c r="I483" s="203">
        <f t="shared" si="18"/>
        <v>2.4205344585091423E-2</v>
      </c>
      <c r="J483" s="213">
        <f t="shared" si="17"/>
        <v>2.4205344585091423E-2</v>
      </c>
    </row>
    <row r="484" spans="1:10">
      <c r="A484" s="107">
        <v>2</v>
      </c>
      <c r="B484" s="107">
        <v>27</v>
      </c>
      <c r="C484" s="107">
        <v>13</v>
      </c>
      <c r="D484" s="107" t="s">
        <v>287</v>
      </c>
      <c r="E484" s="107" t="s">
        <v>288</v>
      </c>
      <c r="F484" s="107">
        <v>3</v>
      </c>
      <c r="G484" s="211"/>
      <c r="H484" s="107">
        <v>0.01</v>
      </c>
      <c r="I484" s="203">
        <f t="shared" si="18"/>
        <v>3.3333333333333335E-3</v>
      </c>
      <c r="J484" s="213">
        <f t="shared" si="17"/>
        <v>3.3333333333333335E-3</v>
      </c>
    </row>
    <row r="485" spans="1:10">
      <c r="A485" s="107">
        <v>2</v>
      </c>
      <c r="B485" s="107">
        <v>27</v>
      </c>
      <c r="C485" s="107">
        <v>14</v>
      </c>
      <c r="D485" s="107" t="s">
        <v>431</v>
      </c>
      <c r="E485" s="107" t="s">
        <v>432</v>
      </c>
      <c r="F485" s="107">
        <v>610</v>
      </c>
      <c r="G485" s="211"/>
      <c r="H485" s="107">
        <v>9.7799999999999994</v>
      </c>
      <c r="I485" s="203">
        <f t="shared" si="18"/>
        <v>1.6032786885245901E-2</v>
      </c>
      <c r="J485" s="213">
        <f t="shared" si="17"/>
        <v>1.6032786885245901E-2</v>
      </c>
    </row>
    <row r="486" spans="1:10">
      <c r="A486" s="107">
        <v>2</v>
      </c>
      <c r="B486" s="107">
        <v>27</v>
      </c>
      <c r="C486" s="107">
        <v>15</v>
      </c>
      <c r="D486" s="107" t="s">
        <v>475</v>
      </c>
      <c r="E486" s="107" t="s">
        <v>476</v>
      </c>
      <c r="F486" s="107">
        <v>320</v>
      </c>
      <c r="G486" s="211"/>
      <c r="H486" s="107">
        <v>3.59</v>
      </c>
      <c r="I486" s="203">
        <f t="shared" si="18"/>
        <v>1.121875E-2</v>
      </c>
      <c r="J486" s="213">
        <f t="shared" si="17"/>
        <v>1.121875E-2</v>
      </c>
    </row>
    <row r="487" spans="1:10">
      <c r="A487" s="107">
        <v>2</v>
      </c>
      <c r="B487" s="107">
        <v>27</v>
      </c>
      <c r="C487" s="107">
        <v>16</v>
      </c>
      <c r="D487" s="107" t="s">
        <v>329</v>
      </c>
      <c r="E487" s="107" t="s">
        <v>330</v>
      </c>
      <c r="F487" s="107">
        <v>96</v>
      </c>
      <c r="G487" s="211"/>
      <c r="H487" s="107">
        <v>3.45</v>
      </c>
      <c r="I487" s="203">
        <f t="shared" si="18"/>
        <v>3.5937500000000004E-2</v>
      </c>
      <c r="J487" s="213">
        <f t="shared" si="17"/>
        <v>3.5937500000000004E-2</v>
      </c>
    </row>
    <row r="488" spans="1:10">
      <c r="A488" s="107">
        <v>2</v>
      </c>
      <c r="B488" s="107">
        <v>27</v>
      </c>
      <c r="C488" s="107">
        <v>17</v>
      </c>
      <c r="D488" s="107" t="s">
        <v>542</v>
      </c>
      <c r="E488" s="107" t="s">
        <v>539</v>
      </c>
      <c r="F488" s="107">
        <v>320</v>
      </c>
      <c r="G488" s="211"/>
      <c r="H488" s="107">
        <v>9.14</v>
      </c>
      <c r="I488" s="203">
        <f t="shared" si="18"/>
        <v>2.8562500000000001E-2</v>
      </c>
      <c r="J488" s="213">
        <f t="shared" si="17"/>
        <v>2.8562500000000001E-2</v>
      </c>
    </row>
    <row r="489" spans="1:10">
      <c r="A489" s="107">
        <v>2</v>
      </c>
      <c r="B489" s="107">
        <v>27</v>
      </c>
      <c r="C489" s="107">
        <v>18</v>
      </c>
      <c r="D489" s="107" t="s">
        <v>743</v>
      </c>
      <c r="E489" s="107" t="s">
        <v>744</v>
      </c>
      <c r="F489" s="107">
        <v>990</v>
      </c>
      <c r="G489" s="211"/>
      <c r="H489" s="107">
        <v>22</v>
      </c>
      <c r="I489" s="203">
        <f t="shared" si="18"/>
        <v>2.2222222222222223E-2</v>
      </c>
      <c r="J489" s="213">
        <f t="shared" si="17"/>
        <v>2.2222222222222223E-2</v>
      </c>
    </row>
    <row r="490" spans="1:10">
      <c r="A490" s="201">
        <v>2</v>
      </c>
      <c r="B490" s="201">
        <v>28</v>
      </c>
      <c r="C490" s="201">
        <v>1</v>
      </c>
      <c r="D490" s="201" t="s">
        <v>578</v>
      </c>
      <c r="E490" s="201" t="s">
        <v>579</v>
      </c>
      <c r="F490" s="201">
        <v>530</v>
      </c>
      <c r="G490" s="212"/>
      <c r="H490" s="201">
        <v>15.21</v>
      </c>
      <c r="I490" s="204">
        <f t="shared" si="18"/>
        <v>2.8698113207547171E-2</v>
      </c>
      <c r="J490" s="214">
        <f t="shared" si="17"/>
        <v>2.8698113207547171E-2</v>
      </c>
    </row>
    <row r="491" spans="1:10">
      <c r="A491" s="201">
        <v>2</v>
      </c>
      <c r="B491" s="201">
        <v>28</v>
      </c>
      <c r="C491" s="201">
        <v>2</v>
      </c>
      <c r="D491" s="201" t="s">
        <v>281</v>
      </c>
      <c r="E491" s="201" t="s">
        <v>282</v>
      </c>
      <c r="F491" s="201">
        <v>570</v>
      </c>
      <c r="G491" s="212"/>
      <c r="H491" s="201">
        <v>10.57</v>
      </c>
      <c r="I491" s="204">
        <f t="shared" si="18"/>
        <v>1.8543859649122807E-2</v>
      </c>
      <c r="J491" s="214">
        <f t="shared" si="17"/>
        <v>1.8543859649122807E-2</v>
      </c>
    </row>
    <row r="492" spans="1:10">
      <c r="A492" s="201">
        <v>2</v>
      </c>
      <c r="B492" s="201">
        <v>28</v>
      </c>
      <c r="C492" s="201">
        <v>3</v>
      </c>
      <c r="D492" s="201" t="s">
        <v>317</v>
      </c>
      <c r="E492" s="201" t="s">
        <v>318</v>
      </c>
      <c r="F492" s="201">
        <v>890</v>
      </c>
      <c r="G492" s="212"/>
      <c r="H492" s="201">
        <v>20.12</v>
      </c>
      <c r="I492" s="204">
        <f t="shared" si="18"/>
        <v>2.260674157303371E-2</v>
      </c>
      <c r="J492" s="214">
        <f t="shared" si="17"/>
        <v>2.260674157303371E-2</v>
      </c>
    </row>
    <row r="493" spans="1:10">
      <c r="A493" s="201">
        <v>2</v>
      </c>
      <c r="B493" s="201">
        <v>28</v>
      </c>
      <c r="C493" s="201">
        <v>4</v>
      </c>
      <c r="D493" s="201" t="s">
        <v>504</v>
      </c>
      <c r="E493" s="201" t="s">
        <v>505</v>
      </c>
      <c r="F493" s="201">
        <v>161</v>
      </c>
      <c r="G493" s="212"/>
      <c r="H493" s="201">
        <v>3.1</v>
      </c>
      <c r="I493" s="204">
        <f t="shared" si="18"/>
        <v>1.9254658385093167E-2</v>
      </c>
      <c r="J493" s="214">
        <f t="shared" si="17"/>
        <v>1.9254658385093167E-2</v>
      </c>
    </row>
    <row r="494" spans="1:10">
      <c r="A494" s="201">
        <v>2</v>
      </c>
      <c r="B494" s="201">
        <v>28</v>
      </c>
      <c r="C494" s="201">
        <v>5</v>
      </c>
      <c r="D494" s="201" t="s">
        <v>634</v>
      </c>
      <c r="E494" s="201" t="s">
        <v>635</v>
      </c>
      <c r="F494" s="201">
        <v>1230</v>
      </c>
      <c r="G494" s="212"/>
      <c r="H494" s="201">
        <v>27.71</v>
      </c>
      <c r="I494" s="204">
        <f t="shared" si="18"/>
        <v>2.2528455284552846E-2</v>
      </c>
      <c r="J494" s="214">
        <f t="shared" si="17"/>
        <v>2.2528455284552846E-2</v>
      </c>
    </row>
    <row r="495" spans="1:10">
      <c r="A495" s="201">
        <v>2</v>
      </c>
      <c r="B495" s="201">
        <v>28</v>
      </c>
      <c r="C495" s="201">
        <v>6</v>
      </c>
      <c r="D495" s="201" t="s">
        <v>256</v>
      </c>
      <c r="E495" s="201" t="s">
        <v>257</v>
      </c>
      <c r="F495" s="201">
        <v>174</v>
      </c>
      <c r="G495" s="212"/>
      <c r="H495" s="201">
        <v>3.74</v>
      </c>
      <c r="I495" s="204">
        <f t="shared" si="18"/>
        <v>2.149425287356322E-2</v>
      </c>
      <c r="J495" s="214">
        <f t="shared" si="17"/>
        <v>2.149425287356322E-2</v>
      </c>
    </row>
    <row r="496" spans="1:10">
      <c r="A496" s="201">
        <v>2</v>
      </c>
      <c r="B496" s="201">
        <v>28</v>
      </c>
      <c r="C496" s="201">
        <v>7</v>
      </c>
      <c r="D496" s="201" t="s">
        <v>375</v>
      </c>
      <c r="E496" s="201" t="s">
        <v>376</v>
      </c>
      <c r="F496" s="201">
        <v>187</v>
      </c>
      <c r="G496" s="212"/>
      <c r="H496" s="201">
        <v>1.98</v>
      </c>
      <c r="I496" s="204">
        <f t="shared" si="18"/>
        <v>1.0588235294117647E-2</v>
      </c>
      <c r="J496" s="214">
        <f t="shared" si="17"/>
        <v>1.0588235294117647E-2</v>
      </c>
    </row>
    <row r="497" spans="1:10">
      <c r="A497" s="201">
        <v>2</v>
      </c>
      <c r="B497" s="201">
        <v>28</v>
      </c>
      <c r="C497" s="201">
        <v>8</v>
      </c>
      <c r="D497" s="201" t="s">
        <v>739</v>
      </c>
      <c r="E497" s="201" t="s">
        <v>740</v>
      </c>
      <c r="F497" s="201">
        <v>188</v>
      </c>
      <c r="G497" s="212"/>
      <c r="H497" s="201">
        <v>5.43</v>
      </c>
      <c r="I497" s="204">
        <f t="shared" si="18"/>
        <v>2.8882978723404253E-2</v>
      </c>
      <c r="J497" s="214">
        <f t="shared" si="17"/>
        <v>2.8882978723404253E-2</v>
      </c>
    </row>
    <row r="498" spans="1:10">
      <c r="A498" s="201">
        <v>2</v>
      </c>
      <c r="B498" s="201">
        <v>28</v>
      </c>
      <c r="C498" s="201">
        <v>9</v>
      </c>
      <c r="D498" s="201" t="s">
        <v>652</v>
      </c>
      <c r="E498" s="201" t="s">
        <v>653</v>
      </c>
      <c r="F498" s="201">
        <v>500</v>
      </c>
      <c r="G498" s="212"/>
      <c r="H498" s="201">
        <v>11.66</v>
      </c>
      <c r="I498" s="204">
        <f t="shared" si="18"/>
        <v>2.332E-2</v>
      </c>
      <c r="J498" s="214">
        <f t="shared" si="17"/>
        <v>2.332E-2</v>
      </c>
    </row>
    <row r="499" spans="1:10">
      <c r="A499" s="201">
        <v>2</v>
      </c>
      <c r="B499" s="201">
        <v>28</v>
      </c>
      <c r="C499" s="201">
        <v>10</v>
      </c>
      <c r="D499" s="201" t="s">
        <v>138</v>
      </c>
      <c r="E499" s="201" t="s">
        <v>139</v>
      </c>
      <c r="F499" s="201">
        <v>430</v>
      </c>
      <c r="G499" s="212"/>
      <c r="H499" s="201">
        <v>13.72</v>
      </c>
      <c r="I499" s="204">
        <f t="shared" si="18"/>
        <v>3.190697674418605E-2</v>
      </c>
      <c r="J499" s="214">
        <f t="shared" si="17"/>
        <v>3.190697674418605E-2</v>
      </c>
    </row>
    <row r="500" spans="1:10">
      <c r="A500" s="201">
        <v>2</v>
      </c>
      <c r="B500" s="201">
        <v>28</v>
      </c>
      <c r="C500" s="201">
        <v>11</v>
      </c>
      <c r="D500" s="201" t="s">
        <v>224</v>
      </c>
      <c r="E500" s="201" t="s">
        <v>225</v>
      </c>
      <c r="F500" s="201">
        <v>340</v>
      </c>
      <c r="G500" s="212"/>
      <c r="H500" s="201">
        <v>10.36</v>
      </c>
      <c r="I500" s="204">
        <f t="shared" si="18"/>
        <v>3.0470588235294117E-2</v>
      </c>
      <c r="J500" s="214">
        <f t="shared" si="17"/>
        <v>3.0470588235294117E-2</v>
      </c>
    </row>
    <row r="501" spans="1:10">
      <c r="A501" s="201">
        <v>2</v>
      </c>
      <c r="B501" s="201">
        <v>28</v>
      </c>
      <c r="C501" s="201">
        <v>12</v>
      </c>
      <c r="D501" s="201" t="s">
        <v>696</v>
      </c>
      <c r="E501" s="201" t="s">
        <v>697</v>
      </c>
      <c r="F501" s="201">
        <v>160</v>
      </c>
      <c r="G501" s="212"/>
      <c r="H501" s="201">
        <v>3.62</v>
      </c>
      <c r="I501" s="204">
        <f t="shared" si="18"/>
        <v>2.2624999999999999E-2</v>
      </c>
      <c r="J501" s="214">
        <f t="shared" si="17"/>
        <v>2.2624999999999999E-2</v>
      </c>
    </row>
    <row r="502" spans="1:10">
      <c r="A502" s="201">
        <v>2</v>
      </c>
      <c r="B502" s="201">
        <v>28</v>
      </c>
      <c r="C502" s="201">
        <v>13</v>
      </c>
      <c r="D502" s="201" t="s">
        <v>463</v>
      </c>
      <c r="E502" s="201" t="s">
        <v>464</v>
      </c>
      <c r="F502" s="201">
        <v>162</v>
      </c>
      <c r="G502" s="212"/>
      <c r="H502" s="201">
        <v>4.4000000000000004</v>
      </c>
      <c r="I502" s="204">
        <f t="shared" si="18"/>
        <v>2.7160493827160497E-2</v>
      </c>
      <c r="J502" s="214">
        <f t="shared" si="17"/>
        <v>2.7160493827160497E-2</v>
      </c>
    </row>
    <row r="503" spans="1:10">
      <c r="A503" s="201">
        <v>2</v>
      </c>
      <c r="B503" s="201">
        <v>28</v>
      </c>
      <c r="C503" s="201">
        <v>14</v>
      </c>
      <c r="D503" s="201" t="s">
        <v>168</v>
      </c>
      <c r="E503" s="201" t="s">
        <v>169</v>
      </c>
      <c r="F503" s="201">
        <v>218</v>
      </c>
      <c r="G503" s="212"/>
      <c r="H503" s="201">
        <v>8.06</v>
      </c>
      <c r="I503" s="204">
        <f t="shared" si="18"/>
        <v>3.6972477064220188E-2</v>
      </c>
      <c r="J503" s="214">
        <f t="shared" si="17"/>
        <v>3.6972477064220188E-2</v>
      </c>
    </row>
    <row r="504" spans="1:10">
      <c r="A504" s="201">
        <v>2</v>
      </c>
      <c r="B504" s="201">
        <v>28</v>
      </c>
      <c r="C504" s="201">
        <v>15</v>
      </c>
      <c r="D504" s="201" t="s">
        <v>558</v>
      </c>
      <c r="E504" s="201" t="s">
        <v>559</v>
      </c>
      <c r="F504" s="201">
        <v>1010</v>
      </c>
      <c r="G504" s="212"/>
      <c r="H504" s="201">
        <v>34.15</v>
      </c>
      <c r="I504" s="204">
        <f t="shared" si="18"/>
        <v>3.3811881188118807E-2</v>
      </c>
      <c r="J504" s="214">
        <f t="shared" si="17"/>
        <v>3.3811881188118807E-2</v>
      </c>
    </row>
    <row r="505" spans="1:10">
      <c r="A505" s="201">
        <v>2</v>
      </c>
      <c r="B505" s="201">
        <v>28</v>
      </c>
      <c r="C505" s="201">
        <v>16</v>
      </c>
      <c r="D505" s="201" t="s">
        <v>520</v>
      </c>
      <c r="E505" s="201" t="s">
        <v>503</v>
      </c>
      <c r="F505" s="201">
        <v>325</v>
      </c>
      <c r="G505" s="212"/>
      <c r="H505" s="201">
        <v>4.97</v>
      </c>
      <c r="I505" s="204">
        <f t="shared" si="18"/>
        <v>1.5292307692307692E-2</v>
      </c>
      <c r="J505" s="214">
        <f t="shared" si="17"/>
        <v>1.5292307692307692E-2</v>
      </c>
    </row>
    <row r="506" spans="1:10">
      <c r="A506" s="201">
        <v>2</v>
      </c>
      <c r="B506" s="201">
        <v>28</v>
      </c>
      <c r="C506" s="201">
        <v>17</v>
      </c>
      <c r="D506" s="201" t="s">
        <v>435</v>
      </c>
      <c r="E506" s="201" t="s">
        <v>436</v>
      </c>
      <c r="F506" s="201">
        <v>278</v>
      </c>
      <c r="G506" s="212"/>
      <c r="H506" s="201">
        <v>8.84</v>
      </c>
      <c r="I506" s="204">
        <f t="shared" si="18"/>
        <v>3.1798561151079138E-2</v>
      </c>
      <c r="J506" s="214">
        <f t="shared" si="17"/>
        <v>3.1798561151079138E-2</v>
      </c>
    </row>
    <row r="507" spans="1:10">
      <c r="A507" s="201">
        <v>2</v>
      </c>
      <c r="B507" s="201">
        <v>28</v>
      </c>
      <c r="C507" s="201">
        <v>18</v>
      </c>
      <c r="D507" s="201" t="s">
        <v>383</v>
      </c>
      <c r="E507" s="201" t="s">
        <v>384</v>
      </c>
      <c r="F507" s="201">
        <v>463</v>
      </c>
      <c r="G507" s="212"/>
      <c r="H507" s="201">
        <v>17.68</v>
      </c>
      <c r="I507" s="204">
        <f t="shared" si="18"/>
        <v>3.818574514038877E-2</v>
      </c>
      <c r="J507" s="214">
        <f t="shared" si="17"/>
        <v>3.818574514038877E-2</v>
      </c>
    </row>
    <row r="508" spans="1:10">
      <c r="A508" s="107">
        <v>2</v>
      </c>
      <c r="B508" s="107">
        <v>29</v>
      </c>
      <c r="C508" s="107">
        <v>1</v>
      </c>
      <c r="D508" s="107" t="s">
        <v>467</v>
      </c>
      <c r="E508" s="107" t="s">
        <v>468</v>
      </c>
      <c r="F508" s="107">
        <v>365</v>
      </c>
      <c r="G508" s="211"/>
      <c r="H508" s="107">
        <v>8.09</v>
      </c>
      <c r="I508" s="203">
        <f t="shared" si="18"/>
        <v>2.2164383561643835E-2</v>
      </c>
      <c r="J508" s="213">
        <f t="shared" si="17"/>
        <v>2.2164383561643835E-2</v>
      </c>
    </row>
    <row r="509" spans="1:10">
      <c r="A509" s="107">
        <v>2</v>
      </c>
      <c r="B509" s="107">
        <v>29</v>
      </c>
      <c r="C509" s="107">
        <v>2</v>
      </c>
      <c r="D509" s="107" t="s">
        <v>690</v>
      </c>
      <c r="E509" s="107" t="s">
        <v>691</v>
      </c>
      <c r="F509" s="107">
        <v>595</v>
      </c>
      <c r="G509" s="211"/>
      <c r="H509" s="107">
        <v>15.57</v>
      </c>
      <c r="I509" s="203">
        <f t="shared" si="18"/>
        <v>2.6168067226890756E-2</v>
      </c>
      <c r="J509" s="213">
        <f t="shared" si="17"/>
        <v>2.6168067226890756E-2</v>
      </c>
    </row>
    <row r="510" spans="1:10">
      <c r="A510" s="107">
        <v>2</v>
      </c>
      <c r="B510" s="107">
        <v>29</v>
      </c>
      <c r="C510" s="107">
        <v>3</v>
      </c>
      <c r="D510" s="107" t="s">
        <v>628</v>
      </c>
      <c r="E510" s="107" t="s">
        <v>629</v>
      </c>
      <c r="F510" s="107">
        <v>0</v>
      </c>
      <c r="G510" s="211"/>
      <c r="H510" s="107">
        <v>0</v>
      </c>
      <c r="I510" s="203" t="e">
        <f t="shared" si="18"/>
        <v>#DIV/0!</v>
      </c>
      <c r="J510" s="213" t="e">
        <f t="shared" si="17"/>
        <v>#DIV/0!</v>
      </c>
    </row>
    <row r="511" spans="1:10">
      <c r="A511" s="107">
        <v>2</v>
      </c>
      <c r="B511" s="107">
        <v>29</v>
      </c>
      <c r="C511" s="107">
        <v>4</v>
      </c>
      <c r="D511" s="107" t="s">
        <v>361</v>
      </c>
      <c r="E511" s="107" t="s">
        <v>362</v>
      </c>
      <c r="F511" s="107">
        <v>146</v>
      </c>
      <c r="G511" s="211"/>
      <c r="H511" s="107">
        <v>2.85</v>
      </c>
      <c r="I511" s="203">
        <f t="shared" si="18"/>
        <v>1.9520547945205479E-2</v>
      </c>
      <c r="J511" s="213">
        <f t="shared" si="17"/>
        <v>1.9520547945205479E-2</v>
      </c>
    </row>
    <row r="512" spans="1:10">
      <c r="A512" s="107">
        <v>2</v>
      </c>
      <c r="B512" s="107">
        <v>29</v>
      </c>
      <c r="C512" s="107">
        <v>5</v>
      </c>
      <c r="D512" s="107" t="s">
        <v>389</v>
      </c>
      <c r="E512" s="107" t="s">
        <v>390</v>
      </c>
      <c r="F512" s="107">
        <v>98</v>
      </c>
      <c r="G512" s="211"/>
      <c r="H512" s="107">
        <v>1.96</v>
      </c>
      <c r="I512" s="203">
        <f t="shared" si="18"/>
        <v>0.02</v>
      </c>
      <c r="J512" s="213">
        <f t="shared" si="17"/>
        <v>0.02</v>
      </c>
    </row>
    <row r="513" spans="1:10">
      <c r="A513" s="107">
        <v>2</v>
      </c>
      <c r="B513" s="107">
        <v>29</v>
      </c>
      <c r="C513" s="107">
        <v>6</v>
      </c>
      <c r="D513" s="107" t="s">
        <v>208</v>
      </c>
      <c r="E513" s="107" t="s">
        <v>209</v>
      </c>
      <c r="F513" s="107">
        <v>0</v>
      </c>
      <c r="G513" s="211"/>
      <c r="H513" s="107">
        <v>0</v>
      </c>
      <c r="I513" s="203" t="e">
        <f t="shared" si="18"/>
        <v>#DIV/0!</v>
      </c>
      <c r="J513" s="213" t="e">
        <f t="shared" si="17"/>
        <v>#DIV/0!</v>
      </c>
    </row>
    <row r="514" spans="1:10">
      <c r="A514" s="107">
        <v>2</v>
      </c>
      <c r="B514" s="107">
        <v>29</v>
      </c>
      <c r="C514" s="107">
        <v>7</v>
      </c>
      <c r="D514" s="107" t="s">
        <v>315</v>
      </c>
      <c r="E514" s="107" t="s">
        <v>316</v>
      </c>
      <c r="F514" s="107">
        <v>815</v>
      </c>
      <c r="G514" s="211"/>
      <c r="H514" s="107">
        <v>16.13</v>
      </c>
      <c r="I514" s="203">
        <f t="shared" si="18"/>
        <v>1.9791411042944785E-2</v>
      </c>
      <c r="J514" s="213">
        <f t="shared" si="17"/>
        <v>1.9791411042944785E-2</v>
      </c>
    </row>
    <row r="515" spans="1:10">
      <c r="A515" s="107">
        <v>2</v>
      </c>
      <c r="B515" s="107">
        <v>29</v>
      </c>
      <c r="C515" s="107">
        <v>8</v>
      </c>
      <c r="D515" s="107" t="s">
        <v>166</v>
      </c>
      <c r="E515" s="107" t="s">
        <v>167</v>
      </c>
      <c r="F515" s="107">
        <v>0</v>
      </c>
      <c r="G515" s="211"/>
      <c r="H515" s="107">
        <v>0</v>
      </c>
      <c r="I515" s="203" t="e">
        <f t="shared" si="18"/>
        <v>#DIV/0!</v>
      </c>
      <c r="J515" s="213" t="e">
        <f t="shared" si="17"/>
        <v>#DIV/0!</v>
      </c>
    </row>
    <row r="516" spans="1:10">
      <c r="A516" s="107">
        <v>2</v>
      </c>
      <c r="B516" s="107">
        <v>29</v>
      </c>
      <c r="C516" s="107">
        <v>9</v>
      </c>
      <c r="D516" s="107" t="s">
        <v>513</v>
      </c>
      <c r="E516" s="107" t="s">
        <v>505</v>
      </c>
      <c r="F516" s="107">
        <v>860</v>
      </c>
      <c r="G516" s="211"/>
      <c r="H516" s="107">
        <v>23.36</v>
      </c>
      <c r="I516" s="203">
        <f t="shared" si="18"/>
        <v>2.7162790697674417E-2</v>
      </c>
      <c r="J516" s="213">
        <f t="shared" si="17"/>
        <v>2.7162790697674417E-2</v>
      </c>
    </row>
    <row r="517" spans="1:10">
      <c r="A517" s="107">
        <v>2</v>
      </c>
      <c r="B517" s="107">
        <v>29</v>
      </c>
      <c r="C517" s="107">
        <v>10</v>
      </c>
      <c r="D517" s="107" t="s">
        <v>602</v>
      </c>
      <c r="E517" s="107" t="s">
        <v>603</v>
      </c>
      <c r="F517" s="107">
        <v>450</v>
      </c>
      <c r="G517" s="211"/>
      <c r="H517" s="107">
        <v>10.86</v>
      </c>
      <c r="I517" s="203">
        <f t="shared" si="18"/>
        <v>2.4133333333333333E-2</v>
      </c>
      <c r="J517" s="213">
        <f t="shared" ref="J517:J580" si="19">IF(G517="",I517,I517/(1-G517))</f>
        <v>2.4133333333333333E-2</v>
      </c>
    </row>
    <row r="518" spans="1:10">
      <c r="A518" s="107">
        <v>2</v>
      </c>
      <c r="B518" s="107">
        <v>29</v>
      </c>
      <c r="C518" s="107">
        <v>11</v>
      </c>
      <c r="D518" s="107" t="s">
        <v>522</v>
      </c>
      <c r="E518" s="107" t="s">
        <v>503</v>
      </c>
      <c r="F518" s="107">
        <v>655</v>
      </c>
      <c r="G518" s="211"/>
      <c r="H518" s="107">
        <v>20.420000000000002</v>
      </c>
      <c r="I518" s="203">
        <f t="shared" si="18"/>
        <v>3.1175572519083972E-2</v>
      </c>
      <c r="J518" s="213">
        <f t="shared" si="19"/>
        <v>3.1175572519083972E-2</v>
      </c>
    </row>
    <row r="519" spans="1:10">
      <c r="A519" s="107">
        <v>2</v>
      </c>
      <c r="B519" s="107">
        <v>29</v>
      </c>
      <c r="C519" s="107">
        <v>12</v>
      </c>
      <c r="D519" s="107" t="s">
        <v>192</v>
      </c>
      <c r="E519" s="107" t="s">
        <v>193</v>
      </c>
      <c r="F519" s="107">
        <v>320</v>
      </c>
      <c r="G519" s="211"/>
      <c r="H519" s="107">
        <v>2.52</v>
      </c>
      <c r="I519" s="203">
        <f t="shared" si="18"/>
        <v>7.8750000000000001E-3</v>
      </c>
      <c r="J519" s="213">
        <f t="shared" si="19"/>
        <v>7.8750000000000001E-3</v>
      </c>
    </row>
    <row r="520" spans="1:10">
      <c r="A520" s="107">
        <v>2</v>
      </c>
      <c r="B520" s="107">
        <v>29</v>
      </c>
      <c r="C520" s="107">
        <v>13</v>
      </c>
      <c r="D520" s="107" t="s">
        <v>445</v>
      </c>
      <c r="E520" s="107" t="s">
        <v>446</v>
      </c>
      <c r="F520" s="107">
        <v>315</v>
      </c>
      <c r="G520" s="211"/>
      <c r="H520" s="107">
        <v>10.15</v>
      </c>
      <c r="I520" s="203">
        <f t="shared" si="18"/>
        <v>3.2222222222222222E-2</v>
      </c>
      <c r="J520" s="213">
        <f t="shared" si="19"/>
        <v>3.2222222222222222E-2</v>
      </c>
    </row>
    <row r="521" spans="1:10">
      <c r="A521" s="107">
        <v>2</v>
      </c>
      <c r="B521" s="107">
        <v>29</v>
      </c>
      <c r="C521" s="107">
        <v>14</v>
      </c>
      <c r="D521" s="107" t="s">
        <v>745</v>
      </c>
      <c r="E521" s="107" t="s">
        <v>746</v>
      </c>
      <c r="F521" s="107">
        <v>133</v>
      </c>
      <c r="G521" s="211"/>
      <c r="H521" s="107">
        <v>1.02</v>
      </c>
      <c r="I521" s="203">
        <f t="shared" ref="I521:I549" si="20">IF(F521="","",H521/F521)</f>
        <v>7.6691729323308273E-3</v>
      </c>
      <c r="J521" s="213">
        <f t="shared" si="19"/>
        <v>7.6691729323308273E-3</v>
      </c>
    </row>
    <row r="522" spans="1:10">
      <c r="A522" s="107">
        <v>2</v>
      </c>
      <c r="B522" s="107">
        <v>29</v>
      </c>
      <c r="C522" s="107">
        <v>15</v>
      </c>
      <c r="D522" s="107" t="s">
        <v>648</v>
      </c>
      <c r="E522" s="107" t="s">
        <v>649</v>
      </c>
      <c r="F522" s="107">
        <v>1153</v>
      </c>
      <c r="G522" s="211"/>
      <c r="H522" s="107">
        <v>21.21</v>
      </c>
      <c r="I522" s="203">
        <f t="shared" si="20"/>
        <v>1.839549002601908E-2</v>
      </c>
      <c r="J522" s="213">
        <f t="shared" si="19"/>
        <v>1.839549002601908E-2</v>
      </c>
    </row>
    <row r="523" spans="1:10">
      <c r="A523" s="107">
        <v>2</v>
      </c>
      <c r="B523" s="107">
        <v>29</v>
      </c>
      <c r="C523" s="107">
        <v>16</v>
      </c>
      <c r="D523" s="107" t="s">
        <v>543</v>
      </c>
      <c r="E523" s="107" t="s">
        <v>539</v>
      </c>
      <c r="F523" s="107">
        <v>247</v>
      </c>
      <c r="G523" s="211"/>
      <c r="H523" s="107">
        <v>5.48</v>
      </c>
      <c r="I523" s="203">
        <f t="shared" si="20"/>
        <v>2.2186234817813767E-2</v>
      </c>
      <c r="J523" s="213">
        <f t="shared" si="19"/>
        <v>2.2186234817813767E-2</v>
      </c>
    </row>
    <row r="524" spans="1:10">
      <c r="A524" s="107">
        <v>2</v>
      </c>
      <c r="B524" s="107">
        <v>29</v>
      </c>
      <c r="C524" s="107">
        <v>17</v>
      </c>
      <c r="D524" s="107" t="s">
        <v>242</v>
      </c>
      <c r="E524" s="107" t="s">
        <v>243</v>
      </c>
      <c r="F524" s="107">
        <v>435</v>
      </c>
      <c r="G524" s="211"/>
      <c r="H524" s="107">
        <v>12.35</v>
      </c>
      <c r="I524" s="203">
        <f t="shared" si="20"/>
        <v>2.8390804597701148E-2</v>
      </c>
      <c r="J524" s="213">
        <f t="shared" si="19"/>
        <v>2.8390804597701148E-2</v>
      </c>
    </row>
    <row r="525" spans="1:10">
      <c r="A525" s="107">
        <v>2</v>
      </c>
      <c r="B525" s="107">
        <v>29</v>
      </c>
      <c r="C525" s="107">
        <v>18</v>
      </c>
      <c r="D525" s="107" t="s">
        <v>297</v>
      </c>
      <c r="E525" s="107" t="s">
        <v>298</v>
      </c>
      <c r="F525" s="107">
        <v>570</v>
      </c>
      <c r="G525" s="211"/>
      <c r="H525" s="107">
        <v>19.23</v>
      </c>
      <c r="I525" s="203">
        <f t="shared" si="20"/>
        <v>3.3736842105263155E-2</v>
      </c>
      <c r="J525" s="213">
        <f t="shared" si="19"/>
        <v>3.3736842105263155E-2</v>
      </c>
    </row>
    <row r="526" spans="1:10">
      <c r="A526" s="201">
        <v>2</v>
      </c>
      <c r="B526" s="201">
        <v>30</v>
      </c>
      <c r="C526" s="201">
        <v>1</v>
      </c>
      <c r="D526" s="201" t="s">
        <v>301</v>
      </c>
      <c r="E526" s="201" t="s">
        <v>302</v>
      </c>
      <c r="F526" s="201">
        <v>0</v>
      </c>
      <c r="G526" s="212"/>
      <c r="H526" s="201">
        <v>0</v>
      </c>
      <c r="I526" s="204" t="e">
        <f t="shared" si="20"/>
        <v>#DIV/0!</v>
      </c>
      <c r="J526" s="214" t="e">
        <f t="shared" si="19"/>
        <v>#DIV/0!</v>
      </c>
    </row>
    <row r="527" spans="1:10">
      <c r="A527" s="201">
        <v>2</v>
      </c>
      <c r="B527" s="201">
        <v>30</v>
      </c>
      <c r="C527" s="201">
        <v>2</v>
      </c>
      <c r="D527" s="201" t="s">
        <v>493</v>
      </c>
      <c r="E527" s="201" t="s">
        <v>494</v>
      </c>
      <c r="F527" s="201">
        <v>317</v>
      </c>
      <c r="G527" s="212"/>
      <c r="H527" s="201">
        <v>7.9</v>
      </c>
      <c r="I527" s="204">
        <f t="shared" si="20"/>
        <v>2.4921135646687697E-2</v>
      </c>
      <c r="J527" s="214">
        <f t="shared" si="19"/>
        <v>2.4921135646687697E-2</v>
      </c>
    </row>
    <row r="528" spans="1:10">
      <c r="A528" s="201">
        <v>2</v>
      </c>
      <c r="B528" s="201">
        <v>30</v>
      </c>
      <c r="C528" s="201">
        <v>3</v>
      </c>
      <c r="D528" s="201" t="s">
        <v>222</v>
      </c>
      <c r="E528" s="201" t="s">
        <v>223</v>
      </c>
      <c r="F528" s="201">
        <v>530</v>
      </c>
      <c r="G528" s="212"/>
      <c r="H528" s="201">
        <v>16.670000000000002</v>
      </c>
      <c r="I528" s="204">
        <f t="shared" si="20"/>
        <v>3.1452830188679247E-2</v>
      </c>
      <c r="J528" s="214">
        <f t="shared" si="19"/>
        <v>3.1452830188679247E-2</v>
      </c>
    </row>
    <row r="529" spans="1:10">
      <c r="A529" s="201">
        <v>2</v>
      </c>
      <c r="B529" s="201">
        <v>30</v>
      </c>
      <c r="C529" s="201">
        <v>4</v>
      </c>
      <c r="D529" s="201" t="s">
        <v>680</v>
      </c>
      <c r="E529" s="201" t="s">
        <v>681</v>
      </c>
      <c r="F529" s="201">
        <v>900</v>
      </c>
      <c r="G529" s="212"/>
      <c r="H529" s="201">
        <v>30.12</v>
      </c>
      <c r="I529" s="204">
        <f t="shared" si="20"/>
        <v>3.3466666666666665E-2</v>
      </c>
      <c r="J529" s="214">
        <f t="shared" si="19"/>
        <v>3.3466666666666665E-2</v>
      </c>
    </row>
    <row r="530" spans="1:10">
      <c r="A530" s="201">
        <v>2</v>
      </c>
      <c r="B530" s="201">
        <v>30</v>
      </c>
      <c r="C530" s="201">
        <v>5</v>
      </c>
      <c r="D530" s="201" t="s">
        <v>483</v>
      </c>
      <c r="E530" s="201" t="s">
        <v>484</v>
      </c>
      <c r="F530" s="201">
        <v>0</v>
      </c>
      <c r="G530" s="212"/>
      <c r="H530" s="201">
        <v>0</v>
      </c>
      <c r="I530" s="204" t="e">
        <f t="shared" si="20"/>
        <v>#DIV/0!</v>
      </c>
      <c r="J530" s="214" t="e">
        <f t="shared" si="19"/>
        <v>#DIV/0!</v>
      </c>
    </row>
    <row r="531" spans="1:10">
      <c r="A531" s="201">
        <v>2</v>
      </c>
      <c r="B531" s="201">
        <v>30</v>
      </c>
      <c r="C531" s="201">
        <v>6</v>
      </c>
      <c r="D531" s="201" t="s">
        <v>704</v>
      </c>
      <c r="E531" s="201" t="s">
        <v>705</v>
      </c>
      <c r="F531" s="201">
        <v>270</v>
      </c>
      <c r="G531" s="212"/>
      <c r="H531" s="201">
        <v>10.53</v>
      </c>
      <c r="I531" s="204">
        <f t="shared" si="20"/>
        <v>3.9E-2</v>
      </c>
      <c r="J531" s="214">
        <f t="shared" si="19"/>
        <v>3.9E-2</v>
      </c>
    </row>
    <row r="532" spans="1:10">
      <c r="A532" s="201">
        <v>2</v>
      </c>
      <c r="B532" s="201">
        <v>30</v>
      </c>
      <c r="C532" s="201">
        <v>7</v>
      </c>
      <c r="D532" s="201" t="s">
        <v>640</v>
      </c>
      <c r="E532" s="201" t="s">
        <v>641</v>
      </c>
      <c r="F532" s="201">
        <v>290</v>
      </c>
      <c r="G532" s="212"/>
      <c r="H532" s="201">
        <v>8.93</v>
      </c>
      <c r="I532" s="204">
        <f t="shared" si="20"/>
        <v>3.079310344827586E-2</v>
      </c>
      <c r="J532" s="214">
        <f t="shared" si="19"/>
        <v>3.079310344827586E-2</v>
      </c>
    </row>
    <row r="533" spans="1:10">
      <c r="A533" s="201">
        <v>2</v>
      </c>
      <c r="B533" s="201">
        <v>30</v>
      </c>
      <c r="C533" s="201">
        <v>8</v>
      </c>
      <c r="D533" s="201" t="s">
        <v>363</v>
      </c>
      <c r="E533" s="201" t="s">
        <v>364</v>
      </c>
      <c r="F533" s="201">
        <v>510</v>
      </c>
      <c r="G533" s="212"/>
      <c r="H533" s="201">
        <v>10.11</v>
      </c>
      <c r="I533" s="204">
        <f t="shared" si="20"/>
        <v>1.9823529411764705E-2</v>
      </c>
      <c r="J533" s="214">
        <f t="shared" si="19"/>
        <v>1.9823529411764705E-2</v>
      </c>
    </row>
    <row r="534" spans="1:10">
      <c r="A534" s="201">
        <v>2</v>
      </c>
      <c r="B534" s="201">
        <v>30</v>
      </c>
      <c r="C534" s="201">
        <v>9</v>
      </c>
      <c r="D534" s="201" t="s">
        <v>570</v>
      </c>
      <c r="E534" s="201" t="s">
        <v>571</v>
      </c>
      <c r="F534" s="201">
        <v>321</v>
      </c>
      <c r="G534" s="212"/>
      <c r="H534" s="201">
        <v>11.38</v>
      </c>
      <c r="I534" s="204">
        <f t="shared" si="20"/>
        <v>3.5451713395638629E-2</v>
      </c>
      <c r="J534" s="214">
        <f t="shared" si="19"/>
        <v>3.5451713395638629E-2</v>
      </c>
    </row>
    <row r="535" spans="1:10">
      <c r="A535" s="201">
        <v>2</v>
      </c>
      <c r="B535" s="201">
        <v>30</v>
      </c>
      <c r="C535" s="201">
        <v>10</v>
      </c>
      <c r="D535" s="201" t="s">
        <v>269</v>
      </c>
      <c r="E535" s="201" t="s">
        <v>187</v>
      </c>
      <c r="F535" s="201">
        <v>550</v>
      </c>
      <c r="G535" s="212"/>
      <c r="H535" s="201">
        <v>11.91</v>
      </c>
      <c r="I535" s="204">
        <f t="shared" si="20"/>
        <v>2.1654545454545454E-2</v>
      </c>
      <c r="J535" s="214">
        <f t="shared" si="19"/>
        <v>2.1654545454545454E-2</v>
      </c>
    </row>
    <row r="536" spans="1:10">
      <c r="A536" s="201">
        <v>2</v>
      </c>
      <c r="B536" s="201">
        <v>30</v>
      </c>
      <c r="C536" s="201">
        <v>11</v>
      </c>
      <c r="D536" s="201" t="s">
        <v>395</v>
      </c>
      <c r="E536" s="201" t="s">
        <v>396</v>
      </c>
      <c r="F536" s="201">
        <v>180</v>
      </c>
      <c r="G536" s="212"/>
      <c r="H536" s="201">
        <v>4.1500000000000004</v>
      </c>
      <c r="I536" s="204">
        <f t="shared" si="20"/>
        <v>2.3055555555555558E-2</v>
      </c>
      <c r="J536" s="214">
        <f t="shared" si="19"/>
        <v>2.3055555555555558E-2</v>
      </c>
    </row>
    <row r="537" spans="1:10">
      <c r="A537" s="201">
        <v>2</v>
      </c>
      <c r="B537" s="201">
        <v>30</v>
      </c>
      <c r="C537" s="201">
        <v>12</v>
      </c>
      <c r="D537" s="201" t="s">
        <v>735</v>
      </c>
      <c r="E537" s="201" t="s">
        <v>736</v>
      </c>
      <c r="F537" s="201">
        <v>11</v>
      </c>
      <c r="G537" s="212"/>
      <c r="H537" s="201">
        <v>0.12</v>
      </c>
      <c r="I537" s="204">
        <f t="shared" si="20"/>
        <v>1.0909090909090908E-2</v>
      </c>
      <c r="J537" s="214">
        <f t="shared" si="19"/>
        <v>1.0909090909090908E-2</v>
      </c>
    </row>
    <row r="538" spans="1:10">
      <c r="A538" s="201">
        <v>2</v>
      </c>
      <c r="B538" s="201">
        <v>30</v>
      </c>
      <c r="C538" s="201">
        <v>13</v>
      </c>
      <c r="D538" s="201" t="s">
        <v>134</v>
      </c>
      <c r="E538" s="201" t="s">
        <v>135</v>
      </c>
      <c r="F538" s="201">
        <v>640</v>
      </c>
      <c r="G538" s="212"/>
      <c r="H538" s="201">
        <v>14.31</v>
      </c>
      <c r="I538" s="204">
        <f t="shared" si="20"/>
        <v>2.2359375000000001E-2</v>
      </c>
      <c r="J538" s="214">
        <f t="shared" si="19"/>
        <v>2.2359375000000001E-2</v>
      </c>
    </row>
    <row r="539" spans="1:10">
      <c r="A539" s="201">
        <v>2</v>
      </c>
      <c r="B539" s="201">
        <v>30</v>
      </c>
      <c r="C539" s="201">
        <v>14</v>
      </c>
      <c r="D539" s="201" t="s">
        <v>596</v>
      </c>
      <c r="E539" s="201" t="s">
        <v>597</v>
      </c>
      <c r="F539" s="201">
        <v>870</v>
      </c>
      <c r="G539" s="212"/>
      <c r="H539" s="201">
        <v>30.08</v>
      </c>
      <c r="I539" s="204">
        <f t="shared" si="20"/>
        <v>3.457471264367816E-2</v>
      </c>
      <c r="J539" s="214">
        <f t="shared" si="19"/>
        <v>3.457471264367816E-2</v>
      </c>
    </row>
    <row r="540" spans="1:10">
      <c r="A540" s="201">
        <v>2</v>
      </c>
      <c r="B540" s="201">
        <v>30</v>
      </c>
      <c r="C540" s="201">
        <v>15</v>
      </c>
      <c r="D540" s="201" t="s">
        <v>447</v>
      </c>
      <c r="E540" s="201" t="s">
        <v>448</v>
      </c>
      <c r="F540" s="201">
        <v>1260</v>
      </c>
      <c r="G540" s="212"/>
      <c r="H540" s="201">
        <v>30.93</v>
      </c>
      <c r="I540" s="204">
        <f t="shared" si="20"/>
        <v>2.4547619047619047E-2</v>
      </c>
      <c r="J540" s="214">
        <f t="shared" si="19"/>
        <v>2.4547619047619047E-2</v>
      </c>
    </row>
    <row r="541" spans="1:10">
      <c r="A541" s="201">
        <v>2</v>
      </c>
      <c r="B541" s="201">
        <v>30</v>
      </c>
      <c r="C541" s="201">
        <v>16</v>
      </c>
      <c r="D541" s="201" t="s">
        <v>186</v>
      </c>
      <c r="E541" s="201" t="s">
        <v>187</v>
      </c>
      <c r="F541" s="201">
        <v>320</v>
      </c>
      <c r="G541" s="212"/>
      <c r="H541" s="201">
        <v>5.59</v>
      </c>
      <c r="I541" s="204">
        <f t="shared" si="20"/>
        <v>1.7468749999999998E-2</v>
      </c>
      <c r="J541" s="214">
        <f t="shared" si="19"/>
        <v>1.7468749999999998E-2</v>
      </c>
    </row>
    <row r="542" spans="1:10">
      <c r="A542" s="201">
        <v>2</v>
      </c>
      <c r="B542" s="201">
        <v>30</v>
      </c>
      <c r="C542" s="201">
        <v>17</v>
      </c>
      <c r="D542" s="201" t="s">
        <v>531</v>
      </c>
      <c r="E542" s="201" t="s">
        <v>503</v>
      </c>
      <c r="F542" s="201">
        <v>216</v>
      </c>
      <c r="G542" s="212"/>
      <c r="H542" s="201">
        <v>3.58</v>
      </c>
      <c r="I542" s="204">
        <f t="shared" si="20"/>
        <v>1.6574074074074074E-2</v>
      </c>
      <c r="J542" s="214">
        <f t="shared" si="19"/>
        <v>1.6574074074074074E-2</v>
      </c>
    </row>
    <row r="543" spans="1:10">
      <c r="A543" s="201">
        <v>2</v>
      </c>
      <c r="B543" s="201">
        <v>30</v>
      </c>
      <c r="C543" s="201">
        <v>18</v>
      </c>
      <c r="D543" s="201" t="s">
        <v>327</v>
      </c>
      <c r="E543" s="201" t="s">
        <v>328</v>
      </c>
      <c r="F543" s="201">
        <v>1030</v>
      </c>
      <c r="G543" s="212"/>
      <c r="H543" s="201">
        <v>17.329999999999998</v>
      </c>
      <c r="I543" s="204">
        <f t="shared" si="20"/>
        <v>1.6825242718446601E-2</v>
      </c>
      <c r="J543" s="214">
        <f t="shared" si="19"/>
        <v>1.6825242718446601E-2</v>
      </c>
    </row>
    <row r="544" spans="1:10">
      <c r="A544" s="107">
        <v>2</v>
      </c>
      <c r="B544" s="107">
        <v>31</v>
      </c>
      <c r="C544" s="107">
        <v>1</v>
      </c>
      <c r="D544" s="107" t="s">
        <v>220</v>
      </c>
      <c r="E544" s="107" t="s">
        <v>221</v>
      </c>
      <c r="F544" s="107">
        <v>350</v>
      </c>
      <c r="G544" s="211"/>
      <c r="H544" s="107">
        <v>13.71</v>
      </c>
      <c r="I544" s="203">
        <f t="shared" si="20"/>
        <v>3.9171428571428572E-2</v>
      </c>
      <c r="J544" s="213">
        <f t="shared" si="19"/>
        <v>3.9171428571428572E-2</v>
      </c>
    </row>
    <row r="545" spans="1:10">
      <c r="A545" s="107">
        <v>2</v>
      </c>
      <c r="B545" s="107">
        <v>31</v>
      </c>
      <c r="C545" s="107">
        <v>2</v>
      </c>
      <c r="D545" s="107" t="s">
        <v>702</v>
      </c>
      <c r="E545" s="107" t="s">
        <v>703</v>
      </c>
      <c r="F545" s="107">
        <v>262</v>
      </c>
      <c r="G545" s="211"/>
      <c r="H545" s="107">
        <v>6.55</v>
      </c>
      <c r="I545" s="203">
        <f t="shared" si="20"/>
        <v>2.4999999999999998E-2</v>
      </c>
      <c r="J545" s="213">
        <f t="shared" si="19"/>
        <v>2.4999999999999998E-2</v>
      </c>
    </row>
    <row r="546" spans="1:10">
      <c r="A546" s="107">
        <v>2</v>
      </c>
      <c r="B546" s="107">
        <v>31</v>
      </c>
      <c r="C546" s="107">
        <v>3</v>
      </c>
      <c r="D546" s="107" t="s">
        <v>142</v>
      </c>
      <c r="E546" s="107" t="s">
        <v>143</v>
      </c>
      <c r="F546" s="107">
        <v>970</v>
      </c>
      <c r="G546" s="211"/>
      <c r="H546" s="107">
        <v>29.84</v>
      </c>
      <c r="I546" s="203">
        <f t="shared" si="20"/>
        <v>3.0762886597938143E-2</v>
      </c>
      <c r="J546" s="213">
        <f t="shared" si="19"/>
        <v>3.0762886597938143E-2</v>
      </c>
    </row>
    <row r="547" spans="1:10">
      <c r="A547" s="107">
        <v>2</v>
      </c>
      <c r="B547" s="107">
        <v>31</v>
      </c>
      <c r="C547" s="107">
        <v>4</v>
      </c>
      <c r="D547" s="107" t="s">
        <v>485</v>
      </c>
      <c r="E547" s="107" t="s">
        <v>486</v>
      </c>
      <c r="F547" s="107">
        <v>245</v>
      </c>
      <c r="G547" s="211"/>
      <c r="H547" s="107">
        <v>7.29</v>
      </c>
      <c r="I547" s="203">
        <f t="shared" si="20"/>
        <v>2.9755102040816328E-2</v>
      </c>
      <c r="J547" s="213">
        <f t="shared" si="19"/>
        <v>2.9755102040816328E-2</v>
      </c>
    </row>
    <row r="548" spans="1:10">
      <c r="A548" s="107">
        <v>2</v>
      </c>
      <c r="B548" s="107">
        <v>31</v>
      </c>
      <c r="C548" s="107">
        <v>5</v>
      </c>
      <c r="D548" s="107" t="s">
        <v>313</v>
      </c>
      <c r="E548" s="107" t="s">
        <v>314</v>
      </c>
      <c r="F548" s="107">
        <v>299</v>
      </c>
      <c r="G548" s="211"/>
      <c r="H548" s="107">
        <v>7.95</v>
      </c>
      <c r="I548" s="203">
        <f t="shared" si="20"/>
        <v>2.6588628762541807E-2</v>
      </c>
      <c r="J548" s="213">
        <f t="shared" si="19"/>
        <v>2.6588628762541807E-2</v>
      </c>
    </row>
    <row r="549" spans="1:10">
      <c r="A549" s="107">
        <v>2</v>
      </c>
      <c r="B549" s="107">
        <v>31</v>
      </c>
      <c r="C549" s="107">
        <v>6</v>
      </c>
      <c r="D549" s="107" t="s">
        <v>636</v>
      </c>
      <c r="E549" s="107" t="s">
        <v>637</v>
      </c>
      <c r="F549" s="107">
        <v>675</v>
      </c>
      <c r="G549" s="211"/>
      <c r="H549" s="107">
        <v>16.43</v>
      </c>
      <c r="I549" s="203">
        <f t="shared" si="20"/>
        <v>2.4340740740740739E-2</v>
      </c>
      <c r="J549" s="213">
        <f t="shared" si="19"/>
        <v>2.4340740740740739E-2</v>
      </c>
    </row>
    <row r="550" spans="1:10">
      <c r="A550" s="107">
        <v>2</v>
      </c>
      <c r="B550" s="107">
        <v>31</v>
      </c>
      <c r="C550" s="107">
        <v>7</v>
      </c>
      <c r="D550" s="107" t="s">
        <v>174</v>
      </c>
      <c r="E550" s="107" t="s">
        <v>175</v>
      </c>
      <c r="F550" s="107">
        <v>0</v>
      </c>
      <c r="G550" s="211"/>
      <c r="H550" s="107">
        <v>0</v>
      </c>
      <c r="I550" s="203">
        <v>0</v>
      </c>
      <c r="J550" s="213">
        <f t="shared" si="19"/>
        <v>0</v>
      </c>
    </row>
    <row r="551" spans="1:10">
      <c r="A551" s="107">
        <v>2</v>
      </c>
      <c r="B551" s="107">
        <v>31</v>
      </c>
      <c r="C551" s="107">
        <v>8</v>
      </c>
      <c r="D551" s="107" t="s">
        <v>656</v>
      </c>
      <c r="E551" s="107" t="s">
        <v>657</v>
      </c>
      <c r="F551" s="107">
        <v>281</v>
      </c>
      <c r="G551" s="211"/>
      <c r="H551" s="107">
        <v>6.16</v>
      </c>
      <c r="I551" s="203">
        <f t="shared" ref="I551:I582" si="21">IF(F551="","",H551/F551)</f>
        <v>2.192170818505338E-2</v>
      </c>
      <c r="J551" s="213">
        <f t="shared" si="19"/>
        <v>2.192170818505338E-2</v>
      </c>
    </row>
    <row r="552" spans="1:10">
      <c r="A552" s="107">
        <v>2</v>
      </c>
      <c r="B552" s="107">
        <v>31</v>
      </c>
      <c r="C552" s="107">
        <v>9</v>
      </c>
      <c r="D552" s="107" t="s">
        <v>540</v>
      </c>
      <c r="E552" s="107" t="s">
        <v>541</v>
      </c>
      <c r="F552" s="107">
        <v>723</v>
      </c>
      <c r="G552" s="211"/>
      <c r="H552" s="107">
        <v>21.4</v>
      </c>
      <c r="I552" s="203">
        <f t="shared" si="21"/>
        <v>2.9598893499308436E-2</v>
      </c>
      <c r="J552" s="213">
        <f t="shared" si="19"/>
        <v>2.9598893499308436E-2</v>
      </c>
    </row>
    <row r="553" spans="1:10">
      <c r="A553" s="107">
        <v>2</v>
      </c>
      <c r="B553" s="107">
        <v>31</v>
      </c>
      <c r="C553" s="107">
        <v>10</v>
      </c>
      <c r="D553" s="107" t="s">
        <v>409</v>
      </c>
      <c r="E553" s="107" t="s">
        <v>410</v>
      </c>
      <c r="F553" s="107">
        <v>56</v>
      </c>
      <c r="G553" s="211"/>
      <c r="H553" s="107">
        <v>0.15</v>
      </c>
      <c r="I553" s="203">
        <f t="shared" si="21"/>
        <v>2.6785714285714286E-3</v>
      </c>
      <c r="J553" s="213">
        <f t="shared" si="19"/>
        <v>2.6785714285714286E-3</v>
      </c>
    </row>
    <row r="554" spans="1:10">
      <c r="A554" s="107">
        <v>2</v>
      </c>
      <c r="B554" s="107">
        <v>31</v>
      </c>
      <c r="C554" s="107">
        <v>11</v>
      </c>
      <c r="D554" s="107" t="s">
        <v>349</v>
      </c>
      <c r="E554" s="107" t="s">
        <v>350</v>
      </c>
      <c r="F554" s="107">
        <v>221</v>
      </c>
      <c r="G554" s="211"/>
      <c r="H554" s="107">
        <v>5.71</v>
      </c>
      <c r="I554" s="203">
        <f t="shared" si="21"/>
        <v>2.5837104072398191E-2</v>
      </c>
      <c r="J554" s="213">
        <f t="shared" si="19"/>
        <v>2.5837104072398191E-2</v>
      </c>
    </row>
    <row r="555" spans="1:10">
      <c r="A555" s="107">
        <v>2</v>
      </c>
      <c r="B555" s="107">
        <v>31</v>
      </c>
      <c r="C555" s="107">
        <v>12</v>
      </c>
      <c r="D555" s="107" t="s">
        <v>275</v>
      </c>
      <c r="E555" s="107" t="s">
        <v>276</v>
      </c>
      <c r="F555" s="107">
        <v>461</v>
      </c>
      <c r="G555" s="211"/>
      <c r="H555" s="107">
        <v>12.96</v>
      </c>
      <c r="I555" s="203">
        <f t="shared" si="21"/>
        <v>2.8112798264642084E-2</v>
      </c>
      <c r="J555" s="213">
        <f t="shared" si="19"/>
        <v>2.8112798264642084E-2</v>
      </c>
    </row>
    <row r="556" spans="1:10">
      <c r="A556" s="107">
        <v>2</v>
      </c>
      <c r="B556" s="107">
        <v>31</v>
      </c>
      <c r="C556" s="107">
        <v>13</v>
      </c>
      <c r="D556" s="107" t="s">
        <v>254</v>
      </c>
      <c r="E556" s="107" t="s">
        <v>255</v>
      </c>
      <c r="F556" s="107">
        <v>119</v>
      </c>
      <c r="G556" s="211"/>
      <c r="H556" s="107">
        <v>2.1800000000000002</v>
      </c>
      <c r="I556" s="203">
        <f t="shared" si="21"/>
        <v>1.831932773109244E-2</v>
      </c>
      <c r="J556" s="213">
        <f t="shared" si="19"/>
        <v>1.831932773109244E-2</v>
      </c>
    </row>
    <row r="557" spans="1:10">
      <c r="A557" s="107">
        <v>2</v>
      </c>
      <c r="B557" s="107">
        <v>31</v>
      </c>
      <c r="C557" s="107">
        <v>14</v>
      </c>
      <c r="D557" s="107" t="s">
        <v>725</v>
      </c>
      <c r="E557" s="107" t="s">
        <v>726</v>
      </c>
      <c r="F557" s="107">
        <v>289</v>
      </c>
      <c r="G557" s="211"/>
      <c r="H557" s="107">
        <v>9.25</v>
      </c>
      <c r="I557" s="203">
        <f t="shared" si="21"/>
        <v>3.2006920415224911E-2</v>
      </c>
      <c r="J557" s="213">
        <f t="shared" si="19"/>
        <v>3.2006920415224911E-2</v>
      </c>
    </row>
    <row r="558" spans="1:10">
      <c r="A558" s="107">
        <v>2</v>
      </c>
      <c r="B558" s="107">
        <v>31</v>
      </c>
      <c r="C558" s="107">
        <v>15</v>
      </c>
      <c r="D558" s="107" t="s">
        <v>489</v>
      </c>
      <c r="E558" s="107" t="s">
        <v>490</v>
      </c>
      <c r="F558" s="107">
        <v>1124</v>
      </c>
      <c r="G558" s="211"/>
      <c r="H558" s="107">
        <v>20.239999999999998</v>
      </c>
      <c r="I558" s="203">
        <f t="shared" si="21"/>
        <v>1.8007117437722417E-2</v>
      </c>
      <c r="J558" s="213">
        <f t="shared" si="19"/>
        <v>1.8007117437722417E-2</v>
      </c>
    </row>
    <row r="559" spans="1:10">
      <c r="A559" s="107">
        <v>2</v>
      </c>
      <c r="B559" s="107">
        <v>31</v>
      </c>
      <c r="C559" s="107">
        <v>16</v>
      </c>
      <c r="D559" s="107" t="s">
        <v>566</v>
      </c>
      <c r="E559" s="107" t="s">
        <v>567</v>
      </c>
      <c r="F559" s="107">
        <v>321</v>
      </c>
      <c r="G559" s="211"/>
      <c r="H559" s="107">
        <v>14.64</v>
      </c>
      <c r="I559" s="203">
        <f t="shared" si="21"/>
        <v>4.5607476635514017E-2</v>
      </c>
      <c r="J559" s="213">
        <f t="shared" si="19"/>
        <v>4.5607476635514017E-2</v>
      </c>
    </row>
    <row r="560" spans="1:10">
      <c r="A560" s="107">
        <v>2</v>
      </c>
      <c r="B560" s="107">
        <v>31</v>
      </c>
      <c r="C560" s="107">
        <v>17</v>
      </c>
      <c r="D560" s="107" t="s">
        <v>588</v>
      </c>
      <c r="E560" s="107" t="s">
        <v>589</v>
      </c>
      <c r="F560" s="107">
        <v>954</v>
      </c>
      <c r="G560" s="211"/>
      <c r="H560" s="107">
        <v>25.97</v>
      </c>
      <c r="I560" s="203">
        <f t="shared" si="21"/>
        <v>2.7222222222222221E-2</v>
      </c>
      <c r="J560" s="213">
        <f t="shared" si="19"/>
        <v>2.7222222222222221E-2</v>
      </c>
    </row>
    <row r="561" spans="1:10">
      <c r="A561" s="107">
        <v>2</v>
      </c>
      <c r="B561" s="107">
        <v>31</v>
      </c>
      <c r="C561" s="107">
        <v>18</v>
      </c>
      <c r="D561" s="107" t="s">
        <v>451</v>
      </c>
      <c r="E561" s="107" t="s">
        <v>452</v>
      </c>
      <c r="F561" s="107">
        <v>890</v>
      </c>
      <c r="G561" s="211"/>
      <c r="H561" s="107">
        <v>34.119999999999997</v>
      </c>
      <c r="I561" s="203">
        <f t="shared" si="21"/>
        <v>3.833707865168539E-2</v>
      </c>
      <c r="J561" s="213">
        <f t="shared" si="19"/>
        <v>3.833707865168539E-2</v>
      </c>
    </row>
    <row r="562" spans="1:10">
      <c r="A562" s="201">
        <v>2</v>
      </c>
      <c r="B562" s="201">
        <v>32</v>
      </c>
      <c r="C562" s="201">
        <v>1</v>
      </c>
      <c r="D562" s="201" t="s">
        <v>604</v>
      </c>
      <c r="E562" s="201" t="s">
        <v>605</v>
      </c>
      <c r="F562" s="201">
        <v>332</v>
      </c>
      <c r="G562" s="212"/>
      <c r="H562" s="201">
        <v>21.47</v>
      </c>
      <c r="I562" s="204">
        <f t="shared" si="21"/>
        <v>6.4668674698795184E-2</v>
      </c>
      <c r="J562" s="214">
        <f t="shared" si="19"/>
        <v>6.4668674698795184E-2</v>
      </c>
    </row>
    <row r="563" spans="1:10">
      <c r="A563" s="201">
        <v>2</v>
      </c>
      <c r="B563" s="201">
        <v>32</v>
      </c>
      <c r="C563" s="201">
        <v>2</v>
      </c>
      <c r="D563" s="201" t="s">
        <v>526</v>
      </c>
      <c r="E563" s="201" t="s">
        <v>527</v>
      </c>
      <c r="F563" s="201">
        <v>300</v>
      </c>
      <c r="G563" s="212"/>
      <c r="H563" s="201">
        <v>6.91</v>
      </c>
      <c r="I563" s="204">
        <f t="shared" si="21"/>
        <v>2.3033333333333333E-2</v>
      </c>
      <c r="J563" s="214">
        <f t="shared" si="19"/>
        <v>2.3033333333333333E-2</v>
      </c>
    </row>
    <row r="564" spans="1:10">
      <c r="A564" s="201">
        <v>2</v>
      </c>
      <c r="B564" s="201">
        <v>32</v>
      </c>
      <c r="C564" s="201">
        <v>3</v>
      </c>
      <c r="D564" s="201" t="s">
        <v>632</v>
      </c>
      <c r="E564" s="201" t="s">
        <v>633</v>
      </c>
      <c r="F564" s="201">
        <v>470</v>
      </c>
      <c r="G564" s="212"/>
      <c r="H564" s="201">
        <v>12.27</v>
      </c>
      <c r="I564" s="204">
        <f t="shared" si="21"/>
        <v>2.6106382978723402E-2</v>
      </c>
      <c r="J564" s="214">
        <f t="shared" si="19"/>
        <v>2.6106382978723402E-2</v>
      </c>
    </row>
    <row r="565" spans="1:10">
      <c r="A565" s="201">
        <v>2</v>
      </c>
      <c r="B565" s="201">
        <v>32</v>
      </c>
      <c r="C565" s="201">
        <v>4</v>
      </c>
      <c r="D565" s="201" t="s">
        <v>698</v>
      </c>
      <c r="E565" s="201" t="s">
        <v>699</v>
      </c>
      <c r="F565" s="201">
        <v>0</v>
      </c>
      <c r="G565" s="212"/>
      <c r="H565" s="201">
        <v>0</v>
      </c>
      <c r="I565" s="204" t="e">
        <f t="shared" si="21"/>
        <v>#DIV/0!</v>
      </c>
      <c r="J565" s="214" t="e">
        <f t="shared" si="19"/>
        <v>#DIV/0!</v>
      </c>
    </row>
    <row r="566" spans="1:10">
      <c r="A566" s="201">
        <v>2</v>
      </c>
      <c r="B566" s="201">
        <v>32</v>
      </c>
      <c r="C566" s="201">
        <v>5</v>
      </c>
      <c r="D566" s="201" t="s">
        <v>423</v>
      </c>
      <c r="E566" s="201" t="s">
        <v>424</v>
      </c>
      <c r="F566" s="201">
        <v>0</v>
      </c>
      <c r="G566" s="212"/>
      <c r="H566" s="201">
        <v>0</v>
      </c>
      <c r="I566" s="204" t="e">
        <f t="shared" si="21"/>
        <v>#DIV/0!</v>
      </c>
      <c r="J566" s="214" t="e">
        <f t="shared" si="19"/>
        <v>#DIV/0!</v>
      </c>
    </row>
    <row r="567" spans="1:10">
      <c r="A567" s="201">
        <v>2</v>
      </c>
      <c r="B567" s="201">
        <v>32</v>
      </c>
      <c r="C567" s="201">
        <v>6</v>
      </c>
      <c r="D567" s="201" t="s">
        <v>357</v>
      </c>
      <c r="E567" s="201" t="s">
        <v>358</v>
      </c>
      <c r="F567" s="201">
        <v>420</v>
      </c>
      <c r="G567" s="212"/>
      <c r="H567" s="201">
        <v>11.42</v>
      </c>
      <c r="I567" s="204">
        <f t="shared" si="21"/>
        <v>2.7190476190476192E-2</v>
      </c>
      <c r="J567" s="214">
        <f t="shared" si="19"/>
        <v>2.7190476190476192E-2</v>
      </c>
    </row>
    <row r="568" spans="1:10">
      <c r="A568" s="201">
        <v>2</v>
      </c>
      <c r="B568" s="201">
        <v>32</v>
      </c>
      <c r="C568" s="201">
        <v>7</v>
      </c>
      <c r="D568" s="201" t="s">
        <v>497</v>
      </c>
      <c r="E568" s="201" t="s">
        <v>496</v>
      </c>
      <c r="F568" s="201">
        <v>220</v>
      </c>
      <c r="G568" s="212"/>
      <c r="H568" s="201">
        <v>4.53</v>
      </c>
      <c r="I568" s="204">
        <f t="shared" si="21"/>
        <v>2.0590909090909094E-2</v>
      </c>
      <c r="J568" s="214">
        <f t="shared" si="19"/>
        <v>2.0590909090909094E-2</v>
      </c>
    </row>
    <row r="569" spans="1:10">
      <c r="A569" s="201">
        <v>2</v>
      </c>
      <c r="B569" s="201">
        <v>32</v>
      </c>
      <c r="C569" s="201">
        <v>8</v>
      </c>
      <c r="D569" s="201" t="s">
        <v>198</v>
      </c>
      <c r="E569" s="201" t="s">
        <v>199</v>
      </c>
      <c r="F569" s="201">
        <v>188</v>
      </c>
      <c r="G569" s="212"/>
      <c r="H569" s="201">
        <v>6.82</v>
      </c>
      <c r="I569" s="204">
        <f t="shared" si="21"/>
        <v>3.6276595744680853E-2</v>
      </c>
      <c r="J569" s="214">
        <f t="shared" si="19"/>
        <v>3.6276595744680853E-2</v>
      </c>
    </row>
    <row r="570" spans="1:10">
      <c r="A570" s="201">
        <v>2</v>
      </c>
      <c r="B570" s="201">
        <v>32</v>
      </c>
      <c r="C570" s="201">
        <v>9</v>
      </c>
      <c r="D570" s="201" t="s">
        <v>271</v>
      </c>
      <c r="E570" s="201" t="s">
        <v>272</v>
      </c>
      <c r="F570" s="201">
        <v>686</v>
      </c>
      <c r="G570" s="212"/>
      <c r="H570" s="201">
        <v>16.91</v>
      </c>
      <c r="I570" s="204">
        <f t="shared" si="21"/>
        <v>2.4650145772594754E-2</v>
      </c>
      <c r="J570" s="214">
        <f t="shared" si="19"/>
        <v>2.4650145772594754E-2</v>
      </c>
    </row>
    <row r="571" spans="1:10">
      <c r="A571" s="201">
        <v>2</v>
      </c>
      <c r="B571" s="201">
        <v>32</v>
      </c>
      <c r="C571" s="201">
        <v>10</v>
      </c>
      <c r="D571" s="201" t="s">
        <v>676</v>
      </c>
      <c r="E571" s="201" t="s">
        <v>677</v>
      </c>
      <c r="F571" s="201">
        <v>1580</v>
      </c>
      <c r="G571" s="212"/>
      <c r="H571" s="201">
        <v>18.829999999999998</v>
      </c>
      <c r="I571" s="204">
        <f t="shared" si="21"/>
        <v>1.191772151898734E-2</v>
      </c>
      <c r="J571" s="214">
        <f t="shared" si="19"/>
        <v>1.191772151898734E-2</v>
      </c>
    </row>
    <row r="572" spans="1:10">
      <c r="A572" s="201">
        <v>2</v>
      </c>
      <c r="B572" s="201">
        <v>32</v>
      </c>
      <c r="C572" s="201">
        <v>11</v>
      </c>
      <c r="D572" s="201" t="s">
        <v>152</v>
      </c>
      <c r="E572" s="201" t="s">
        <v>153</v>
      </c>
      <c r="F572" s="201">
        <v>830</v>
      </c>
      <c r="G572" s="212"/>
      <c r="H572" s="201">
        <v>16.07</v>
      </c>
      <c r="I572" s="204">
        <f t="shared" si="21"/>
        <v>1.9361445783132529E-2</v>
      </c>
      <c r="J572" s="214">
        <f t="shared" si="19"/>
        <v>1.9361445783132529E-2</v>
      </c>
    </row>
    <row r="573" spans="1:10">
      <c r="A573" s="201">
        <v>2</v>
      </c>
      <c r="B573" s="201">
        <v>32</v>
      </c>
      <c r="C573" s="201">
        <v>12</v>
      </c>
      <c r="D573" s="201" t="s">
        <v>323</v>
      </c>
      <c r="E573" s="201" t="s">
        <v>324</v>
      </c>
      <c r="F573" s="201">
        <v>556</v>
      </c>
      <c r="G573" s="212"/>
      <c r="H573" s="201">
        <v>12.14</v>
      </c>
      <c r="I573" s="204">
        <f t="shared" si="21"/>
        <v>2.1834532374100719E-2</v>
      </c>
      <c r="J573" s="214">
        <f t="shared" si="19"/>
        <v>2.1834532374100719E-2</v>
      </c>
    </row>
    <row r="574" spans="1:10">
      <c r="A574" s="201">
        <v>2</v>
      </c>
      <c r="B574" s="201">
        <v>32</v>
      </c>
      <c r="C574" s="201">
        <v>13</v>
      </c>
      <c r="D574" s="201" t="s">
        <v>465</v>
      </c>
      <c r="E574" s="201" t="s">
        <v>466</v>
      </c>
      <c r="F574" s="201">
        <v>365</v>
      </c>
      <c r="G574" s="212"/>
      <c r="H574" s="201">
        <v>5.99</v>
      </c>
      <c r="I574" s="204">
        <f t="shared" si="21"/>
        <v>1.6410958904109589E-2</v>
      </c>
      <c r="J574" s="214">
        <f t="shared" si="19"/>
        <v>1.6410958904109589E-2</v>
      </c>
    </row>
    <row r="575" spans="1:10">
      <c r="A575" s="201">
        <v>2</v>
      </c>
      <c r="B575" s="201">
        <v>32</v>
      </c>
      <c r="C575" s="201">
        <v>14</v>
      </c>
      <c r="D575" s="201" t="s">
        <v>741</v>
      </c>
      <c r="E575" s="201" t="s">
        <v>742</v>
      </c>
      <c r="F575" s="201">
        <v>420</v>
      </c>
      <c r="G575" s="212"/>
      <c r="H575" s="201">
        <v>16.170000000000002</v>
      </c>
      <c r="I575" s="204">
        <f t="shared" si="21"/>
        <v>3.8500000000000006E-2</v>
      </c>
      <c r="J575" s="214">
        <f t="shared" si="19"/>
        <v>3.8500000000000006E-2</v>
      </c>
    </row>
    <row r="576" spans="1:10">
      <c r="A576" s="201">
        <v>2</v>
      </c>
      <c r="B576" s="201">
        <v>32</v>
      </c>
      <c r="C576" s="201">
        <v>15</v>
      </c>
      <c r="D576" s="201" t="s">
        <v>228</v>
      </c>
      <c r="E576" s="201" t="s">
        <v>229</v>
      </c>
      <c r="F576" s="201">
        <v>0</v>
      </c>
      <c r="G576" s="212"/>
      <c r="H576" s="201">
        <v>0</v>
      </c>
      <c r="I576" s="204" t="e">
        <f t="shared" si="21"/>
        <v>#DIV/0!</v>
      </c>
      <c r="J576" s="214" t="e">
        <f t="shared" si="19"/>
        <v>#DIV/0!</v>
      </c>
    </row>
    <row r="577" spans="1:10">
      <c r="A577" s="201">
        <v>2</v>
      </c>
      <c r="B577" s="201">
        <v>32</v>
      </c>
      <c r="C577" s="201">
        <v>16</v>
      </c>
      <c r="D577" s="201" t="s">
        <v>568</v>
      </c>
      <c r="E577" s="201" t="s">
        <v>569</v>
      </c>
      <c r="F577" s="201">
        <v>25</v>
      </c>
      <c r="G577" s="212"/>
      <c r="H577" s="201">
        <v>0.66</v>
      </c>
      <c r="I577" s="204">
        <f t="shared" si="21"/>
        <v>2.64E-2</v>
      </c>
      <c r="J577" s="214">
        <f t="shared" si="19"/>
        <v>2.64E-2</v>
      </c>
    </row>
    <row r="578" spans="1:10">
      <c r="A578" s="201">
        <v>2</v>
      </c>
      <c r="B578" s="201">
        <v>32</v>
      </c>
      <c r="C578" s="201">
        <v>17</v>
      </c>
      <c r="D578" s="201" t="s">
        <v>415</v>
      </c>
      <c r="E578" s="201" t="s">
        <v>416</v>
      </c>
      <c r="F578" s="201">
        <v>192</v>
      </c>
      <c r="G578" s="212"/>
      <c r="H578" s="201">
        <v>6.35</v>
      </c>
      <c r="I578" s="204">
        <f t="shared" si="21"/>
        <v>3.3072916666666667E-2</v>
      </c>
      <c r="J578" s="214">
        <f t="shared" si="19"/>
        <v>3.3072916666666667E-2</v>
      </c>
    </row>
    <row r="579" spans="1:10">
      <c r="A579" s="201">
        <v>2</v>
      </c>
      <c r="B579" s="201">
        <v>32</v>
      </c>
      <c r="C579" s="201">
        <v>18</v>
      </c>
      <c r="D579" s="201" t="s">
        <v>273</v>
      </c>
      <c r="E579" s="201" t="s">
        <v>274</v>
      </c>
      <c r="F579" s="201">
        <v>680</v>
      </c>
      <c r="G579" s="212"/>
      <c r="H579" s="201">
        <v>20.5</v>
      </c>
      <c r="I579" s="204">
        <f t="shared" si="21"/>
        <v>3.0147058823529412E-2</v>
      </c>
      <c r="J579" s="214">
        <f t="shared" si="19"/>
        <v>3.0147058823529412E-2</v>
      </c>
    </row>
    <row r="580" spans="1:10">
      <c r="A580" s="107">
        <v>2</v>
      </c>
      <c r="B580" s="107">
        <v>33</v>
      </c>
      <c r="C580" s="107">
        <v>1</v>
      </c>
      <c r="D580" s="107" t="s">
        <v>331</v>
      </c>
      <c r="E580" s="107" t="s">
        <v>332</v>
      </c>
      <c r="F580" s="107">
        <v>250</v>
      </c>
      <c r="G580" s="211"/>
      <c r="H580" s="107">
        <v>5.67</v>
      </c>
      <c r="I580" s="203">
        <f t="shared" si="21"/>
        <v>2.2679999999999999E-2</v>
      </c>
      <c r="J580" s="213">
        <f t="shared" si="19"/>
        <v>2.2679999999999999E-2</v>
      </c>
    </row>
    <row r="581" spans="1:10">
      <c r="A581" s="107">
        <v>2</v>
      </c>
      <c r="B581" s="107">
        <v>33</v>
      </c>
      <c r="C581" s="107">
        <v>2</v>
      </c>
      <c r="D581" s="107" t="s">
        <v>682</v>
      </c>
      <c r="E581" s="107" t="s">
        <v>683</v>
      </c>
      <c r="F581" s="107">
        <v>230</v>
      </c>
      <c r="G581" s="211"/>
      <c r="H581" s="107">
        <v>1.94</v>
      </c>
      <c r="I581" s="203">
        <f t="shared" si="21"/>
        <v>8.4347826086956512E-3</v>
      </c>
      <c r="J581" s="213">
        <f t="shared" ref="J581:J644" si="22">IF(G581="",I581,I581/(1-G581))</f>
        <v>8.4347826086956512E-3</v>
      </c>
    </row>
    <row r="582" spans="1:10">
      <c r="A582" s="107">
        <v>2</v>
      </c>
      <c r="B582" s="107">
        <v>33</v>
      </c>
      <c r="C582" s="107">
        <v>3</v>
      </c>
      <c r="D582" s="107" t="s">
        <v>487</v>
      </c>
      <c r="E582" s="107" t="s">
        <v>488</v>
      </c>
      <c r="F582" s="107">
        <v>315</v>
      </c>
      <c r="G582" s="211"/>
      <c r="H582" s="107">
        <v>6.9</v>
      </c>
      <c r="I582" s="203">
        <f t="shared" si="21"/>
        <v>2.1904761904761906E-2</v>
      </c>
      <c r="J582" s="213">
        <f t="shared" si="22"/>
        <v>2.1904761904761906E-2</v>
      </c>
    </row>
    <row r="583" spans="1:10">
      <c r="A583" s="107">
        <v>2</v>
      </c>
      <c r="B583" s="107">
        <v>33</v>
      </c>
      <c r="C583" s="107">
        <v>4</v>
      </c>
      <c r="D583" s="107" t="s">
        <v>592</v>
      </c>
      <c r="E583" s="107" t="s">
        <v>593</v>
      </c>
      <c r="F583" s="107">
        <v>560</v>
      </c>
      <c r="G583" s="211"/>
      <c r="H583" s="107">
        <v>12.71</v>
      </c>
      <c r="I583" s="203">
        <f t="shared" ref="I583:I614" si="23">IF(F583="","",H583/F583)</f>
        <v>2.2696428571428572E-2</v>
      </c>
      <c r="J583" s="213">
        <f t="shared" si="22"/>
        <v>2.2696428571428572E-2</v>
      </c>
    </row>
    <row r="584" spans="1:10">
      <c r="A584" s="107">
        <v>2</v>
      </c>
      <c r="B584" s="107">
        <v>33</v>
      </c>
      <c r="C584" s="107">
        <v>5</v>
      </c>
      <c r="D584" s="107" t="s">
        <v>564</v>
      </c>
      <c r="E584" s="107" t="s">
        <v>565</v>
      </c>
      <c r="F584" s="107">
        <v>130</v>
      </c>
      <c r="G584" s="211"/>
      <c r="H584" s="107">
        <v>3.79</v>
      </c>
      <c r="I584" s="203">
        <f t="shared" si="23"/>
        <v>2.9153846153846155E-2</v>
      </c>
      <c r="J584" s="213">
        <f t="shared" si="22"/>
        <v>2.9153846153846155E-2</v>
      </c>
    </row>
    <row r="585" spans="1:10">
      <c r="A585" s="107">
        <v>2</v>
      </c>
      <c r="B585" s="107">
        <v>33</v>
      </c>
      <c r="C585" s="107">
        <v>6</v>
      </c>
      <c r="D585" s="107" t="s">
        <v>498</v>
      </c>
      <c r="E585" s="107" t="s">
        <v>499</v>
      </c>
      <c r="F585" s="107">
        <v>480</v>
      </c>
      <c r="G585" s="211"/>
      <c r="H585" s="107">
        <v>10.31</v>
      </c>
      <c r="I585" s="203">
        <f t="shared" si="23"/>
        <v>2.1479166666666667E-2</v>
      </c>
      <c r="J585" s="213">
        <f t="shared" si="22"/>
        <v>2.1479166666666667E-2</v>
      </c>
    </row>
    <row r="586" spans="1:10">
      <c r="A586" s="107">
        <v>2</v>
      </c>
      <c r="B586" s="107">
        <v>33</v>
      </c>
      <c r="C586" s="107">
        <v>7</v>
      </c>
      <c r="D586" s="107" t="s">
        <v>293</v>
      </c>
      <c r="E586" s="107" t="s">
        <v>294</v>
      </c>
      <c r="F586" s="107">
        <v>235</v>
      </c>
      <c r="G586" s="211"/>
      <c r="H586" s="107">
        <v>6.6</v>
      </c>
      <c r="I586" s="203">
        <f t="shared" si="23"/>
        <v>2.808510638297872E-2</v>
      </c>
      <c r="J586" s="213">
        <f t="shared" si="22"/>
        <v>2.808510638297872E-2</v>
      </c>
    </row>
    <row r="587" spans="1:10">
      <c r="A587" s="107">
        <v>2</v>
      </c>
      <c r="B587" s="107">
        <v>33</v>
      </c>
      <c r="C587" s="107">
        <v>8</v>
      </c>
      <c r="D587" s="107" t="s">
        <v>433</v>
      </c>
      <c r="E587" s="107" t="s">
        <v>434</v>
      </c>
      <c r="F587" s="107">
        <v>475</v>
      </c>
      <c r="G587" s="211"/>
      <c r="H587" s="107">
        <v>10.17</v>
      </c>
      <c r="I587" s="203">
        <f t="shared" si="23"/>
        <v>2.1410526315789474E-2</v>
      </c>
      <c r="J587" s="213">
        <f t="shared" si="22"/>
        <v>2.1410526315789474E-2</v>
      </c>
    </row>
    <row r="588" spans="1:10">
      <c r="A588" s="107">
        <v>2</v>
      </c>
      <c r="B588" s="107">
        <v>33</v>
      </c>
      <c r="C588" s="107">
        <v>9</v>
      </c>
      <c r="D588" s="107" t="s">
        <v>753</v>
      </c>
      <c r="E588" s="107" t="s">
        <v>754</v>
      </c>
      <c r="F588" s="107">
        <v>585</v>
      </c>
      <c r="G588" s="211"/>
      <c r="H588" s="107">
        <v>12.36</v>
      </c>
      <c r="I588" s="203">
        <f t="shared" si="23"/>
        <v>2.1128205128205128E-2</v>
      </c>
      <c r="J588" s="213">
        <f t="shared" si="22"/>
        <v>2.1128205128205128E-2</v>
      </c>
    </row>
    <row r="589" spans="1:10">
      <c r="A589" s="107">
        <v>2</v>
      </c>
      <c r="B589" s="107">
        <v>33</v>
      </c>
      <c r="C589" s="107">
        <v>10</v>
      </c>
      <c r="D589" s="107" t="s">
        <v>686</v>
      </c>
      <c r="E589" s="107" t="s">
        <v>687</v>
      </c>
      <c r="F589" s="107">
        <v>420</v>
      </c>
      <c r="G589" s="211"/>
      <c r="H589" s="107">
        <v>9.35</v>
      </c>
      <c r="I589" s="203">
        <f t="shared" si="23"/>
        <v>2.2261904761904761E-2</v>
      </c>
      <c r="J589" s="213">
        <f t="shared" si="22"/>
        <v>2.2261904761904761E-2</v>
      </c>
    </row>
    <row r="590" spans="1:10">
      <c r="A590" s="107">
        <v>2</v>
      </c>
      <c r="B590" s="107">
        <v>33</v>
      </c>
      <c r="C590" s="107">
        <v>11</v>
      </c>
      <c r="D590" s="107" t="s">
        <v>413</v>
      </c>
      <c r="E590" s="107" t="s">
        <v>414</v>
      </c>
      <c r="F590" s="107">
        <v>100</v>
      </c>
      <c r="G590" s="211"/>
      <c r="H590" s="107">
        <v>2.4500000000000002</v>
      </c>
      <c r="I590" s="203">
        <f t="shared" si="23"/>
        <v>2.4500000000000001E-2</v>
      </c>
      <c r="J590" s="213">
        <f t="shared" si="22"/>
        <v>2.4500000000000001E-2</v>
      </c>
    </row>
    <row r="591" spans="1:10">
      <c r="A591" s="107">
        <v>2</v>
      </c>
      <c r="B591" s="107">
        <v>33</v>
      </c>
      <c r="C591" s="107">
        <v>12</v>
      </c>
      <c r="D591" s="107" t="s">
        <v>246</v>
      </c>
      <c r="E591" s="107" t="s">
        <v>247</v>
      </c>
      <c r="F591" s="107">
        <v>450</v>
      </c>
      <c r="G591" s="211"/>
      <c r="H591" s="107">
        <v>7.13</v>
      </c>
      <c r="I591" s="203">
        <f t="shared" si="23"/>
        <v>1.5844444444444446E-2</v>
      </c>
      <c r="J591" s="213">
        <f t="shared" si="22"/>
        <v>1.5844444444444446E-2</v>
      </c>
    </row>
    <row r="592" spans="1:10">
      <c r="A592" s="107">
        <v>2</v>
      </c>
      <c r="B592" s="107">
        <v>33</v>
      </c>
      <c r="C592" s="107">
        <v>13</v>
      </c>
      <c r="D592" s="107" t="s">
        <v>176</v>
      </c>
      <c r="E592" s="107" t="s">
        <v>177</v>
      </c>
      <c r="F592" s="107">
        <v>0</v>
      </c>
      <c r="G592" s="211"/>
      <c r="H592" s="107">
        <v>0</v>
      </c>
      <c r="I592" s="203" t="e">
        <f t="shared" si="23"/>
        <v>#DIV/0!</v>
      </c>
      <c r="J592" s="213" t="e">
        <f t="shared" si="22"/>
        <v>#DIV/0!</v>
      </c>
    </row>
    <row r="593" spans="1:10">
      <c r="A593" s="107">
        <v>2</v>
      </c>
      <c r="B593" s="107">
        <v>33</v>
      </c>
      <c r="C593" s="107">
        <v>14</v>
      </c>
      <c r="D593" s="107" t="s">
        <v>238</v>
      </c>
      <c r="E593" s="107" t="s">
        <v>239</v>
      </c>
      <c r="F593" s="107">
        <v>320</v>
      </c>
      <c r="G593" s="211"/>
      <c r="H593" s="107">
        <v>9.6199999999999992</v>
      </c>
      <c r="I593" s="203">
        <f t="shared" si="23"/>
        <v>3.0062499999999999E-2</v>
      </c>
      <c r="J593" s="213">
        <f t="shared" si="22"/>
        <v>3.0062499999999999E-2</v>
      </c>
    </row>
    <row r="594" spans="1:10">
      <c r="A594" s="107">
        <v>2</v>
      </c>
      <c r="B594" s="107">
        <v>33</v>
      </c>
      <c r="C594" s="107">
        <v>15</v>
      </c>
      <c r="D594" s="107" t="s">
        <v>158</v>
      </c>
      <c r="E594" s="107" t="s">
        <v>159</v>
      </c>
      <c r="F594" s="107">
        <v>190</v>
      </c>
      <c r="G594" s="211"/>
      <c r="H594" s="107">
        <v>3.14</v>
      </c>
      <c r="I594" s="203">
        <f t="shared" si="23"/>
        <v>1.6526315789473684E-2</v>
      </c>
      <c r="J594" s="213">
        <f t="shared" si="22"/>
        <v>1.6526315789473684E-2</v>
      </c>
    </row>
    <row r="595" spans="1:10">
      <c r="A595" s="107">
        <v>2</v>
      </c>
      <c r="B595" s="107">
        <v>33</v>
      </c>
      <c r="C595" s="107">
        <v>16</v>
      </c>
      <c r="D595" s="107" t="s">
        <v>359</v>
      </c>
      <c r="E595" s="107" t="s">
        <v>360</v>
      </c>
      <c r="F595" s="107">
        <v>26</v>
      </c>
      <c r="G595" s="211"/>
      <c r="H595" s="107">
        <v>0.59</v>
      </c>
      <c r="I595" s="203">
        <f t="shared" si="23"/>
        <v>2.2692307692307692E-2</v>
      </c>
      <c r="J595" s="213">
        <f t="shared" si="22"/>
        <v>2.2692307692307692E-2</v>
      </c>
    </row>
    <row r="596" spans="1:10">
      <c r="A596" s="107">
        <v>2</v>
      </c>
      <c r="B596" s="107">
        <v>33</v>
      </c>
      <c r="C596" s="107">
        <v>17</v>
      </c>
      <c r="D596" s="107" t="s">
        <v>525</v>
      </c>
      <c r="E596" s="107" t="s">
        <v>503</v>
      </c>
      <c r="F596" s="107">
        <v>238</v>
      </c>
      <c r="G596" s="211"/>
      <c r="H596" s="107">
        <v>4.42</v>
      </c>
      <c r="I596" s="203">
        <f t="shared" si="23"/>
        <v>1.8571428571428572E-2</v>
      </c>
      <c r="J596" s="213">
        <f t="shared" si="22"/>
        <v>1.8571428571428572E-2</v>
      </c>
    </row>
    <row r="597" spans="1:10">
      <c r="A597" s="107">
        <v>2</v>
      </c>
      <c r="B597" s="107">
        <v>33</v>
      </c>
      <c r="C597" s="107">
        <v>18</v>
      </c>
      <c r="D597" s="107" t="s">
        <v>616</v>
      </c>
      <c r="E597" s="107" t="s">
        <v>617</v>
      </c>
      <c r="F597" s="107">
        <v>1385</v>
      </c>
      <c r="G597" s="211"/>
      <c r="H597" s="107">
        <v>21.24</v>
      </c>
      <c r="I597" s="203">
        <f t="shared" si="23"/>
        <v>1.5335740072202165E-2</v>
      </c>
      <c r="J597" s="213">
        <f t="shared" si="22"/>
        <v>1.5335740072202165E-2</v>
      </c>
    </row>
    <row r="598" spans="1:10">
      <c r="A598" s="201">
        <v>2</v>
      </c>
      <c r="B598" s="201">
        <v>34</v>
      </c>
      <c r="C598" s="201">
        <v>1</v>
      </c>
      <c r="D598" s="201" t="s">
        <v>672</v>
      </c>
      <c r="E598" s="201" t="s">
        <v>673</v>
      </c>
      <c r="F598" s="201">
        <v>640</v>
      </c>
      <c r="G598" s="212"/>
      <c r="H598" s="201">
        <v>13.79</v>
      </c>
      <c r="I598" s="204">
        <f t="shared" si="23"/>
        <v>2.1546875E-2</v>
      </c>
      <c r="J598" s="214">
        <f t="shared" si="22"/>
        <v>2.1546875E-2</v>
      </c>
    </row>
    <row r="599" spans="1:10">
      <c r="A599" s="201">
        <v>2</v>
      </c>
      <c r="B599" s="201">
        <v>34</v>
      </c>
      <c r="C599" s="201">
        <v>2</v>
      </c>
      <c r="D599" s="201" t="s">
        <v>638</v>
      </c>
      <c r="E599" s="201" t="s">
        <v>639</v>
      </c>
      <c r="F599" s="201">
        <v>287</v>
      </c>
      <c r="G599" s="212"/>
      <c r="H599" s="201">
        <v>0.76</v>
      </c>
      <c r="I599" s="204">
        <f t="shared" si="23"/>
        <v>2.6480836236933798E-3</v>
      </c>
      <c r="J599" s="214">
        <f t="shared" si="22"/>
        <v>2.6480836236933798E-3</v>
      </c>
    </row>
    <row r="600" spans="1:10">
      <c r="A600" s="201">
        <v>2</v>
      </c>
      <c r="B600" s="201">
        <v>34</v>
      </c>
      <c r="C600" s="201">
        <v>3</v>
      </c>
      <c r="D600" s="201" t="s">
        <v>252</v>
      </c>
      <c r="E600" s="201" t="s">
        <v>253</v>
      </c>
      <c r="F600" s="201">
        <v>373</v>
      </c>
      <c r="G600" s="212"/>
      <c r="H600" s="201">
        <v>7.34</v>
      </c>
      <c r="I600" s="204">
        <f t="shared" si="23"/>
        <v>1.967828418230563E-2</v>
      </c>
      <c r="J600" s="214">
        <f t="shared" si="22"/>
        <v>1.967828418230563E-2</v>
      </c>
    </row>
    <row r="601" spans="1:10">
      <c r="A601" s="201">
        <v>2</v>
      </c>
      <c r="B601" s="201">
        <v>34</v>
      </c>
      <c r="C601" s="201">
        <v>4</v>
      </c>
      <c r="D601" s="201" t="s">
        <v>325</v>
      </c>
      <c r="E601" s="201" t="s">
        <v>326</v>
      </c>
      <c r="F601" s="201">
        <v>303</v>
      </c>
      <c r="G601" s="212"/>
      <c r="H601" s="201">
        <v>5.83</v>
      </c>
      <c r="I601" s="204">
        <f t="shared" si="23"/>
        <v>1.924092409240924E-2</v>
      </c>
      <c r="J601" s="214">
        <f t="shared" si="22"/>
        <v>1.924092409240924E-2</v>
      </c>
    </row>
    <row r="602" spans="1:10">
      <c r="A602" s="201">
        <v>2</v>
      </c>
      <c r="B602" s="201">
        <v>34</v>
      </c>
      <c r="C602" s="201">
        <v>5</v>
      </c>
      <c r="D602" s="201" t="s">
        <v>700</v>
      </c>
      <c r="E602" s="201" t="s">
        <v>701</v>
      </c>
      <c r="F602" s="201">
        <v>274</v>
      </c>
      <c r="G602" s="212"/>
      <c r="H602" s="201">
        <v>7.1</v>
      </c>
      <c r="I602" s="204">
        <f t="shared" si="23"/>
        <v>2.5912408759124088E-2</v>
      </c>
      <c r="J602" s="214">
        <f t="shared" si="22"/>
        <v>2.5912408759124088E-2</v>
      </c>
    </row>
    <row r="603" spans="1:10">
      <c r="A603" s="201">
        <v>2</v>
      </c>
      <c r="B603" s="201">
        <v>34</v>
      </c>
      <c r="C603" s="201">
        <v>6</v>
      </c>
      <c r="D603" s="201" t="s">
        <v>471</v>
      </c>
      <c r="E603" s="201" t="s">
        <v>472</v>
      </c>
      <c r="F603" s="201">
        <v>627</v>
      </c>
      <c r="G603" s="212"/>
      <c r="H603" s="201">
        <v>11.3</v>
      </c>
      <c r="I603" s="204">
        <f t="shared" si="23"/>
        <v>1.8022328548644339E-2</v>
      </c>
      <c r="J603" s="214">
        <f t="shared" si="22"/>
        <v>1.8022328548644339E-2</v>
      </c>
    </row>
    <row r="604" spans="1:10">
      <c r="A604" s="201">
        <v>2</v>
      </c>
      <c r="B604" s="201">
        <v>34</v>
      </c>
      <c r="C604" s="201">
        <v>7</v>
      </c>
      <c r="D604" s="201" t="s">
        <v>411</v>
      </c>
      <c r="E604" s="201" t="s">
        <v>412</v>
      </c>
      <c r="F604" s="201">
        <v>610</v>
      </c>
      <c r="G604" s="212"/>
      <c r="H604" s="201">
        <v>9.27</v>
      </c>
      <c r="I604" s="204">
        <f t="shared" si="23"/>
        <v>1.519672131147541E-2</v>
      </c>
      <c r="J604" s="214">
        <f t="shared" si="22"/>
        <v>1.519672131147541E-2</v>
      </c>
    </row>
    <row r="605" spans="1:10">
      <c r="A605" s="201">
        <v>2</v>
      </c>
      <c r="B605" s="201">
        <v>34</v>
      </c>
      <c r="C605" s="201">
        <v>8</v>
      </c>
      <c r="D605" s="201" t="s">
        <v>610</v>
      </c>
      <c r="E605" s="201" t="s">
        <v>611</v>
      </c>
      <c r="F605" s="201">
        <v>0</v>
      </c>
      <c r="G605" s="212"/>
      <c r="H605" s="201">
        <v>0</v>
      </c>
      <c r="I605" s="204" t="e">
        <f t="shared" si="23"/>
        <v>#DIV/0!</v>
      </c>
      <c r="J605" s="214" t="e">
        <f t="shared" si="22"/>
        <v>#DIV/0!</v>
      </c>
    </row>
    <row r="606" spans="1:10">
      <c r="A606" s="201">
        <v>2</v>
      </c>
      <c r="B606" s="201">
        <v>34</v>
      </c>
      <c r="C606" s="201">
        <v>9</v>
      </c>
      <c r="D606" s="201" t="s">
        <v>524</v>
      </c>
      <c r="E606" s="201" t="s">
        <v>503</v>
      </c>
      <c r="F606" s="201">
        <v>950</v>
      </c>
      <c r="G606" s="212"/>
      <c r="H606" s="201">
        <v>15.42</v>
      </c>
      <c r="I606" s="204">
        <f t="shared" si="23"/>
        <v>1.623157894736842E-2</v>
      </c>
      <c r="J606" s="214">
        <f t="shared" si="22"/>
        <v>1.623157894736842E-2</v>
      </c>
    </row>
    <row r="607" spans="1:10">
      <c r="A607" s="201">
        <v>2</v>
      </c>
      <c r="B607" s="201">
        <v>34</v>
      </c>
      <c r="C607" s="201">
        <v>10</v>
      </c>
      <c r="D607" s="201" t="s">
        <v>733</v>
      </c>
      <c r="E607" s="201" t="s">
        <v>734</v>
      </c>
      <c r="F607" s="201">
        <v>720</v>
      </c>
      <c r="G607" s="212"/>
      <c r="H607" s="201">
        <v>7.68</v>
      </c>
      <c r="I607" s="204">
        <f t="shared" si="23"/>
        <v>1.0666666666666666E-2</v>
      </c>
      <c r="J607" s="214">
        <f t="shared" si="22"/>
        <v>1.0666666666666666E-2</v>
      </c>
    </row>
    <row r="608" spans="1:10">
      <c r="A608" s="201">
        <v>2</v>
      </c>
      <c r="B608" s="201">
        <v>34</v>
      </c>
      <c r="C608" s="201">
        <v>11</v>
      </c>
      <c r="D608" s="201" t="s">
        <v>347</v>
      </c>
      <c r="E608" s="201" t="s">
        <v>348</v>
      </c>
      <c r="F608" s="201">
        <v>374</v>
      </c>
      <c r="G608" s="212"/>
      <c r="H608" s="201">
        <v>7.49</v>
      </c>
      <c r="I608" s="204">
        <f t="shared" si="23"/>
        <v>2.0026737967914439E-2</v>
      </c>
      <c r="J608" s="214">
        <f t="shared" si="22"/>
        <v>2.0026737967914439E-2</v>
      </c>
    </row>
    <row r="609" spans="1:10">
      <c r="A609" s="201">
        <v>2</v>
      </c>
      <c r="B609" s="201">
        <v>34</v>
      </c>
      <c r="C609" s="201">
        <v>12</v>
      </c>
      <c r="D609" s="201" t="s">
        <v>150</v>
      </c>
      <c r="E609" s="201" t="s">
        <v>151</v>
      </c>
      <c r="F609" s="201">
        <v>31</v>
      </c>
      <c r="G609" s="212"/>
      <c r="H609" s="201">
        <v>0.57999999999999996</v>
      </c>
      <c r="I609" s="204">
        <f t="shared" si="23"/>
        <v>1.8709677419354837E-2</v>
      </c>
      <c r="J609" s="214">
        <f t="shared" si="22"/>
        <v>1.8709677419354837E-2</v>
      </c>
    </row>
    <row r="610" spans="1:10">
      <c r="A610" s="201">
        <v>2</v>
      </c>
      <c r="B610" s="201">
        <v>34</v>
      </c>
      <c r="C610" s="201">
        <v>13</v>
      </c>
      <c r="D610" s="201" t="s">
        <v>502</v>
      </c>
      <c r="E610" s="201" t="s">
        <v>503</v>
      </c>
      <c r="F610" s="201">
        <v>247</v>
      </c>
      <c r="G610" s="212"/>
      <c r="H610" s="201">
        <v>5.66</v>
      </c>
      <c r="I610" s="204">
        <f t="shared" si="23"/>
        <v>2.2914979757085022E-2</v>
      </c>
      <c r="J610" s="214">
        <f t="shared" si="22"/>
        <v>2.2914979757085022E-2</v>
      </c>
    </row>
    <row r="611" spans="1:10">
      <c r="A611" s="201">
        <v>2</v>
      </c>
      <c r="B611" s="201">
        <v>34</v>
      </c>
      <c r="C611" s="201">
        <v>14</v>
      </c>
      <c r="D611" s="201" t="s">
        <v>188</v>
      </c>
      <c r="E611" s="201" t="s">
        <v>189</v>
      </c>
      <c r="F611" s="201">
        <v>350</v>
      </c>
      <c r="G611" s="212"/>
      <c r="H611" s="201">
        <v>7.24</v>
      </c>
      <c r="I611" s="204">
        <f t="shared" si="23"/>
        <v>2.0685714285714286E-2</v>
      </c>
      <c r="J611" s="214">
        <f t="shared" si="22"/>
        <v>2.0685714285714286E-2</v>
      </c>
    </row>
    <row r="612" spans="1:10">
      <c r="A612" s="201">
        <v>2</v>
      </c>
      <c r="B612" s="201">
        <v>34</v>
      </c>
      <c r="C612" s="201">
        <v>15</v>
      </c>
      <c r="D612" s="201" t="s">
        <v>606</v>
      </c>
      <c r="E612" s="201" t="s">
        <v>607</v>
      </c>
      <c r="F612" s="201">
        <v>1062</v>
      </c>
      <c r="G612" s="212"/>
      <c r="H612" s="201">
        <v>23.79</v>
      </c>
      <c r="I612" s="204">
        <f t="shared" si="23"/>
        <v>2.2401129943502823E-2</v>
      </c>
      <c r="J612" s="214">
        <f t="shared" si="22"/>
        <v>2.2401129943502823E-2</v>
      </c>
    </row>
    <row r="613" spans="1:10">
      <c r="A613" s="201">
        <v>2</v>
      </c>
      <c r="B613" s="201">
        <v>34</v>
      </c>
      <c r="C613" s="201">
        <v>16</v>
      </c>
      <c r="D613" s="201" t="s">
        <v>303</v>
      </c>
      <c r="E613" s="201" t="s">
        <v>304</v>
      </c>
      <c r="F613" s="201">
        <v>216</v>
      </c>
      <c r="G613" s="212"/>
      <c r="H613" s="201">
        <v>5.76</v>
      </c>
      <c r="I613" s="204">
        <f t="shared" si="23"/>
        <v>2.6666666666666665E-2</v>
      </c>
      <c r="J613" s="214">
        <f t="shared" si="22"/>
        <v>2.6666666666666665E-2</v>
      </c>
    </row>
    <row r="614" spans="1:10">
      <c r="A614" s="201">
        <v>2</v>
      </c>
      <c r="B614" s="201">
        <v>34</v>
      </c>
      <c r="C614" s="201">
        <v>17</v>
      </c>
      <c r="D614" s="201" t="s">
        <v>210</v>
      </c>
      <c r="E614" s="201" t="s">
        <v>211</v>
      </c>
      <c r="F614" s="201">
        <v>0</v>
      </c>
      <c r="G614" s="212"/>
      <c r="H614" s="201">
        <v>0</v>
      </c>
      <c r="I614" s="204" t="e">
        <f t="shared" si="23"/>
        <v>#DIV/0!</v>
      </c>
      <c r="J614" s="214" t="e">
        <f t="shared" si="22"/>
        <v>#DIV/0!</v>
      </c>
    </row>
    <row r="615" spans="1:10">
      <c r="A615" s="201">
        <v>2</v>
      </c>
      <c r="B615" s="201">
        <v>34</v>
      </c>
      <c r="C615" s="201">
        <v>18</v>
      </c>
      <c r="D615" s="201" t="s">
        <v>443</v>
      </c>
      <c r="E615" s="201" t="s">
        <v>444</v>
      </c>
      <c r="F615" s="201">
        <v>40</v>
      </c>
      <c r="G615" s="212"/>
      <c r="H615" s="201">
        <v>0.74</v>
      </c>
      <c r="I615" s="204">
        <f t="shared" ref="I615:I618" si="24">IF(F615="","",H615/F615)</f>
        <v>1.8499999999999999E-2</v>
      </c>
      <c r="J615" s="214">
        <f t="shared" si="22"/>
        <v>1.8499999999999999E-2</v>
      </c>
    </row>
    <row r="616" spans="1:10">
      <c r="A616" s="107">
        <v>2</v>
      </c>
      <c r="B616" s="107">
        <v>35</v>
      </c>
      <c r="C616" s="107">
        <v>1</v>
      </c>
      <c r="D616" s="107" t="s">
        <v>337</v>
      </c>
      <c r="E616" s="107" t="s">
        <v>338</v>
      </c>
      <c r="F616" s="107">
        <v>247</v>
      </c>
      <c r="G616" s="211"/>
      <c r="H616" s="107">
        <v>8</v>
      </c>
      <c r="I616" s="203">
        <f t="shared" si="24"/>
        <v>3.2388663967611336E-2</v>
      </c>
      <c r="J616" s="213">
        <f t="shared" si="22"/>
        <v>3.2388663967611336E-2</v>
      </c>
    </row>
    <row r="617" spans="1:10">
      <c r="A617" s="107">
        <v>2</v>
      </c>
      <c r="B617" s="107">
        <v>35</v>
      </c>
      <c r="C617" s="107">
        <v>2</v>
      </c>
      <c r="D617" s="107" t="s">
        <v>548</v>
      </c>
      <c r="E617" s="107" t="s">
        <v>549</v>
      </c>
      <c r="F617" s="107">
        <v>498</v>
      </c>
      <c r="G617" s="211"/>
      <c r="H617" s="107">
        <v>16.14</v>
      </c>
      <c r="I617" s="203">
        <f t="shared" si="24"/>
        <v>3.2409638554216871E-2</v>
      </c>
      <c r="J617" s="213">
        <f t="shared" si="22"/>
        <v>3.2409638554216871E-2</v>
      </c>
    </row>
    <row r="618" spans="1:10">
      <c r="A618" s="107">
        <v>2</v>
      </c>
      <c r="B618" s="107">
        <v>35</v>
      </c>
      <c r="C618" s="107">
        <v>3</v>
      </c>
      <c r="D618" s="107" t="s">
        <v>508</v>
      </c>
      <c r="E618" s="107" t="s">
        <v>509</v>
      </c>
      <c r="F618" s="107">
        <v>922</v>
      </c>
      <c r="G618" s="211"/>
      <c r="H618" s="107">
        <v>27.75</v>
      </c>
      <c r="I618" s="203">
        <f t="shared" si="24"/>
        <v>3.009761388286334E-2</v>
      </c>
      <c r="J618" s="213">
        <f t="shared" si="22"/>
        <v>3.009761388286334E-2</v>
      </c>
    </row>
    <row r="619" spans="1:10">
      <c r="A619" s="107">
        <v>2</v>
      </c>
      <c r="B619" s="107">
        <v>35</v>
      </c>
      <c r="C619" s="107">
        <v>4</v>
      </c>
      <c r="D619" s="107" t="s">
        <v>479</v>
      </c>
      <c r="E619" s="107" t="s">
        <v>480</v>
      </c>
      <c r="F619" s="107">
        <v>0</v>
      </c>
      <c r="G619" s="211"/>
      <c r="H619" s="107">
        <v>0</v>
      </c>
      <c r="I619" s="203">
        <v>0</v>
      </c>
      <c r="J619" s="213">
        <f t="shared" si="22"/>
        <v>0</v>
      </c>
    </row>
    <row r="620" spans="1:10">
      <c r="A620" s="107">
        <v>2</v>
      </c>
      <c r="B620" s="107">
        <v>35</v>
      </c>
      <c r="C620" s="107">
        <v>5</v>
      </c>
      <c r="D620" s="107" t="s">
        <v>403</v>
      </c>
      <c r="E620" s="107" t="s">
        <v>404</v>
      </c>
      <c r="F620" s="107">
        <v>49</v>
      </c>
      <c r="G620" s="211"/>
      <c r="H620" s="107">
        <v>0.89</v>
      </c>
      <c r="I620" s="203">
        <f t="shared" ref="I620:I627" si="25">IF(F620="","",H620/F620)</f>
        <v>1.8163265306122448E-2</v>
      </c>
      <c r="J620" s="213">
        <f t="shared" si="22"/>
        <v>1.8163265306122448E-2</v>
      </c>
    </row>
    <row r="621" spans="1:10">
      <c r="A621" s="107">
        <v>2</v>
      </c>
      <c r="B621" s="107">
        <v>35</v>
      </c>
      <c r="C621" s="107">
        <v>6</v>
      </c>
      <c r="D621" s="107" t="s">
        <v>678</v>
      </c>
      <c r="E621" s="107" t="s">
        <v>679</v>
      </c>
      <c r="F621" s="107">
        <v>449</v>
      </c>
      <c r="G621" s="211"/>
      <c r="H621" s="107">
        <v>6.19</v>
      </c>
      <c r="I621" s="203">
        <f t="shared" si="25"/>
        <v>1.3786191536748331E-2</v>
      </c>
      <c r="J621" s="213">
        <f t="shared" si="22"/>
        <v>1.3786191536748331E-2</v>
      </c>
    </row>
    <row r="622" spans="1:10">
      <c r="A622" s="107">
        <v>2</v>
      </c>
      <c r="B622" s="107">
        <v>35</v>
      </c>
      <c r="C622" s="107">
        <v>7</v>
      </c>
      <c r="D622" s="107" t="s">
        <v>196</v>
      </c>
      <c r="E622" s="107" t="s">
        <v>197</v>
      </c>
      <c r="F622" s="107">
        <v>676</v>
      </c>
      <c r="G622" s="211"/>
      <c r="H622" s="107">
        <v>24.39</v>
      </c>
      <c r="I622" s="203">
        <f t="shared" si="25"/>
        <v>3.6079881656804737E-2</v>
      </c>
      <c r="J622" s="213">
        <f t="shared" si="22"/>
        <v>3.6079881656804737E-2</v>
      </c>
    </row>
    <row r="623" spans="1:10">
      <c r="A623" s="107">
        <v>2</v>
      </c>
      <c r="B623" s="107">
        <v>35</v>
      </c>
      <c r="C623" s="107">
        <v>8</v>
      </c>
      <c r="D623" s="107" t="s">
        <v>449</v>
      </c>
      <c r="E623" s="107" t="s">
        <v>450</v>
      </c>
      <c r="F623" s="107">
        <v>183</v>
      </c>
      <c r="G623" s="211"/>
      <c r="H623" s="107">
        <v>4.43</v>
      </c>
      <c r="I623" s="203">
        <f t="shared" si="25"/>
        <v>2.4207650273224041E-2</v>
      </c>
      <c r="J623" s="213">
        <f t="shared" si="22"/>
        <v>2.4207650273224041E-2</v>
      </c>
    </row>
    <row r="624" spans="1:10">
      <c r="A624" s="107">
        <v>2</v>
      </c>
      <c r="B624" s="107">
        <v>35</v>
      </c>
      <c r="C624" s="107">
        <v>9</v>
      </c>
      <c r="D624" s="107" t="s">
        <v>379</v>
      </c>
      <c r="E624" s="107" t="s">
        <v>380</v>
      </c>
      <c r="F624" s="107">
        <v>1312</v>
      </c>
      <c r="G624" s="211"/>
      <c r="H624" s="107">
        <v>31.46</v>
      </c>
      <c r="I624" s="203">
        <f t="shared" si="25"/>
        <v>2.3978658536585366E-2</v>
      </c>
      <c r="J624" s="213">
        <f t="shared" si="22"/>
        <v>2.3978658536585366E-2</v>
      </c>
    </row>
    <row r="625" spans="1:10">
      <c r="A625" s="107">
        <v>2</v>
      </c>
      <c r="B625" s="107">
        <v>35</v>
      </c>
      <c r="C625" s="107">
        <v>10</v>
      </c>
      <c r="D625" s="107" t="s">
        <v>584</v>
      </c>
      <c r="E625" s="107" t="s">
        <v>585</v>
      </c>
      <c r="F625" s="107">
        <v>121</v>
      </c>
      <c r="G625" s="211">
        <v>0.05</v>
      </c>
      <c r="H625" s="107">
        <v>0.81</v>
      </c>
      <c r="I625" s="203">
        <f t="shared" si="25"/>
        <v>6.6942148760330581E-3</v>
      </c>
      <c r="J625" s="213">
        <f t="shared" si="22"/>
        <v>7.0465419747716401E-3</v>
      </c>
    </row>
    <row r="626" spans="1:10">
      <c r="A626" s="107">
        <v>2</v>
      </c>
      <c r="B626" s="107">
        <v>35</v>
      </c>
      <c r="C626" s="107">
        <v>11</v>
      </c>
      <c r="D626" s="107" t="s">
        <v>715</v>
      </c>
      <c r="E626" s="107" t="s">
        <v>716</v>
      </c>
      <c r="F626" s="107">
        <v>516</v>
      </c>
      <c r="G626" s="211"/>
      <c r="H626" s="107">
        <v>19.600000000000001</v>
      </c>
      <c r="I626" s="203">
        <f t="shared" si="25"/>
        <v>3.7984496124031007E-2</v>
      </c>
      <c r="J626" s="213">
        <f t="shared" si="22"/>
        <v>3.7984496124031007E-2</v>
      </c>
    </row>
    <row r="627" spans="1:10">
      <c r="A627" s="107">
        <v>2</v>
      </c>
      <c r="B627" s="107">
        <v>35</v>
      </c>
      <c r="C627" s="107">
        <v>12</v>
      </c>
      <c r="D627" s="107" t="s">
        <v>729</v>
      </c>
      <c r="E627" s="107" t="s">
        <v>730</v>
      </c>
      <c r="F627" s="107">
        <v>1128</v>
      </c>
      <c r="G627" s="211"/>
      <c r="H627" s="107">
        <v>17.16</v>
      </c>
      <c r="I627" s="203">
        <f t="shared" si="25"/>
        <v>1.5212765957446809E-2</v>
      </c>
      <c r="J627" s="213">
        <f t="shared" si="22"/>
        <v>1.5212765957446809E-2</v>
      </c>
    </row>
    <row r="628" spans="1:10">
      <c r="A628" s="107">
        <v>2</v>
      </c>
      <c r="B628" s="107">
        <v>35</v>
      </c>
      <c r="C628" s="107">
        <v>13</v>
      </c>
      <c r="D628" s="107" t="s">
        <v>266</v>
      </c>
      <c r="E628" s="107" t="s">
        <v>267</v>
      </c>
      <c r="F628" s="107">
        <v>0</v>
      </c>
      <c r="G628" s="211"/>
      <c r="H628" s="107">
        <v>0</v>
      </c>
      <c r="I628" s="203">
        <v>0</v>
      </c>
      <c r="J628" s="213">
        <f t="shared" si="22"/>
        <v>0</v>
      </c>
    </row>
    <row r="629" spans="1:10">
      <c r="A629" s="107">
        <v>2</v>
      </c>
      <c r="B629" s="107">
        <v>35</v>
      </c>
      <c r="C629" s="107">
        <v>14</v>
      </c>
      <c r="D629" s="107" t="s">
        <v>212</v>
      </c>
      <c r="E629" s="107" t="s">
        <v>213</v>
      </c>
      <c r="F629" s="107">
        <v>488</v>
      </c>
      <c r="G629" s="211"/>
      <c r="H629" s="107">
        <v>12.35</v>
      </c>
      <c r="I629" s="203">
        <f t="shared" ref="I629:I651" si="26">IF(F629="","",H629/F629)</f>
        <v>2.5307377049180325E-2</v>
      </c>
      <c r="J629" s="213">
        <f t="shared" si="22"/>
        <v>2.5307377049180325E-2</v>
      </c>
    </row>
    <row r="630" spans="1:10">
      <c r="A630" s="107">
        <v>2</v>
      </c>
      <c r="B630" s="107">
        <v>35</v>
      </c>
      <c r="C630" s="107">
        <v>15</v>
      </c>
      <c r="D630" s="107" t="s">
        <v>556</v>
      </c>
      <c r="E630" s="107" t="s">
        <v>557</v>
      </c>
      <c r="F630" s="107">
        <v>151</v>
      </c>
      <c r="G630" s="211">
        <v>0.05</v>
      </c>
      <c r="H630" s="107">
        <v>2.79</v>
      </c>
      <c r="I630" s="203">
        <f t="shared" si="26"/>
        <v>1.8476821192052982E-2</v>
      </c>
      <c r="J630" s="213">
        <f t="shared" si="22"/>
        <v>1.9449285465318929E-2</v>
      </c>
    </row>
    <row r="631" spans="1:10">
      <c r="A631" s="107">
        <v>2</v>
      </c>
      <c r="B631" s="107">
        <v>35</v>
      </c>
      <c r="C631" s="107">
        <v>16</v>
      </c>
      <c r="D631" s="107" t="s">
        <v>646</v>
      </c>
      <c r="E631" s="107" t="s">
        <v>647</v>
      </c>
      <c r="F631" s="107">
        <v>295</v>
      </c>
      <c r="G631" s="211"/>
      <c r="H631" s="107">
        <v>2.33</v>
      </c>
      <c r="I631" s="203">
        <f t="shared" si="26"/>
        <v>7.8983050847457638E-3</v>
      </c>
      <c r="J631" s="213">
        <f t="shared" si="22"/>
        <v>7.8983050847457638E-3</v>
      </c>
    </row>
    <row r="632" spans="1:10">
      <c r="A632" s="107">
        <v>2</v>
      </c>
      <c r="B632" s="107">
        <v>35</v>
      </c>
      <c r="C632" s="107">
        <v>17</v>
      </c>
      <c r="D632" s="107" t="s">
        <v>521</v>
      </c>
      <c r="E632" s="107" t="s">
        <v>503</v>
      </c>
      <c r="F632" s="107">
        <v>437</v>
      </c>
      <c r="G632" s="211"/>
      <c r="H632" s="107">
        <v>10.96</v>
      </c>
      <c r="I632" s="203">
        <f t="shared" si="26"/>
        <v>2.508009153318078E-2</v>
      </c>
      <c r="J632" s="213">
        <f t="shared" si="22"/>
        <v>2.508009153318078E-2</v>
      </c>
    </row>
    <row r="633" spans="1:10">
      <c r="A633" s="107">
        <v>2</v>
      </c>
      <c r="B633" s="107">
        <v>35</v>
      </c>
      <c r="C633" s="107">
        <v>18</v>
      </c>
      <c r="D633" s="107" t="s">
        <v>144</v>
      </c>
      <c r="E633" s="107" t="s">
        <v>145</v>
      </c>
      <c r="F633" s="107">
        <v>807</v>
      </c>
      <c r="G633" s="211"/>
      <c r="H633" s="107">
        <v>32.19</v>
      </c>
      <c r="I633" s="203">
        <f t="shared" si="26"/>
        <v>3.9888475836431223E-2</v>
      </c>
      <c r="J633" s="213">
        <f t="shared" si="22"/>
        <v>3.9888475836431223E-2</v>
      </c>
    </row>
    <row r="634" spans="1:10">
      <c r="A634" s="201">
        <v>2</v>
      </c>
      <c r="B634" s="201">
        <v>36</v>
      </c>
      <c r="C634" s="201">
        <v>1</v>
      </c>
      <c r="D634" s="201" t="s">
        <v>319</v>
      </c>
      <c r="E634" s="201" t="s">
        <v>320</v>
      </c>
      <c r="F634" s="201">
        <v>547</v>
      </c>
      <c r="G634" s="212"/>
      <c r="H634" s="201">
        <v>11.85</v>
      </c>
      <c r="I634" s="204">
        <f t="shared" si="26"/>
        <v>2.1663619744058501E-2</v>
      </c>
      <c r="J634" s="214">
        <f t="shared" si="22"/>
        <v>2.1663619744058501E-2</v>
      </c>
    </row>
    <row r="635" spans="1:10">
      <c r="A635" s="201">
        <v>2</v>
      </c>
      <c r="B635" s="201">
        <v>36</v>
      </c>
      <c r="C635" s="201">
        <v>2</v>
      </c>
      <c r="D635" s="201" t="s">
        <v>146</v>
      </c>
      <c r="E635" s="201" t="s">
        <v>147</v>
      </c>
      <c r="F635" s="201">
        <v>767</v>
      </c>
      <c r="G635" s="212"/>
      <c r="H635" s="201">
        <v>24.28</v>
      </c>
      <c r="I635" s="204">
        <f t="shared" si="26"/>
        <v>3.1655801825293352E-2</v>
      </c>
      <c r="J635" s="214">
        <f t="shared" si="22"/>
        <v>3.1655801825293352E-2</v>
      </c>
    </row>
    <row r="636" spans="1:10">
      <c r="A636" s="201">
        <v>2</v>
      </c>
      <c r="B636" s="201">
        <v>36</v>
      </c>
      <c r="C636" s="201">
        <v>3</v>
      </c>
      <c r="D636" s="201" t="s">
        <v>260</v>
      </c>
      <c r="E636" s="201" t="s">
        <v>261</v>
      </c>
      <c r="F636" s="201">
        <v>900</v>
      </c>
      <c r="G636" s="212"/>
      <c r="H636" s="201">
        <v>17.690000000000001</v>
      </c>
      <c r="I636" s="204">
        <f t="shared" si="26"/>
        <v>1.9655555555555558E-2</v>
      </c>
      <c r="J636" s="214">
        <f t="shared" si="22"/>
        <v>1.9655555555555558E-2</v>
      </c>
    </row>
    <row r="637" spans="1:10">
      <c r="A637" s="201">
        <v>2</v>
      </c>
      <c r="B637" s="201">
        <v>36</v>
      </c>
      <c r="C637" s="201">
        <v>4</v>
      </c>
      <c r="D637" s="201" t="s">
        <v>307</v>
      </c>
      <c r="E637" s="201" t="s">
        <v>308</v>
      </c>
      <c r="F637" s="201">
        <v>1160</v>
      </c>
      <c r="G637" s="212"/>
      <c r="H637" s="201">
        <v>29.22</v>
      </c>
      <c r="I637" s="204">
        <f t="shared" si="26"/>
        <v>2.5189655172413793E-2</v>
      </c>
      <c r="J637" s="214">
        <f t="shared" si="22"/>
        <v>2.5189655172413793E-2</v>
      </c>
    </row>
    <row r="638" spans="1:10">
      <c r="A638" s="201">
        <v>2</v>
      </c>
      <c r="B638" s="201">
        <v>36</v>
      </c>
      <c r="C638" s="201">
        <v>5</v>
      </c>
      <c r="D638" s="201" t="s">
        <v>533</v>
      </c>
      <c r="E638" s="201" t="s">
        <v>534</v>
      </c>
      <c r="F638" s="201">
        <v>830</v>
      </c>
      <c r="G638" s="212"/>
      <c r="H638" s="201">
        <v>16.59</v>
      </c>
      <c r="I638" s="204">
        <f t="shared" si="26"/>
        <v>1.9987951807228916E-2</v>
      </c>
      <c r="J638" s="214">
        <f t="shared" si="22"/>
        <v>1.9987951807228916E-2</v>
      </c>
    </row>
    <row r="639" spans="1:10">
      <c r="A639" s="201">
        <v>2</v>
      </c>
      <c r="B639" s="201">
        <v>36</v>
      </c>
      <c r="C639" s="201">
        <v>6</v>
      </c>
      <c r="D639" s="201" t="s">
        <v>626</v>
      </c>
      <c r="E639" s="201" t="s">
        <v>627</v>
      </c>
      <c r="F639" s="201">
        <v>660</v>
      </c>
      <c r="G639" s="212"/>
      <c r="H639" s="201">
        <v>25.9</v>
      </c>
      <c r="I639" s="204">
        <f t="shared" si="26"/>
        <v>3.9242424242424238E-2</v>
      </c>
      <c r="J639" s="214">
        <f t="shared" si="22"/>
        <v>3.9242424242424238E-2</v>
      </c>
    </row>
    <row r="640" spans="1:10">
      <c r="A640" s="201">
        <v>2</v>
      </c>
      <c r="B640" s="201">
        <v>36</v>
      </c>
      <c r="C640" s="201">
        <v>7</v>
      </c>
      <c r="D640" s="201" t="s">
        <v>429</v>
      </c>
      <c r="E640" s="201" t="s">
        <v>430</v>
      </c>
      <c r="F640" s="201">
        <v>447</v>
      </c>
      <c r="G640" s="212"/>
      <c r="H640" s="201">
        <v>13.5</v>
      </c>
      <c r="I640" s="204">
        <f t="shared" si="26"/>
        <v>3.0201342281879196E-2</v>
      </c>
      <c r="J640" s="214">
        <f t="shared" si="22"/>
        <v>3.0201342281879196E-2</v>
      </c>
    </row>
    <row r="641" spans="1:10">
      <c r="A641" s="201">
        <v>2</v>
      </c>
      <c r="B641" s="201">
        <v>36</v>
      </c>
      <c r="C641" s="201">
        <v>8</v>
      </c>
      <c r="D641" s="201" t="s">
        <v>711</v>
      </c>
      <c r="E641" s="201" t="s">
        <v>712</v>
      </c>
      <c r="F641" s="201">
        <v>336</v>
      </c>
      <c r="G641" s="212"/>
      <c r="H641" s="201">
        <v>8.36</v>
      </c>
      <c r="I641" s="204">
        <f t="shared" si="26"/>
        <v>2.4880952380952379E-2</v>
      </c>
      <c r="J641" s="214">
        <f t="shared" si="22"/>
        <v>2.4880952380952379E-2</v>
      </c>
    </row>
    <row r="642" spans="1:10">
      <c r="A642" s="201">
        <v>2</v>
      </c>
      <c r="B642" s="201">
        <v>36</v>
      </c>
      <c r="C642" s="201">
        <v>9</v>
      </c>
      <c r="D642" s="201" t="s">
        <v>594</v>
      </c>
      <c r="E642" s="201" t="s">
        <v>595</v>
      </c>
      <c r="F642" s="201">
        <v>1080</v>
      </c>
      <c r="G642" s="212"/>
      <c r="H642" s="201">
        <v>22.86</v>
      </c>
      <c r="I642" s="204">
        <f t="shared" si="26"/>
        <v>2.1166666666666667E-2</v>
      </c>
      <c r="J642" s="214">
        <f t="shared" si="22"/>
        <v>2.1166666666666667E-2</v>
      </c>
    </row>
    <row r="643" spans="1:10">
      <c r="A643" s="201">
        <v>2</v>
      </c>
      <c r="B643" s="201">
        <v>36</v>
      </c>
      <c r="C643" s="201">
        <v>10</v>
      </c>
      <c r="D643" s="201" t="s">
        <v>481</v>
      </c>
      <c r="E643" s="201" t="s">
        <v>482</v>
      </c>
      <c r="F643" s="201">
        <v>0</v>
      </c>
      <c r="G643" s="212"/>
      <c r="H643" s="201">
        <v>0</v>
      </c>
      <c r="I643" s="204" t="e">
        <f t="shared" si="26"/>
        <v>#DIV/0!</v>
      </c>
      <c r="J643" s="214" t="e">
        <f t="shared" si="22"/>
        <v>#DIV/0!</v>
      </c>
    </row>
    <row r="644" spans="1:10">
      <c r="A644" s="201">
        <v>2</v>
      </c>
      <c r="B644" s="201">
        <v>36</v>
      </c>
      <c r="C644" s="201">
        <v>11</v>
      </c>
      <c r="D644" s="201" t="s">
        <v>277</v>
      </c>
      <c r="E644" s="201" t="s">
        <v>278</v>
      </c>
      <c r="F644" s="201">
        <v>425</v>
      </c>
      <c r="G644" s="212"/>
      <c r="H644" s="201">
        <v>9.59</v>
      </c>
      <c r="I644" s="204">
        <f t="shared" si="26"/>
        <v>2.2564705882352942E-2</v>
      </c>
      <c r="J644" s="214">
        <f t="shared" si="22"/>
        <v>2.2564705882352942E-2</v>
      </c>
    </row>
    <row r="645" spans="1:10">
      <c r="A645" s="201">
        <v>2</v>
      </c>
      <c r="B645" s="201">
        <v>36</v>
      </c>
      <c r="C645" s="201">
        <v>12</v>
      </c>
      <c r="D645" s="201" t="s">
        <v>397</v>
      </c>
      <c r="E645" s="201" t="s">
        <v>398</v>
      </c>
      <c r="F645" s="201">
        <v>698</v>
      </c>
      <c r="G645" s="212"/>
      <c r="H645" s="201">
        <v>10.76</v>
      </c>
      <c r="I645" s="204">
        <f t="shared" si="26"/>
        <v>1.5415472779369627E-2</v>
      </c>
      <c r="J645" s="214">
        <f t="shared" ref="J645:J651" si="27">IF(G645="",I645,I645/(1-G645))</f>
        <v>1.5415472779369627E-2</v>
      </c>
    </row>
    <row r="646" spans="1:10">
      <c r="A646" s="201">
        <v>2</v>
      </c>
      <c r="B646" s="201">
        <v>36</v>
      </c>
      <c r="C646" s="201">
        <v>13</v>
      </c>
      <c r="D646" s="201" t="s">
        <v>202</v>
      </c>
      <c r="E646" s="201" t="s">
        <v>203</v>
      </c>
      <c r="F646" s="201">
        <v>0</v>
      </c>
      <c r="G646" s="212"/>
      <c r="H646" s="201">
        <v>0</v>
      </c>
      <c r="I646" s="204" t="e">
        <f t="shared" si="26"/>
        <v>#DIV/0!</v>
      </c>
      <c r="J646" s="214" t="e">
        <f t="shared" si="27"/>
        <v>#DIV/0!</v>
      </c>
    </row>
    <row r="647" spans="1:10">
      <c r="A647" s="201">
        <v>2</v>
      </c>
      <c r="B647" s="201">
        <v>36</v>
      </c>
      <c r="C647" s="201">
        <v>14</v>
      </c>
      <c r="D647" s="201" t="s">
        <v>749</v>
      </c>
      <c r="E647" s="201" t="s">
        <v>750</v>
      </c>
      <c r="F647" s="201">
        <v>765</v>
      </c>
      <c r="G647" s="212"/>
      <c r="H647" s="201">
        <v>22.07</v>
      </c>
      <c r="I647" s="204">
        <f t="shared" si="26"/>
        <v>2.8849673202614379E-2</v>
      </c>
      <c r="J647" s="214">
        <f t="shared" si="27"/>
        <v>2.8849673202614379E-2</v>
      </c>
    </row>
    <row r="648" spans="1:10">
      <c r="A648" s="201">
        <v>2</v>
      </c>
      <c r="B648" s="201">
        <v>36</v>
      </c>
      <c r="C648" s="201">
        <v>15</v>
      </c>
      <c r="D648" s="201" t="s">
        <v>373</v>
      </c>
      <c r="E648" s="201" t="s">
        <v>374</v>
      </c>
      <c r="F648" s="201">
        <v>960</v>
      </c>
      <c r="G648" s="212"/>
      <c r="H648" s="201">
        <v>23.28</v>
      </c>
      <c r="I648" s="204">
        <f t="shared" si="26"/>
        <v>2.4250000000000001E-2</v>
      </c>
      <c r="J648" s="214">
        <f t="shared" si="27"/>
        <v>2.4250000000000001E-2</v>
      </c>
    </row>
    <row r="649" spans="1:10">
      <c r="A649" s="201">
        <v>2</v>
      </c>
      <c r="B649" s="201">
        <v>36</v>
      </c>
      <c r="C649" s="201">
        <v>16</v>
      </c>
      <c r="D649" s="201" t="s">
        <v>204</v>
      </c>
      <c r="E649" s="201" t="s">
        <v>205</v>
      </c>
      <c r="F649" s="201">
        <v>0</v>
      </c>
      <c r="G649" s="212"/>
      <c r="H649" s="201">
        <v>0</v>
      </c>
      <c r="I649" s="204" t="e">
        <f t="shared" si="26"/>
        <v>#DIV/0!</v>
      </c>
      <c r="J649" s="214" t="e">
        <f t="shared" si="27"/>
        <v>#DIV/0!</v>
      </c>
    </row>
    <row r="650" spans="1:10">
      <c r="A650" s="201">
        <v>2</v>
      </c>
      <c r="B650" s="201">
        <v>36</v>
      </c>
      <c r="C650" s="201">
        <v>17</v>
      </c>
      <c r="D650" s="201" t="s">
        <v>574</v>
      </c>
      <c r="E650" s="201" t="s">
        <v>575</v>
      </c>
      <c r="F650" s="201">
        <v>336</v>
      </c>
      <c r="G650" s="212"/>
      <c r="H650" s="201">
        <v>9.3000000000000007</v>
      </c>
      <c r="I650" s="204">
        <f t="shared" si="26"/>
        <v>2.7678571428571431E-2</v>
      </c>
      <c r="J650" s="214">
        <f t="shared" si="27"/>
        <v>2.7678571428571431E-2</v>
      </c>
    </row>
    <row r="651" spans="1:10">
      <c r="A651" s="201">
        <v>2</v>
      </c>
      <c r="B651" s="201">
        <v>36</v>
      </c>
      <c r="C651" s="201">
        <v>18</v>
      </c>
      <c r="D651" s="201" t="s">
        <v>516</v>
      </c>
      <c r="E651" s="201" t="s">
        <v>503</v>
      </c>
      <c r="F651" s="201">
        <v>803</v>
      </c>
      <c r="G651" s="212"/>
      <c r="H651" s="201">
        <v>15.32</v>
      </c>
      <c r="I651" s="204">
        <f t="shared" si="26"/>
        <v>1.9078455790784557E-2</v>
      </c>
      <c r="J651" s="214">
        <f t="shared" si="27"/>
        <v>1.9078455790784557E-2</v>
      </c>
    </row>
  </sheetData>
  <pageMargins left="0.7" right="0.7" top="0.75" bottom="0.75" header="0.3" footer="0.3"/>
  <pageSetup orientation="portrait" r:id="rId1"/>
  <rowBreaks count="17" manualBreakCount="17">
    <brk id="39" max="7" man="1"/>
    <brk id="75" max="7" man="1"/>
    <brk id="111" max="7" man="1"/>
    <brk id="147" max="7" man="1"/>
    <brk id="183" max="7" man="1"/>
    <brk id="219" max="7" man="1"/>
    <brk id="255" max="7" man="1"/>
    <brk id="291" max="7" man="1"/>
    <brk id="327" max="7" man="1"/>
    <brk id="363" max="7" man="1"/>
    <brk id="399" max="7" man="1"/>
    <brk id="435" max="7" man="1"/>
    <brk id="471" max="7" man="1"/>
    <brk id="507" max="7" man="1"/>
    <brk id="543" max="7" man="1"/>
    <brk id="579" max="7" man="1"/>
    <brk id="615" max="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50BA-4E46-41E9-9290-DE4D86AA4C0A}">
  <dimension ref="A1:K66"/>
  <sheetViews>
    <sheetView zoomScale="66" zoomScaleNormal="66" workbookViewId="0">
      <selection activeCell="T32" sqref="T32"/>
    </sheetView>
  </sheetViews>
  <sheetFormatPr defaultRowHeight="14.5"/>
  <cols>
    <col min="1" max="1" width="8.54296875" style="102" customWidth="1"/>
    <col min="2" max="11" width="9.26953125" customWidth="1"/>
  </cols>
  <sheetData>
    <row r="1" spans="1:11" ht="18.5">
      <c r="A1" s="42" t="s">
        <v>842</v>
      </c>
      <c r="G1" s="114"/>
    </row>
    <row r="3" spans="1:11">
      <c r="A3" s="234" t="s">
        <v>100</v>
      </c>
      <c r="B3" s="236" t="s">
        <v>822</v>
      </c>
      <c r="C3" s="236"/>
      <c r="D3" s="236"/>
      <c r="E3" s="236"/>
      <c r="F3" s="236"/>
      <c r="G3" s="236"/>
      <c r="H3" s="236"/>
      <c r="I3" s="236"/>
      <c r="J3" s="247"/>
      <c r="K3" s="247"/>
    </row>
    <row r="4" spans="1:11">
      <c r="A4" s="234"/>
      <c r="B4" s="230"/>
      <c r="C4" s="231"/>
      <c r="D4" s="230"/>
      <c r="E4" s="231"/>
      <c r="F4" s="230"/>
      <c r="G4" s="231"/>
      <c r="H4" s="230"/>
      <c r="I4" s="231"/>
      <c r="J4" s="230"/>
      <c r="K4" s="231"/>
    </row>
    <row r="5" spans="1:11">
      <c r="A5" s="234"/>
      <c r="B5" s="104" t="s">
        <v>103</v>
      </c>
      <c r="C5" s="104" t="s">
        <v>823</v>
      </c>
      <c r="D5" s="104" t="s">
        <v>103</v>
      </c>
      <c r="E5" s="104" t="s">
        <v>823</v>
      </c>
      <c r="F5" s="104" t="s">
        <v>103</v>
      </c>
      <c r="G5" s="104" t="s">
        <v>823</v>
      </c>
      <c r="H5" s="104" t="s">
        <v>103</v>
      </c>
      <c r="I5" s="104" t="s">
        <v>823</v>
      </c>
      <c r="J5" s="104" t="s">
        <v>103</v>
      </c>
      <c r="K5" s="104" t="s">
        <v>823</v>
      </c>
    </row>
    <row r="6" spans="1:11" ht="16.149999999999999" customHeight="1">
      <c r="A6" s="104">
        <v>1</v>
      </c>
      <c r="B6" s="106"/>
      <c r="C6" s="154"/>
      <c r="D6" s="106"/>
      <c r="E6" s="106"/>
      <c r="F6" s="106"/>
      <c r="G6" s="154"/>
      <c r="H6" s="106"/>
      <c r="I6" s="106"/>
      <c r="J6" s="125"/>
      <c r="K6" s="154"/>
    </row>
    <row r="7" spans="1:11" ht="16.149999999999999" customHeight="1">
      <c r="A7" s="104">
        <v>2</v>
      </c>
      <c r="B7" s="106"/>
      <c r="C7" s="154"/>
      <c r="D7" s="106"/>
      <c r="E7" s="106"/>
      <c r="F7" s="106"/>
      <c r="G7" s="154"/>
      <c r="H7" s="106"/>
      <c r="I7" s="106"/>
      <c r="J7" s="106"/>
      <c r="K7" s="154"/>
    </row>
    <row r="8" spans="1:11" ht="16.149999999999999" customHeight="1">
      <c r="A8" s="104">
        <v>3</v>
      </c>
      <c r="B8" s="106"/>
      <c r="C8" s="154"/>
      <c r="D8" s="106"/>
      <c r="E8" s="106"/>
      <c r="F8" s="106"/>
      <c r="G8" s="154"/>
      <c r="H8" s="106"/>
      <c r="I8" s="106"/>
      <c r="J8" s="106"/>
      <c r="K8" s="154"/>
    </row>
    <row r="9" spans="1:11" ht="16.149999999999999" customHeight="1">
      <c r="A9" s="104">
        <v>4</v>
      </c>
      <c r="B9" s="106"/>
      <c r="C9" s="154"/>
      <c r="D9" s="106"/>
      <c r="E9" s="106"/>
      <c r="F9" s="106"/>
      <c r="G9" s="154"/>
      <c r="H9" s="106"/>
      <c r="I9" s="106"/>
      <c r="J9" s="106"/>
      <c r="K9" s="154"/>
    </row>
    <row r="10" spans="1:11" ht="16.149999999999999" customHeight="1">
      <c r="A10" s="104">
        <v>5</v>
      </c>
      <c r="B10" s="106"/>
      <c r="C10" s="154"/>
      <c r="D10" s="106"/>
      <c r="E10" s="106"/>
      <c r="F10" s="106"/>
      <c r="G10" s="154"/>
      <c r="H10" s="106"/>
      <c r="I10" s="106"/>
      <c r="J10" s="106"/>
      <c r="K10" s="154"/>
    </row>
    <row r="11" spans="1:11" ht="16.149999999999999" customHeight="1">
      <c r="A11" s="104">
        <v>6</v>
      </c>
      <c r="B11" s="106"/>
      <c r="C11" s="154"/>
      <c r="D11" s="106"/>
      <c r="E11" s="106"/>
      <c r="F11" s="106"/>
      <c r="G11" s="154"/>
      <c r="H11" s="106"/>
      <c r="I11" s="106"/>
      <c r="J11" s="106"/>
      <c r="K11" s="154"/>
    </row>
    <row r="12" spans="1:11" ht="16.149999999999999" customHeight="1">
      <c r="A12" s="104">
        <v>7</v>
      </c>
      <c r="B12" s="106"/>
      <c r="C12" s="154"/>
      <c r="D12" s="106"/>
      <c r="E12" s="106"/>
      <c r="F12" s="106"/>
      <c r="G12" s="154"/>
      <c r="H12" s="106"/>
      <c r="I12" s="106"/>
      <c r="J12" s="106"/>
      <c r="K12" s="154"/>
    </row>
    <row r="13" spans="1:11" ht="16.149999999999999" customHeight="1">
      <c r="A13" s="104">
        <v>8</v>
      </c>
      <c r="B13" s="106"/>
      <c r="C13" s="154"/>
      <c r="D13" s="106"/>
      <c r="E13" s="106"/>
      <c r="F13" s="106"/>
      <c r="G13" s="154"/>
      <c r="H13" s="106"/>
      <c r="I13" s="106"/>
      <c r="J13" s="106"/>
      <c r="K13" s="154"/>
    </row>
    <row r="14" spans="1:11" ht="16.149999999999999" customHeight="1">
      <c r="A14" s="104">
        <v>9</v>
      </c>
      <c r="B14" s="106"/>
      <c r="C14" s="154"/>
      <c r="D14" s="106"/>
      <c r="E14" s="106"/>
      <c r="F14" s="106"/>
      <c r="G14" s="154"/>
      <c r="H14" s="106"/>
      <c r="I14" s="106"/>
      <c r="J14" s="106"/>
      <c r="K14" s="154"/>
    </row>
    <row r="15" spans="1:11" ht="16.149999999999999" customHeight="1">
      <c r="A15" s="104">
        <v>10</v>
      </c>
      <c r="B15" s="106"/>
      <c r="C15" s="154"/>
      <c r="D15" s="106"/>
      <c r="E15" s="106"/>
      <c r="F15" s="106"/>
      <c r="G15" s="154"/>
      <c r="H15" s="106"/>
      <c r="I15" s="106"/>
      <c r="J15" s="106"/>
      <c r="K15" s="154"/>
    </row>
    <row r="16" spans="1:11" ht="16.149999999999999" customHeight="1">
      <c r="A16" s="104">
        <v>11</v>
      </c>
      <c r="B16" s="106"/>
      <c r="C16" s="154"/>
      <c r="D16" s="106"/>
      <c r="E16" s="106"/>
      <c r="F16" s="106"/>
      <c r="G16" s="154"/>
      <c r="H16" s="106"/>
      <c r="I16" s="106"/>
      <c r="J16" s="106"/>
      <c r="K16" s="154"/>
    </row>
    <row r="17" spans="1:11" ht="16.149999999999999" customHeight="1">
      <c r="A17" s="104">
        <v>12</v>
      </c>
      <c r="B17" s="106"/>
      <c r="C17" s="154"/>
      <c r="D17" s="106"/>
      <c r="E17" s="106"/>
      <c r="F17" s="106"/>
      <c r="G17" s="154"/>
      <c r="H17" s="106"/>
      <c r="I17" s="106"/>
      <c r="J17" s="106"/>
      <c r="K17" s="154"/>
    </row>
    <row r="18" spans="1:11" ht="16.149999999999999" customHeight="1">
      <c r="A18" s="104">
        <v>13</v>
      </c>
      <c r="B18" s="106"/>
      <c r="C18" s="154"/>
      <c r="D18" s="106"/>
      <c r="E18" s="106"/>
      <c r="F18" s="106"/>
      <c r="G18" s="154"/>
      <c r="H18" s="106"/>
      <c r="I18" s="106"/>
      <c r="J18" s="106"/>
      <c r="K18" s="154"/>
    </row>
    <row r="19" spans="1:11" ht="16.149999999999999" customHeight="1">
      <c r="A19" s="104">
        <v>14</v>
      </c>
      <c r="B19" s="106"/>
      <c r="C19" s="154"/>
      <c r="D19" s="106"/>
      <c r="E19" s="106"/>
      <c r="F19" s="106"/>
      <c r="G19" s="154"/>
      <c r="H19" s="106"/>
      <c r="I19" s="106"/>
      <c r="J19" s="106"/>
      <c r="K19" s="154"/>
    </row>
    <row r="20" spans="1:11" ht="16.149999999999999" customHeight="1">
      <c r="A20" s="104">
        <v>15</v>
      </c>
      <c r="B20" s="106"/>
      <c r="C20" s="154"/>
      <c r="D20" s="106"/>
      <c r="E20" s="106"/>
      <c r="F20" s="106"/>
      <c r="G20" s="154"/>
      <c r="H20" s="106"/>
      <c r="I20" s="106"/>
      <c r="J20" s="106"/>
      <c r="K20" s="154"/>
    </row>
    <row r="21" spans="1:11" ht="16.149999999999999" customHeight="1">
      <c r="A21" s="104">
        <v>16</v>
      </c>
      <c r="B21" s="106"/>
      <c r="C21" s="154"/>
      <c r="D21" s="106"/>
      <c r="E21" s="106"/>
      <c r="F21" s="106"/>
      <c r="G21" s="154"/>
      <c r="H21" s="106"/>
      <c r="I21" s="106"/>
      <c r="J21" s="106"/>
      <c r="K21" s="154"/>
    </row>
    <row r="22" spans="1:11" ht="16.149999999999999" customHeight="1">
      <c r="A22" s="104">
        <v>17</v>
      </c>
      <c r="B22" s="106"/>
      <c r="C22" s="154"/>
      <c r="D22" s="106"/>
      <c r="E22" s="106"/>
      <c r="F22" s="106"/>
      <c r="G22" s="154"/>
      <c r="H22" s="106"/>
      <c r="I22" s="106"/>
      <c r="J22" s="106"/>
      <c r="K22" s="154"/>
    </row>
    <row r="23" spans="1:11" ht="16.149999999999999" customHeight="1">
      <c r="A23" s="104">
        <v>18</v>
      </c>
      <c r="B23" s="106"/>
      <c r="C23" s="154"/>
      <c r="D23" s="106"/>
      <c r="E23" s="106"/>
      <c r="F23" s="106"/>
      <c r="G23" s="154"/>
      <c r="H23" s="106"/>
      <c r="I23" s="106"/>
      <c r="J23" s="106"/>
      <c r="K23" s="154"/>
    </row>
    <row r="24" spans="1:11" ht="16.149999999999999" customHeight="1">
      <c r="A24" s="104">
        <v>19</v>
      </c>
      <c r="B24" s="106"/>
      <c r="C24" s="154"/>
      <c r="D24" s="106"/>
      <c r="E24" s="106"/>
      <c r="F24" s="106"/>
      <c r="G24" s="154"/>
      <c r="H24" s="106"/>
      <c r="I24" s="106"/>
      <c r="J24" s="106"/>
      <c r="K24" s="154"/>
    </row>
    <row r="25" spans="1:11" ht="16.149999999999999" customHeight="1">
      <c r="A25" s="104">
        <v>20</v>
      </c>
      <c r="B25" s="106"/>
      <c r="C25" s="154"/>
      <c r="D25" s="106"/>
      <c r="E25" s="106"/>
      <c r="F25" s="106"/>
      <c r="G25" s="154"/>
      <c r="H25" s="106"/>
      <c r="I25" s="106"/>
      <c r="J25" s="106"/>
      <c r="K25" s="154"/>
    </row>
    <row r="26" spans="1:11" ht="16.149999999999999" customHeight="1">
      <c r="A26" s="104">
        <v>21</v>
      </c>
      <c r="B26" s="106"/>
      <c r="C26" s="154"/>
      <c r="D26" s="106"/>
      <c r="E26" s="106"/>
      <c r="F26" s="106"/>
      <c r="G26" s="154"/>
      <c r="H26" s="106"/>
      <c r="I26" s="106"/>
      <c r="J26" s="106"/>
      <c r="K26" s="154"/>
    </row>
    <row r="27" spans="1:11" ht="16.149999999999999" customHeight="1">
      <c r="A27" s="104">
        <v>22</v>
      </c>
      <c r="B27" s="106"/>
      <c r="C27" s="154"/>
      <c r="D27" s="106"/>
      <c r="E27" s="106"/>
      <c r="F27" s="106"/>
      <c r="G27" s="154"/>
      <c r="H27" s="106"/>
      <c r="I27" s="106"/>
      <c r="J27" s="106"/>
      <c r="K27" s="154"/>
    </row>
    <row r="28" spans="1:11" ht="16.149999999999999" customHeight="1">
      <c r="A28" s="104">
        <v>23</v>
      </c>
      <c r="B28" s="106"/>
      <c r="C28" s="154"/>
      <c r="D28" s="106"/>
      <c r="E28" s="106"/>
      <c r="F28" s="106"/>
      <c r="G28" s="154"/>
      <c r="H28" s="106"/>
      <c r="I28" s="106"/>
      <c r="J28" s="106"/>
      <c r="K28" s="154"/>
    </row>
    <row r="29" spans="1:11" ht="16.149999999999999" customHeight="1">
      <c r="A29" s="104">
        <v>24</v>
      </c>
      <c r="B29" s="106"/>
      <c r="C29" s="154"/>
      <c r="D29" s="106"/>
      <c r="E29" s="106"/>
      <c r="F29" s="106"/>
      <c r="G29" s="154"/>
      <c r="H29" s="106"/>
      <c r="I29" s="106"/>
      <c r="J29" s="106"/>
      <c r="K29" s="154"/>
    </row>
    <row r="30" spans="1:11" ht="16.149999999999999" customHeight="1">
      <c r="A30" s="104">
        <v>25</v>
      </c>
      <c r="B30" s="106"/>
      <c r="C30" s="154"/>
      <c r="D30" s="106"/>
      <c r="E30" s="106"/>
      <c r="F30" s="106"/>
      <c r="G30" s="154"/>
      <c r="H30" s="106"/>
      <c r="I30" s="106"/>
      <c r="J30" s="106"/>
      <c r="K30" s="154"/>
    </row>
    <row r="31" spans="1:11" ht="16.149999999999999" customHeight="1">
      <c r="A31" s="104">
        <v>26</v>
      </c>
      <c r="B31" s="106"/>
      <c r="C31" s="154"/>
      <c r="D31" s="106"/>
      <c r="E31" s="106"/>
      <c r="F31" s="106"/>
      <c r="G31" s="154"/>
      <c r="H31" s="106"/>
      <c r="I31" s="106"/>
      <c r="J31" s="106"/>
      <c r="K31" s="154"/>
    </row>
    <row r="32" spans="1:11" ht="16.149999999999999" customHeight="1">
      <c r="A32" s="104">
        <v>27</v>
      </c>
      <c r="B32" s="106"/>
      <c r="C32" s="154"/>
      <c r="D32" s="106"/>
      <c r="E32" s="106"/>
      <c r="F32" s="106"/>
      <c r="G32" s="154"/>
      <c r="H32" s="106"/>
      <c r="I32" s="106"/>
      <c r="J32" s="106"/>
      <c r="K32" s="154"/>
    </row>
    <row r="33" spans="1:11" ht="16.149999999999999" customHeight="1">
      <c r="A33" s="104">
        <v>28</v>
      </c>
      <c r="B33" s="106"/>
      <c r="C33" s="154"/>
      <c r="D33" s="106"/>
      <c r="E33" s="106"/>
      <c r="F33" s="106"/>
      <c r="G33" s="154"/>
      <c r="H33" s="106"/>
      <c r="I33" s="106"/>
      <c r="J33" s="106"/>
      <c r="K33" s="154"/>
    </row>
    <row r="34" spans="1:11" ht="16.149999999999999" customHeight="1">
      <c r="A34" s="104">
        <v>29</v>
      </c>
      <c r="B34" s="106"/>
      <c r="C34" s="154"/>
      <c r="D34" s="106"/>
      <c r="E34" s="106"/>
      <c r="F34" s="106"/>
      <c r="G34" s="154"/>
      <c r="H34" s="106"/>
      <c r="I34" s="106"/>
      <c r="J34" s="106"/>
      <c r="K34" s="154"/>
    </row>
    <row r="35" spans="1:11" ht="16.149999999999999" customHeight="1">
      <c r="A35" s="104">
        <v>30</v>
      </c>
      <c r="B35" s="106"/>
      <c r="C35" s="154"/>
      <c r="D35" s="106"/>
      <c r="E35" s="106"/>
      <c r="F35" s="106"/>
      <c r="G35" s="154"/>
      <c r="H35" s="106"/>
      <c r="I35" s="106"/>
      <c r="J35" s="106"/>
      <c r="K35" s="154"/>
    </row>
    <row r="36" spans="1:11" ht="16.149999999999999" customHeight="1">
      <c r="A36" s="104">
        <v>31</v>
      </c>
      <c r="B36" s="106"/>
      <c r="C36" s="154"/>
      <c r="D36" s="106"/>
      <c r="E36" s="106"/>
      <c r="F36" s="106"/>
      <c r="G36" s="154"/>
      <c r="H36" s="106"/>
      <c r="I36" s="106"/>
      <c r="J36" s="106"/>
      <c r="K36" s="154"/>
    </row>
    <row r="37" spans="1:11" ht="16.149999999999999" customHeight="1">
      <c r="A37" s="104">
        <v>32</v>
      </c>
      <c r="B37" s="106"/>
      <c r="C37" s="154"/>
      <c r="D37" s="106"/>
      <c r="E37" s="106"/>
      <c r="F37" s="106"/>
      <c r="G37" s="154"/>
      <c r="H37" s="106"/>
      <c r="I37" s="106"/>
      <c r="J37" s="106"/>
      <c r="K37" s="154"/>
    </row>
    <row r="38" spans="1:11" ht="16.149999999999999" customHeight="1">
      <c r="A38" s="104">
        <v>33</v>
      </c>
      <c r="B38" s="106"/>
      <c r="C38" s="154"/>
      <c r="D38" s="106"/>
      <c r="E38" s="106"/>
      <c r="F38" s="106"/>
      <c r="G38" s="154"/>
      <c r="H38" s="106"/>
      <c r="I38" s="106"/>
      <c r="J38" s="106"/>
      <c r="K38" s="154"/>
    </row>
    <row r="39" spans="1:11" ht="16.149999999999999" customHeight="1">
      <c r="A39" s="104">
        <v>34</v>
      </c>
      <c r="B39" s="106"/>
      <c r="C39" s="154"/>
      <c r="D39" s="106"/>
      <c r="E39" s="106"/>
      <c r="F39" s="106"/>
      <c r="G39" s="154"/>
      <c r="H39" s="106"/>
      <c r="I39" s="106"/>
      <c r="J39" s="106"/>
      <c r="K39" s="154"/>
    </row>
    <row r="40" spans="1:11" ht="16.149999999999999" customHeight="1">
      <c r="A40" s="104">
        <v>35</v>
      </c>
      <c r="B40" s="106"/>
      <c r="C40" s="154"/>
      <c r="D40" s="106"/>
      <c r="E40" s="106"/>
      <c r="F40" s="106"/>
      <c r="G40" s="154"/>
      <c r="H40" s="106"/>
      <c r="I40" s="106"/>
      <c r="J40" s="106"/>
      <c r="K40" s="154"/>
    </row>
    <row r="41" spans="1:11" ht="16.149999999999999" customHeight="1">
      <c r="A41" s="104">
        <v>36</v>
      </c>
      <c r="B41" s="106"/>
      <c r="C41" s="154"/>
      <c r="D41" s="106"/>
      <c r="E41" s="106"/>
      <c r="F41" s="106"/>
      <c r="G41" s="154"/>
      <c r="H41" s="106"/>
      <c r="I41" s="106"/>
      <c r="J41" s="106"/>
      <c r="K41" s="154"/>
    </row>
    <row r="42" spans="1:11">
      <c r="A42" s="104">
        <v>37</v>
      </c>
      <c r="B42" s="106"/>
      <c r="C42" s="154"/>
      <c r="D42" s="106"/>
      <c r="E42" s="106"/>
      <c r="F42" s="106"/>
      <c r="G42" s="154"/>
      <c r="H42" s="106"/>
      <c r="I42" s="106"/>
      <c r="J42" s="106"/>
      <c r="K42" s="154"/>
    </row>
    <row r="43" spans="1:11">
      <c r="A43" s="104">
        <v>38</v>
      </c>
      <c r="B43" s="106"/>
      <c r="C43" s="154"/>
      <c r="D43" s="106"/>
      <c r="E43" s="106"/>
      <c r="F43" s="106"/>
      <c r="G43" s="154"/>
      <c r="H43" s="106"/>
      <c r="I43" s="106"/>
      <c r="J43" s="106"/>
      <c r="K43" s="154"/>
    </row>
    <row r="44" spans="1:11">
      <c r="A44" s="104">
        <v>39</v>
      </c>
      <c r="B44" s="106"/>
      <c r="C44" s="154"/>
      <c r="D44" s="106"/>
      <c r="E44" s="106"/>
      <c r="F44" s="106"/>
      <c r="G44" s="154"/>
      <c r="H44" s="106"/>
      <c r="I44" s="106"/>
      <c r="J44" s="106"/>
      <c r="K44" s="154"/>
    </row>
    <row r="45" spans="1:11">
      <c r="A45" s="104">
        <v>40</v>
      </c>
      <c r="B45" s="106"/>
      <c r="C45" s="154"/>
      <c r="D45" s="106"/>
      <c r="E45" s="106"/>
      <c r="F45" s="106"/>
      <c r="G45" s="154"/>
      <c r="H45" s="106"/>
      <c r="I45" s="106"/>
      <c r="J45" s="106"/>
      <c r="K45" s="154"/>
    </row>
    <row r="46" spans="1:11">
      <c r="A46" s="104">
        <v>41</v>
      </c>
      <c r="B46" s="106"/>
      <c r="C46" s="154"/>
      <c r="D46" s="106"/>
      <c r="E46" s="106"/>
      <c r="F46" s="106"/>
      <c r="G46" s="154"/>
      <c r="H46" s="106"/>
      <c r="I46" s="106"/>
      <c r="J46" s="106"/>
      <c r="K46" s="154"/>
    </row>
    <row r="47" spans="1:11">
      <c r="A47" s="104">
        <v>42</v>
      </c>
      <c r="B47" s="106"/>
      <c r="C47" s="154"/>
      <c r="D47" s="106"/>
      <c r="E47" s="106"/>
      <c r="F47" s="106"/>
      <c r="G47" s="154"/>
      <c r="H47" s="106"/>
      <c r="I47" s="106"/>
      <c r="J47" s="106"/>
      <c r="K47" s="154"/>
    </row>
    <row r="48" spans="1:11">
      <c r="A48" s="104">
        <v>43</v>
      </c>
      <c r="B48" s="106"/>
      <c r="C48" s="154"/>
      <c r="D48" s="106"/>
      <c r="E48" s="106"/>
      <c r="F48" s="106"/>
      <c r="G48" s="154"/>
      <c r="H48" s="106"/>
      <c r="I48" s="106"/>
      <c r="J48" s="106"/>
      <c r="K48" s="154"/>
    </row>
    <row r="49" spans="1:11">
      <c r="A49" s="104">
        <v>44</v>
      </c>
      <c r="B49" s="106"/>
      <c r="C49" s="154"/>
      <c r="D49" s="106"/>
      <c r="E49" s="106"/>
      <c r="F49" s="106"/>
      <c r="G49" s="154"/>
      <c r="H49" s="106"/>
      <c r="I49" s="106"/>
      <c r="J49" s="106"/>
      <c r="K49" s="154"/>
    </row>
    <row r="50" spans="1:11">
      <c r="A50" s="104">
        <v>45</v>
      </c>
      <c r="B50" s="106"/>
      <c r="C50" s="154"/>
      <c r="D50" s="106"/>
      <c r="E50" s="106"/>
      <c r="F50" s="106"/>
      <c r="G50" s="154"/>
      <c r="H50" s="106"/>
      <c r="I50" s="106"/>
      <c r="J50" s="106"/>
      <c r="K50" s="154"/>
    </row>
    <row r="51" spans="1:11">
      <c r="A51" s="104">
        <v>46</v>
      </c>
      <c r="B51" s="106"/>
      <c r="C51" s="154"/>
      <c r="D51" s="106"/>
      <c r="E51" s="106"/>
      <c r="F51" s="106"/>
      <c r="G51" s="154"/>
      <c r="H51" s="106"/>
      <c r="I51" s="106"/>
      <c r="J51" s="106"/>
      <c r="K51" s="154"/>
    </row>
    <row r="52" spans="1:11">
      <c r="A52" s="104">
        <v>47</v>
      </c>
      <c r="B52" s="106"/>
      <c r="C52" s="154"/>
      <c r="D52" s="106"/>
      <c r="E52" s="106"/>
      <c r="F52" s="106"/>
      <c r="G52" s="154"/>
      <c r="H52" s="106"/>
      <c r="I52" s="106"/>
      <c r="J52" s="106"/>
      <c r="K52" s="154"/>
    </row>
    <row r="53" spans="1:11">
      <c r="A53" s="104">
        <v>48</v>
      </c>
      <c r="B53" s="106"/>
      <c r="C53" s="154"/>
      <c r="D53" s="106"/>
      <c r="E53" s="106"/>
      <c r="F53" s="106"/>
      <c r="G53" s="154"/>
      <c r="H53" s="106"/>
      <c r="I53" s="106"/>
      <c r="J53" s="106"/>
      <c r="K53" s="154"/>
    </row>
    <row r="54" spans="1:11">
      <c r="A54" s="104">
        <v>49</v>
      </c>
      <c r="B54" s="106"/>
      <c r="C54" s="154"/>
      <c r="D54" s="106"/>
      <c r="E54" s="106"/>
      <c r="F54" s="106"/>
      <c r="G54" s="154"/>
      <c r="H54" s="106"/>
      <c r="I54" s="106"/>
      <c r="J54" s="106"/>
      <c r="K54" s="154"/>
    </row>
    <row r="55" spans="1:11">
      <c r="A55" s="104">
        <v>50</v>
      </c>
      <c r="B55" s="106"/>
      <c r="C55" s="154"/>
      <c r="D55" s="106"/>
      <c r="E55" s="106"/>
      <c r="F55" s="106"/>
      <c r="G55" s="154"/>
      <c r="H55" s="106"/>
      <c r="I55" s="106"/>
      <c r="J55" s="106"/>
      <c r="K55" s="154"/>
    </row>
    <row r="56" spans="1:11">
      <c r="A56" s="104">
        <v>52</v>
      </c>
      <c r="B56" s="106"/>
      <c r="C56" s="154"/>
      <c r="D56" s="106"/>
      <c r="E56" s="106"/>
      <c r="F56" s="106"/>
      <c r="G56" s="154"/>
      <c r="H56" s="106"/>
      <c r="I56" s="106"/>
      <c r="J56" s="106"/>
      <c r="K56" s="154"/>
    </row>
    <row r="57" spans="1:11">
      <c r="A57" s="104">
        <v>53</v>
      </c>
      <c r="B57" s="106"/>
      <c r="C57" s="154"/>
      <c r="D57" s="106"/>
      <c r="E57" s="106"/>
      <c r="F57" s="106"/>
      <c r="G57" s="154"/>
      <c r="H57" s="106"/>
      <c r="I57" s="106"/>
      <c r="J57" s="106"/>
      <c r="K57" s="154"/>
    </row>
    <row r="58" spans="1:11">
      <c r="A58" s="104">
        <v>54</v>
      </c>
      <c r="B58" s="106"/>
      <c r="C58" s="154"/>
      <c r="D58" s="106"/>
      <c r="E58" s="106"/>
      <c r="F58" s="106"/>
      <c r="G58" s="154"/>
      <c r="H58" s="106"/>
      <c r="I58" s="106"/>
      <c r="J58" s="106"/>
      <c r="K58" s="154"/>
    </row>
    <row r="59" spans="1:11">
      <c r="A59" s="104">
        <v>55</v>
      </c>
      <c r="B59" s="106"/>
      <c r="C59" s="154"/>
      <c r="D59" s="106"/>
      <c r="E59" s="106"/>
      <c r="F59" s="106"/>
      <c r="G59" s="154"/>
      <c r="H59" s="106"/>
      <c r="I59" s="106"/>
      <c r="J59" s="106"/>
      <c r="K59" s="154"/>
    </row>
    <row r="60" spans="1:11">
      <c r="A60" s="104">
        <v>56</v>
      </c>
      <c r="B60" s="106"/>
      <c r="C60" s="154"/>
      <c r="D60" s="106"/>
      <c r="E60" s="106"/>
      <c r="F60" s="106"/>
      <c r="G60" s="154"/>
      <c r="H60" s="106"/>
      <c r="I60" s="106"/>
      <c r="J60" s="106"/>
      <c r="K60" s="154"/>
    </row>
    <row r="61" spans="1:11">
      <c r="A61" s="104">
        <v>57</v>
      </c>
      <c r="B61" s="106"/>
      <c r="C61" s="154"/>
      <c r="D61" s="106"/>
      <c r="E61" s="106"/>
      <c r="F61" s="106"/>
      <c r="G61" s="154"/>
      <c r="H61" s="106"/>
      <c r="I61" s="106"/>
      <c r="J61" s="106"/>
      <c r="K61" s="154"/>
    </row>
    <row r="62" spans="1:11">
      <c r="A62" s="104">
        <v>58</v>
      </c>
      <c r="B62" s="106"/>
      <c r="C62" s="154"/>
      <c r="D62" s="106"/>
      <c r="E62" s="106"/>
      <c r="F62" s="106"/>
      <c r="G62" s="154"/>
      <c r="H62" s="106"/>
      <c r="I62" s="106"/>
      <c r="J62" s="106"/>
      <c r="K62" s="154"/>
    </row>
    <row r="63" spans="1:11">
      <c r="A63" s="104">
        <v>59</v>
      </c>
      <c r="B63" s="106"/>
      <c r="C63" s="154"/>
      <c r="D63" s="106"/>
      <c r="E63" s="106"/>
      <c r="F63" s="106"/>
      <c r="G63" s="154"/>
      <c r="H63" s="106"/>
      <c r="I63" s="106"/>
      <c r="J63" s="106"/>
      <c r="K63" s="154"/>
    </row>
    <row r="64" spans="1:11">
      <c r="A64" s="104">
        <v>60</v>
      </c>
      <c r="B64" s="106"/>
      <c r="C64" s="154"/>
      <c r="D64" s="106"/>
      <c r="E64" s="106"/>
      <c r="F64" s="106"/>
      <c r="G64" s="154"/>
      <c r="H64" s="106"/>
      <c r="I64" s="106"/>
      <c r="J64" s="106"/>
      <c r="K64" s="154"/>
    </row>
    <row r="65" spans="1:11">
      <c r="A65" s="104">
        <v>61</v>
      </c>
      <c r="B65" s="106"/>
      <c r="C65" s="154"/>
      <c r="D65" s="106"/>
      <c r="E65" s="106"/>
      <c r="F65" s="106"/>
      <c r="G65" s="154"/>
      <c r="H65" s="106"/>
      <c r="I65" s="106"/>
      <c r="J65" s="106"/>
      <c r="K65" s="154"/>
    </row>
    <row r="66" spans="1:11">
      <c r="F66" t="s">
        <v>982</v>
      </c>
    </row>
  </sheetData>
  <mergeCells count="7">
    <mergeCell ref="A3:A5"/>
    <mergeCell ref="B3:K3"/>
    <mergeCell ref="B4:C4"/>
    <mergeCell ref="D4:E4"/>
    <mergeCell ref="F4:G4"/>
    <mergeCell ref="H4:I4"/>
    <mergeCell ref="J4:K4"/>
  </mergeCells>
  <pageMargins left="0.23622047244094491" right="0.23622047244094491" top="0.74803149606299213" bottom="0.74803149606299213" header="0.31496062992125984" footer="0.31496062992125984"/>
  <pageSetup orientation="portrait" r:id="rId1"/>
  <headerFooter>
    <oddHeader>&amp;R&amp;"Calibri"&amp;10&amp;K000000 Unclassified / Non classifié&amp;1#_x000D_</oddHeader>
  </headerFooter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17</vt:i4>
      </vt:variant>
    </vt:vector>
  </HeadingPairs>
  <TitlesOfParts>
    <vt:vector size="35" baseType="lpstr">
      <vt:lpstr>Protocol</vt:lpstr>
      <vt:lpstr>Notes</vt:lpstr>
      <vt:lpstr>Randomization EW</vt:lpstr>
      <vt:lpstr>Randomization WW</vt:lpstr>
      <vt:lpstr>WW- Tank Plan</vt:lpstr>
      <vt:lpstr>EW-Tank Plan</vt:lpstr>
      <vt:lpstr>Tank Mixing</vt:lpstr>
      <vt:lpstr>EC pH Readings</vt:lpstr>
      <vt:lpstr>Water Top-Ups</vt:lpstr>
      <vt:lpstr>Emergence WW</vt:lpstr>
      <vt:lpstr>Emergence EW</vt:lpstr>
      <vt:lpstr>Heights &amp; Leaf WW</vt:lpstr>
      <vt:lpstr>Heights &amp; Leaf EW</vt:lpstr>
      <vt:lpstr>EC &amp; pH Graphs</vt:lpstr>
      <vt:lpstr>Water Graphs</vt:lpstr>
      <vt:lpstr>Pod Count &amp; Seed Wt. WW</vt:lpstr>
      <vt:lpstr>Pod Count &amp; Seed Wt. EW</vt:lpstr>
      <vt:lpstr>EC &amp;pH readings template</vt:lpstr>
      <vt:lpstr>'Emergence EW'!Print_Area</vt:lpstr>
      <vt:lpstr>'Pod Count &amp; Seed Wt. EW'!Print_Area</vt:lpstr>
      <vt:lpstr>'Pod Count &amp; Seed Wt. WW'!Print_Area</vt:lpstr>
      <vt:lpstr>'EC &amp; pH Graphs'!Print_Titles</vt:lpstr>
      <vt:lpstr>'EC &amp;pH readings template'!Print_Titles</vt:lpstr>
      <vt:lpstr>'EC pH Readings'!Print_Titles</vt:lpstr>
      <vt:lpstr>'Emergence EW'!Print_Titles</vt:lpstr>
      <vt:lpstr>'Emergence WW'!Print_Titles</vt:lpstr>
      <vt:lpstr>'Heights &amp; Leaf EW'!Print_Titles</vt:lpstr>
      <vt:lpstr>'Heights &amp; Leaf WW'!Print_Titles</vt:lpstr>
      <vt:lpstr>Notes!Print_Titles</vt:lpstr>
      <vt:lpstr>'Pod Count &amp; Seed Wt. EW'!Print_Titles</vt:lpstr>
      <vt:lpstr>'Pod Count &amp; Seed Wt. WW'!Print_Titles</vt:lpstr>
      <vt:lpstr>'Randomization EW'!Print_Titles</vt:lpstr>
      <vt:lpstr>'Randomization WW'!Print_Titles</vt:lpstr>
      <vt:lpstr>'Tank Mixing'!Print_Titles</vt:lpstr>
      <vt:lpstr>'Water Top-Ups'!Print_Titles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Quilichini, Shanna</dc:creator>
  <cp:lastModifiedBy>Mooney, Ashlyn (AAFC/AAC)</cp:lastModifiedBy>
  <cp:lastPrinted>2024-05-27T19:53:26Z</cp:lastPrinted>
  <dcterms:created xsi:type="dcterms:W3CDTF">2015-06-05T18:17:20Z</dcterms:created>
  <dcterms:modified xsi:type="dcterms:W3CDTF">2025-10-27T14:42:38Z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2023-11-10T18:01:07Z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2576192c-03c9-477a-aa88-0857609c5137</vt:lpwstr>
  </property>
  <property fmtid="{D5CDD505-2E9C-101B-9397-08002B2CF9AE}" pid="8" name="MSIP_Label_baad8967-3ba6-4b00-a759-20a8ca19a393_ContentBits">
    <vt:lpwstr>1</vt:lpwstr>
  </property>
</Properties>
</file>